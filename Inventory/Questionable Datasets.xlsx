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[3 word desc] + [data type] + in [geography] + [dates if possible]</t>
      </text>
    </comment>
    <comment authorId="0" ref="B1">
      <text>
        <t xml:space="preserve">[3 word desc] + [data type] + in [geography] + [dates if possible]</t>
      </text>
    </comment>
    <comment authorId="0" ref="C1">
      <text>
        <t xml:space="preserve">The primary data category sub-type within GoCode's taxonomy.</t>
      </text>
    </comment>
    <comment authorId="0" ref="D1">
      <text>
        <t xml:space="preserve">keywords seperated by a comma, utilized on CIM.</t>
      </text>
    </comment>
    <comment authorId="0" ref="E1">
      <text>
        <t xml:space="preserve">The primary data category within GoCode's taxonomy.</t>
      </text>
    </comment>
    <comment authorId="0" ref="G1">
      <text>
        <t xml:space="preserve">The organization that owns the data.</t>
      </text>
    </comment>
    <comment authorId="0" ref="I1">
      <text>
        <t xml:space="preserve">Links to a specific URL that downloads the data</t>
      </text>
    </comment>
    <comment authorId="0" ref="J1">
      <text>
        <t xml:space="preserve">The state organization that owns, represents, uses or otherwise represents the state for the data on CIM.</t>
      </text>
    </comment>
    <comment authorId="0" ref="K1">
      <text>
        <t xml:space="preserve">Citation = State Steward</t>
      </text>
    </comment>
    <comment authorId="0" ref="L1">
      <text>
        <t xml:space="preserve">The home page for the Data Provider. This column is NECESSARY for the automated metadata updater to work. Fill with a valid url.</t>
      </text>
    </comment>
    <comment authorId="0" ref="M1">
      <text>
        <t xml:space="preserve">Link to the program the dataset lives in</t>
      </text>
    </comment>
    <comment authorId="0" ref="Q1">
      <text>
        <t xml:space="preserve">Vector polygon
Vector line
Vector point
Raster
or
Tabular</t>
      </text>
    </comment>
    <comment authorId="0" ref="R1">
      <text>
        <t xml:space="preserve">Leaving blank until further research can be done on granularity semantics and provenance</t>
      </text>
    </comment>
    <comment authorId="0" ref="AB1">
      <text>
        <t xml:space="preserve">Team to identify exercise to better populate this column</t>
      </text>
    </comment>
    <comment authorId="0" ref="AJ1">
      <text>
        <t xml:space="preserve">Datum/Projection</t>
      </text>
    </comment>
    <comment authorId="0" ref="AO1">
      <text>
        <t xml:space="preserve">Previously - Expected Update Schedule
</t>
      </text>
    </comment>
    <comment authorId="0" ref="AS1">
      <text>
        <t xml:space="preserve">10 words or less, what does one row represent</t>
      </text>
    </comment>
    <comment authorId="0" ref="AV1">
      <text>
        <t xml:space="preserve">Approximate based on initial publish, and varies within margin based on OS of computer doing initial publish. Pick standard for each dataset type (eg shapefile for geospatial, csv for tabular, etc).</t>
      </text>
    </comment>
    <comment authorId="0" ref="BH1">
      <text>
        <t xml:space="preserve">Low - Data is easily available and only minor transformations needed
Moderate - May require merging files, non-trivial transformation, difficult to access or utilize source system
High - Obscure or codified data, legacy system, many relationships, very large (millions of records), contains PII, or unstructured.</t>
      </text>
    </comment>
    <comment authorId="0" ref="AN6">
      <text>
        <t xml:space="preserve">Dataset says 2/28/2024, but this is a remake of the original data, created on 1/17/2020</t>
      </text>
    </comment>
    <comment authorId="0" ref="AZ15">
      <text>
        <t xml:space="preserve">MagpieSupply maintains this dataset on CIM</t>
      </text>
    </comment>
    <comment authorId="0" ref="BA15">
      <text>
        <t xml:space="preserve">MagpieSupply maintains this dataset on CIM</t>
      </text>
    </comment>
    <comment authorId="0" ref="AN16">
      <text>
        <t xml:space="preserve">Data says it was created 2/28/2024, but this is a remake of the original data, made on 1/15/2020</t>
      </text>
    </comment>
  </commentList>
</comments>
</file>

<file path=xl/sharedStrings.xml><?xml version="1.0" encoding="utf-8"?>
<sst xmlns="http://schemas.openxmlformats.org/spreadsheetml/2006/main" count="629" uniqueCount="330">
  <si>
    <t>Dataset Title</t>
  </si>
  <si>
    <t>Short Description</t>
  </si>
  <si>
    <t>Category</t>
  </si>
  <si>
    <t>Keywords</t>
  </si>
  <si>
    <t>Type</t>
  </si>
  <si>
    <t>License Type</t>
  </si>
  <si>
    <t>Data Provider</t>
  </si>
  <si>
    <t>Data Provided by</t>
  </si>
  <si>
    <t>Source Link</t>
  </si>
  <si>
    <t>State Steward</t>
  </si>
  <si>
    <t>Citation</t>
  </si>
  <si>
    <t>Agency Program Page</t>
  </si>
  <si>
    <t>Agency Data Series Page</t>
  </si>
  <si>
    <t>Business Contact and Phone</t>
  </si>
  <si>
    <t>Technical Contact and Phone</t>
  </si>
  <si>
    <t>Data Source</t>
  </si>
  <si>
    <t>Unit of Analysis</t>
  </si>
  <si>
    <t>Granularity Coverage</t>
  </si>
  <si>
    <t>Geographic Extent and Division</t>
  </si>
  <si>
    <t>Collection Mode</t>
  </si>
  <si>
    <t>Collection Methodology</t>
  </si>
  <si>
    <t>Data Collection Instrument</t>
  </si>
  <si>
    <t>Date of Initial Dataset Creation</t>
  </si>
  <si>
    <t>Field Names, comma delimited</t>
  </si>
  <si>
    <t>Oldest Record in Dataset</t>
  </si>
  <si>
    <t>Newest Record in Dataset</t>
  </si>
  <si>
    <t>Long Description</t>
  </si>
  <si>
    <t>Data Dictionary</t>
  </si>
  <si>
    <t>Additional Metadata</t>
  </si>
  <si>
    <t>Technical Documentation</t>
  </si>
  <si>
    <t>Data Quality Certification</t>
  </si>
  <si>
    <t>Applicable Information Quality Guideline Designation</t>
  </si>
  <si>
    <t>Stewardship Plan</t>
  </si>
  <si>
    <t>Collection Method</t>
  </si>
  <si>
    <t>Horizontal Accuracy</t>
  </si>
  <si>
    <t>Horizontal Coordinate System</t>
  </si>
  <si>
    <t>Update Schedule</t>
  </si>
  <si>
    <t>Update Method</t>
  </si>
  <si>
    <t>Source Update Schedule</t>
  </si>
  <si>
    <t>Update Schedule Last Audit</t>
  </si>
  <si>
    <t>Update Type</t>
  </si>
  <si>
    <t>Total Records at Initial Publish</t>
  </si>
  <si>
    <t>Row Class RDF</t>
  </si>
  <si>
    <t>Subject Column RDF</t>
  </si>
  <si>
    <t>Single Row</t>
  </si>
  <si>
    <t>Row Count (11/20/17)</t>
  </si>
  <si>
    <t>Total Fields at Initial Publish</t>
  </si>
  <si>
    <t>FIle Size at Initial Publish or as of 3-1-2016</t>
  </si>
  <si>
    <t>Expected approximate increase in record count at update</t>
  </si>
  <si>
    <t>Date Published to CIM</t>
  </si>
  <si>
    <t>GoCode FY Published to CIM</t>
  </si>
  <si>
    <t>Socrata Link</t>
  </si>
  <si>
    <t>API 4x4</t>
  </si>
  <si>
    <t>MapViz</t>
  </si>
  <si>
    <t>Web Display Coordinate System</t>
  </si>
  <si>
    <t>Coordinate System Disclaimer</t>
  </si>
  <si>
    <t>Related Datasets</t>
  </si>
  <si>
    <t>Quarter of Gov FY Published</t>
  </si>
  <si>
    <t>cimAllData Updates</t>
  </si>
  <si>
    <t>Complexity</t>
  </si>
  <si>
    <t>Business Contact Information - Name</t>
  </si>
  <si>
    <t>Business Contact Information - Position</t>
  </si>
  <si>
    <t>Business Contact Information - Phone Number</t>
  </si>
  <si>
    <t>Business Contact Information - Email</t>
  </si>
  <si>
    <t>Technical Contact Information - Name</t>
  </si>
  <si>
    <t>Technical Contact Information - Position</t>
  </si>
  <si>
    <t>Technical Contact Information - Phone Number</t>
  </si>
  <si>
    <t>Technical Contact Information - Email</t>
  </si>
  <si>
    <t>Name of Person Providing Data</t>
  </si>
  <si>
    <t>Email of Person Providing Data</t>
  </si>
  <si>
    <t>Bill Information and Position with Income of Lobbyist in Colorado</t>
  </si>
  <si>
    <t>Information for each lobbyist and their associated client with the reported bills and positions associated with the client and the total gross income the client paid to lobbyist for the report month for the State of Colorado provided by the Colorado Department of State (CDOS).</t>
  </si>
  <si>
    <t>Lobbyist</t>
  </si>
  <si>
    <t>bic, gocodecolorado, colorado, sos, secretary of state, lobbyists, clients, bills, position on bill, income, gross income</t>
  </si>
  <si>
    <t>Bills</t>
  </si>
  <si>
    <t>Public Domain</t>
  </si>
  <si>
    <t>CDOS</t>
  </si>
  <si>
    <t>https://www.sos.state.co.us/</t>
  </si>
  <si>
    <t>https://www.sos.state.co.us/pubs/lobby/FAQs/professional.html</t>
  </si>
  <si>
    <t>not public</t>
  </si>
  <si>
    <t>Tabular</t>
  </si>
  <si>
    <t>State</t>
  </si>
  <si>
    <t>lobbyistlastname, lobbyistfirstname, lobbyistaddress0, lobbyistaddress1, lobbyistcity, lobbyiststate, lobbyistzip, primarylobbyistid, annuallobbyistregistrationid, officialstatelobbyist, clientname, clientlastname, clientfirstname, clientmiddlename, clientsuffix, clientaddress0, clientaddress1, clientcity, clientstate, clientzip, billinformationandposition, reportmonth, fiscalyear, reportduedate, clientbusinessdescription, clienttypeofbusiness, clientstatus, clientstartdate, clientenddate, incomeamount, dateincomereceived</t>
  </si>
  <si>
    <t>02/15/2016</t>
  </si>
  <si>
    <t>11/15/2017</t>
  </si>
  <si>
    <t>The primaryLobbyistID field is the number is assigned when the lobbyist registers with the state, and the first four numbers are the year of original registration. The annual lobbyist registration identification number is updated when they register in a current fiscal year, and the first four numbers reflect status of the lobbyist when registering in a current fiscal year (for example, if they were registered in 2015, but did not update their registration in 2016, then the registration id would remain 2015 until they register in a new fiscal year). The data is updated as necessary to the main lobbyist online system via manual entry, however the updates to the Colorado Information Marketplace is only done weekly, every Monday night. Data goes back to 1995, but in 2002 a mandate established that the secretary of state transition to an online system. Then in 2010 Senate Bill 10-87, among other major changes, shifted the lobbyist registration and disclosure periods to the state fiscal year rather than the calendar year. Multiple bills are associated with a single monetary transaction (gross income) for a given month from a client to a lobbyist, and they are listed in the billInformationAndPosition field along with the position of the client. In a reporting month, income is reported based on the date that it is actually received. For example, in the event that a payment is made cumulatively over a three month period, they must report the full three month payment, and associated bills, when the payment was received. If a lobbyist has multiple payments received by various clients, each dollar amount is reported separately by each client. The statute specifies that lobbyists report the total amount they receive from the client. This is how the data is collected, and based on this database structure individual amounts associated with individual bills cannot be reported separately. State Liaisons are not required to report their position on the bill, only the legislation on which the lobbying is being performed.</t>
  </si>
  <si>
    <t>Static</t>
  </si>
  <si>
    <t>Lobbyist and client name, contact, information/position on bill, income received, and date income was received</t>
  </si>
  <si>
    <t>Joinable to: Characterization of Lobbyist Clients in Colorado, Directory of Lobbyist Clients in Colorado, Directory of Lobbyists in Colorado, Expenses for Lobbyists in Colorado, Subcontractors for Lobbyists in Colorado based on "primaryLobbyistId"</t>
  </si>
  <si>
    <t>BIC Program Manager</t>
  </si>
  <si>
    <t>Angela Lawson</t>
  </si>
  <si>
    <t>Lobbyist Registration Program Manager</t>
  </si>
  <si>
    <t>303-894-2200, ext. 6304</t>
  </si>
  <si>
    <t>a.lawson@sos.state.co.us</t>
  </si>
  <si>
    <t>Sebbie Coleman</t>
  </si>
  <si>
    <t>sebbie.coleman@sos.state.co.us</t>
  </si>
  <si>
    <t>Census Zip Codes in Colorado 2016</t>
  </si>
  <si>
    <t>American Community Survey Census data includes demographics, education level, commute information, and more subset to Colorado by the Department of Local Affairs (DOLA).</t>
  </si>
  <si>
    <t>Demographics</t>
  </si>
  <si>
    <t>bic, gocodecolorado, colorado, census, zip codes, american community survey, location, geospatial, gis</t>
  </si>
  <si>
    <t>Census</t>
  </si>
  <si>
    <t>DOLA</t>
  </si>
  <si>
    <t>https://www2.census.gov/geo/tiger/TIGER_DP/2016ACS/ACS_2016_5YR_ZCTA.gdb.zip</t>
  </si>
  <si>
    <t>https://www.colorado.gov/dola</t>
  </si>
  <si>
    <t>https://www.census.gov/geo/maps-data/</t>
  </si>
  <si>
    <t>Vector polygon</t>
  </si>
  <si>
    <t>TIGER line files</t>
  </si>
  <si>
    <t>The 2000 census marked the last year that the long form was distributed to 1 in 6 households (a 17% sample), and in 2010 the actual sample size for the long form was 2.5% per year (totaling 12.5% over a 5 year cycle). In 2000, one household answered the long form questions on behalf of 5 other households, and in 2010 a single household provides data for between seven other households (5 year averages) and 39 other households (1 year averages for larger places).</t>
  </si>
  <si>
    <t>Surveys</t>
  </si>
  <si>
    <t>Census Data is collected every 10 years by mail surveys to every household with primary data collection fields of population, gender, race and number of occupants. Overcounts are known to exist in student and dual-residence populations, while undercounts are a given for homeless and illegal immigrants. Errors arise from both sampling and non-sampling methods. Sampling errors are misrepresentations of a larger population based on the selection of the representative sample. Accuracy of the estimates depend in part on how typical the people within the sampled housing units are to others within their area. The Census estimates sampling error based on the population and its extent of variability. The long-form of the Census is distributed to a subset of households, and includes additional data related to households, economy, employment, occupation, as well as occupancy and building structure data. Household fields include: Total Households, Total Families, Households by Household Type by Household Size, Persons in Group Quarters by Detailed Group Quarters Type, Persons 25 Years and Over by Educational Attainment, Persons 16 Years and Over by Labor Force and Employment Status, Median Household Income, Median Family Income, Per Capita Income, Persons by Poverty Status in Previous Year. Occupancy fields include: Total Housing Units, Housing Units by Occupancy Status, Vacant Housing Units by Vacancy Status, Occupied Housing Units by Tenure, Median Housing Value, Median Contract Rent.</t>
  </si>
  <si>
    <t>Census data is reliable as within the constraints of funding, staffing and legislation. Sampling and Non-sampling errors include, but are not limited to, missing survey responses, under and over counts, inverviewer error.</t>
  </si>
  <si>
    <t>NAD83/GCS_North_American_1983</t>
  </si>
  <si>
    <t>Census zip codes demographics</t>
  </si>
  <si>
    <t>70+</t>
  </si>
  <si>
    <t>n/a</t>
  </si>
  <si>
    <t>WGS84</t>
  </si>
  <si>
    <t>NOTE: To maintain source projection, select “Export Original” from export menu. To display on the web, export using any other option.</t>
  </si>
  <si>
    <t>Elizabeth Garner</t>
  </si>
  <si>
    <t>State Demographer</t>
  </si>
  <si>
    <t>303-864-7763</t>
  </si>
  <si>
    <t>Elizabeth.Garner@state.co.us</t>
  </si>
  <si>
    <t>Characterization of Lobbyist Clients in Colorado</t>
  </si>
  <si>
    <t>Information for each lobbyist, including contact details, and their associated client and contact details, client business description and the name of the CEO provided by the Colorado Department of State (CDOS).</t>
  </si>
  <si>
    <t>bic, gocodecolorado, colorado, sos, secretary of state, lobbyists, clients, contact, businesses, business descriptions</t>
  </si>
  <si>
    <t>Client</t>
  </si>
  <si>
    <t>lobbyistlastname, lobbyistfirstname, lobbyistaddress0, lobbyistaddress1, lobbyistcity, lobbyiststate, lobbyistzip, primarylobbyistid, annuallobbyistregistrationid, clientname, clientlastname, clientfirstname, clientmiddlename, clientsuffix, clientaddress0, clientaddress1, clientcity, clientstate, clientzip, clientbusinessdescription, clienttypeofbusiness, ceolastname, ceofirstname, ceomiddlename</t>
  </si>
  <si>
    <t>Information for each lobbyist, including contact details, and their associated client and contact details, client business description and the name of the CEO. Important to note that the key field is annualLobbyistRegistrationId, showing the lobbyist is registered for a given year, and is repeated as many times as there are unique clients to that lobbyist. A Lobbyist’s Registration Id updates with a new four digit prefix for every year the lobbyist is registered. The primaryLobbyistID field is the number is assigned when the lobbyist registers with the state, and the first four numbers are the year of original registration. The annual lobbyist registration identification number is updated when they register in a current fiscal year, and the first four numbers reflect status of the lobbyist when registering in a current fiscal year (for example, if they were registered in 2015, but did not update their registration in 2016, then the registration id would remain 2015 until they register in a new fiscal year). The data is updated as necessary to the main lobbyist online system via manual entry, however the updates to the Colorado Information Marketplace is only done weekly, every Monday night.</t>
  </si>
  <si>
    <t>Lobbyist and associated client name, contact, and client characterization</t>
  </si>
  <si>
    <t>Joinable to: Bill Information and Position with Income of Lobbyist in Colorado, Directory of Lobbyist Clients in Colorado, Directory of Lobbyists in Colorado, Expenses for Lobbyists in Colorado, Subcontractors for Lobbyists in Colorado based on "primaryLobbyistId"</t>
  </si>
  <si>
    <t>Current Surface Water Conditions in Colorado</t>
  </si>
  <si>
    <t>Division of Water Resources (DWR) Current Surface Water Conditions.  This is a list of all remote monitored stream, diversion, and reservoir gages within the state of Colorado.</t>
  </si>
  <si>
    <t>Water</t>
  </si>
  <si>
    <t>bic, streamflows, current conditions, gocode</t>
  </si>
  <si>
    <t>Water Resources</t>
  </si>
  <si>
    <t>DWR</t>
  </si>
  <si>
    <t>http://water.state.co.us</t>
  </si>
  <si>
    <t>http://water.state.co.us/Home/Pages/default.aspx</t>
  </si>
  <si>
    <t xml:space="preserve">DIV,WD,County,Station Name,Data Source,DWR Abbrev,USGS Station ID,Station Status,Station Type,Date Time,Variable,Stage,Amount,Units,Flag,More Information,Location,UTM x,UTM y,Location Accuracy,
</t>
  </si>
  <si>
    <t>9/30/1999</t>
  </si>
  <si>
    <t>7/18/2019</t>
  </si>
  <si>
    <t>Automated - daily</t>
  </si>
  <si>
    <t>4yw9-a5y6</t>
  </si>
  <si>
    <t>Development Projects in Grand Junction Colorado 2019</t>
  </si>
  <si>
    <t>2019 Development Projects in Grand Junction, Colorado.</t>
  </si>
  <si>
    <t>Business</t>
  </si>
  <si>
    <t>bic, business, gocodecolorado, grand junction, grand, junction, city, mesa, county, western slope, development, parcels, projects, urban</t>
  </si>
  <si>
    <t>Creative Commons 1.0 Universal (Public Domain Dedication)</t>
  </si>
  <si>
    <t>City of Grand Junction</t>
  </si>
  <si>
    <t>https://arcgis-app.gjcity.org/Business%20Map%20External/</t>
  </si>
  <si>
    <t>http://www.gjcity.org/Maps/</t>
  </si>
  <si>
    <t>https://arcgis-app.gjcity.org/arcgis/rest/services/BusinessMap_external_MIL1/MapServer/54</t>
  </si>
  <si>
    <t xml:space="preserve">Jackson Trappett </t>
  </si>
  <si>
    <t>Vector Polygon</t>
  </si>
  <si>
    <t>objectid, casenumber, plannername, phone, casetype, applicationdate_1, description</t>
  </si>
  <si>
    <t>Details for 2019 Development projects in Grand Junction, Colorado including case details, application, date, and a description of the project.</t>
  </si>
  <si>
    <t>https://arcgis-app.gjcity.org/arcgis/rest/services/BusinessMap_external_MIL1/MapServer/55/metadata</t>
  </si>
  <si>
    <t>Last updated 1/17/2020</t>
  </si>
  <si>
    <t>Development project details for 2019 projects in Grand Junction Colorado.</t>
  </si>
  <si>
    <t>2222 kb</t>
  </si>
  <si>
    <t>425c-yib4</t>
  </si>
  <si>
    <t>Development Projects in Grand Junction Colorado 2020</t>
  </si>
  <si>
    <t>2020 Development Projects in Grand Junction, Colorado.</t>
  </si>
  <si>
    <t>Details for 2020 Development projects in Grand Junction, Colorado including case details, application, date, and a description of the project.</t>
  </si>
  <si>
    <t>Last updated 2/28/2024</t>
  </si>
  <si>
    <t>Development project details for 2020 projects in Grand Junction Colorado.</t>
  </si>
  <si>
    <t>u98h-pi4e</t>
  </si>
  <si>
    <t>Development Projects in Grand Junction Colorado 2021</t>
  </si>
  <si>
    <t>2021 Development Projects in Grand Junction, Colorado.</t>
  </si>
  <si>
    <t>Details for 2021 Development projects in Grand Junction, Colorado including case details, application, date, and a description of the project.</t>
  </si>
  <si>
    <t>Development project details for 2021 projects in Grand Junction Colorado.</t>
  </si>
  <si>
    <t>dcpy-bvxg</t>
  </si>
  <si>
    <t>Development Projects in Grand Junction Colorado 2022</t>
  </si>
  <si>
    <t>2022 Development Projects in Grand Junction, Colorado.</t>
  </si>
  <si>
    <t>Details for 2022 Development projects in Grand Junction, Colorado including case details, application, date, and a description of the project.</t>
  </si>
  <si>
    <t>Development project details for 2022 projects in Grand Junction Colorado.</t>
  </si>
  <si>
    <t>vzyy-dwzb</t>
  </si>
  <si>
    <t>Development Projects in Grand Junction Colorado 2023</t>
  </si>
  <si>
    <t>2023 Development Projects in Grand Junction, Colorado.</t>
  </si>
  <si>
    <t>Details for 2023 Development projects in Grand Junction, Colorado including case details, application, date, and a description of the project.</t>
  </si>
  <si>
    <t>Development project details for 2023 projects in Grand Junction Colorado.</t>
  </si>
  <si>
    <t>h5jd-ew98</t>
  </si>
  <si>
    <t>Development Projects in Grand Junction Colorado 2024</t>
  </si>
  <si>
    <t>2024 Development Projects in Grand Junction, Colorado.</t>
  </si>
  <si>
    <t>Details for 2024 Development projects in Grand Junction, Colorado including case details, application, date, and a description of the project.</t>
  </si>
  <si>
    <t>Manual - annual</t>
  </si>
  <si>
    <t>Development project details for 2024 projects in Grand Junction Colorado.</t>
  </si>
  <si>
    <t>i35i-dd8x</t>
  </si>
  <si>
    <t>Directory of Lobbyist Clients in Colorado</t>
  </si>
  <si>
    <t>Lobbyist name and address and the names and addresses of their associated clients provided by the Colorado Department of State (CDOS).</t>
  </si>
  <si>
    <t>bic, gocodecolorado, colorado, sos, secretary of state, lobbyists, expenses, contact, directory, clients</t>
  </si>
  <si>
    <t>lobbyistlastname, lobbyistfirstname, lobbyistaddress0, lobbyistaddress1, lobbyistcity, lobbyiststate, lobbyistzip, primarylobbyistid, annuallobbyistregistrationid, clientname, clientaddress0, clientaddress1, clientcity, clientstate, clientzip</t>
  </si>
  <si>
    <t>All of the lobbyists and all of the clients for Colorado, except for state lobbyists, also known as official State Liaisons, who are responsible for lobbying on behalf of a state agency and therefore have no "client". The primaryLobbyistID field is the number assigned when the lobbyist registers with the state, and the first four numbers are the year of original registration. The annual lobbyist registration identification number is updated when they register in a current fiscal year, and the first four numbers reflect status of the lobbyist when registering in a current fiscal year (for example, if they were registered in 2015, but did not update their registration in 2016, then the registration id would remain 2015 until they register in a new fiscal year). The data is updated as necessary to the main lobbyist online system via manual entry, however the updates to the Colorado Information Marketplace is only done weekly, every Monday night.</t>
  </si>
  <si>
    <t>http://www.sos.state.co.us/pubs/lobby/FAQ.html</t>
  </si>
  <si>
    <t>Lobbyist and associated client name and contact</t>
  </si>
  <si>
    <t>Joinable to: Bill Information and Position with Income of Lobbyist in Colorado, Characterization of Lobbyist Clients in Colorado, Directory of Lobbyists in Colorado, Expenses for Lobbyists in Colorado, Subcontractors for Lobbyists in Colorado based on "primaryLobbyistId"</t>
  </si>
  <si>
    <t>Directory of Lobbyists in Colorado</t>
  </si>
  <si>
    <t>Information for each registered lobbyist, including contact details, and their associated income and expenses as summarized by month and associated report date for the State of Colorado dating back to 1995 provided by the Colorado Department of State (CDOS).</t>
  </si>
  <si>
    <t>bic, gocodecolorado, colorado, sos, secretary of state, lobbyists, expenses, contact, directory, income summary, income</t>
  </si>
  <si>
    <t>lobbyistlastname, lobbyistfirstname, lobbyistaddress0, lobbyistaddress1, lobbyistcity, lobbyiststate, lobbyistzip, officialstatelobbyist, primarylobbyistid, annuallobbyistregistrationid, datedisclosurefiled, datedisclosurelastmodified, businessassociatedwithpendinglegislation, totalmonthlyincome, totalmonthlyexpenses, reportmonth, fiscalyear, reportduedate</t>
  </si>
  <si>
    <t>08/15/1994</t>
  </si>
  <si>
    <t>07/20/2017</t>
  </si>
  <si>
    <t>Expenses and income summarized by month associated with lobbying activities. In a reporting month, income is reported based on the date that it is actually received. For example, in the event that a payment is made cumulatively over a three month period, they must report the full three month payment when the payment was received. If a lobbyist has multiple payments received by various clients, each dollar amount is reported separately by each client. If a lobbyist receives multiple payments on multiple bills from a single client, the monthly income report will be the total of what the client is paying the lobbyist for all of lobbying activities on the multiple bills. The statute specifies that lobbyists report the total amount they receive from the client, so in some cases the monthly dollar amount reported by a lobbyist is the total amount received may reflect a payment paid for a number of bills and activities. The payments are not itemized by bills or activities. In this dataset income is summarized by month.</t>
  </si>
  <si>
    <t>Lobbyist name, id, address, and income and expense by month</t>
  </si>
  <si>
    <t>Joinable to: Bill Information and Position with Income of Lobbyist in Colorado, Characterization of Lobbyist Clients in Colorado, Directory of Lobbyist Clients in Colorado, Expenses for Lobbyists in Colorado, Subcontractors for Lobbyists in Colorado based on "primaryLobbyistId"</t>
  </si>
  <si>
    <t>Expenses for Lobbyists in Colorado</t>
  </si>
  <si>
    <t>Registered lobbyist expenses for the State of Colorado dating back to 1995 provided by the Colorado Department of State (CDOS).</t>
  </si>
  <si>
    <t>bic, gocodecolorado, colorado, sos, secretary of state, lobbyists, expenses, media buys, gifts and entertainment, reimbursements, reimbursable expenses</t>
  </si>
  <si>
    <t>lobbyistlastname, lobbyistfirstname, lobbyistaddress0, lobbyistaddress1, lobbyistcity, lobbyiststate, lobbyistzip, primarylobbyistid, annuallobbyistregistrationid, officialstatelobbyist, expenditurename, expenditureamount, expenditurereceiptdate, expenditurepurpose, expenditureformediaflag, reportmonth, fiscalyear, reportduedate</t>
  </si>
  <si>
    <t>01/01/1995</t>
  </si>
  <si>
    <t>09/30/2017</t>
  </si>
  <si>
    <t>Expenses of the lobbyist, and the purpose of the expense. Expenses are broken into three categories: Media, Gifts and Entertainment, and Other (for example, travel, parking, cell phone, etc.) This file includes expenses for all of the lobbyists, including state lobbyists, also known as official State Liaisons, who are responsible for lobbying on behalf of a state agency. State Liaisons do not itemize their expenses, they only report public funds. The primaryLobbyistID field is the number is assigned when the lobbyist registers with the state, and the first four numbers are the year of original registration. The annual lobbyist registration identification number is updated when they register in a current fiscal year, and the first four numbers reflect status of the lobbyist when registering in a current fiscal year (for example, if they were registered in 2015, but did not update their registration in 2016, then the registration id would remain 2015 until they register in a new fiscal year). The data is updated as necessary to the main lobbyist online system via manual entry, however the updates to the Colorado Information Marketplace is only done weekly, every Monday night. Data goes back to 1995, but in 2002 a mandate established that the secretary of state transition to an online system. Then in 2010 Senate Bill 10-87, among other major changes, shifted the lobbyist registration and disclosure periods to the state fiscal year rather than the calendar year.</t>
  </si>
  <si>
    <t>Lobbyist name, id, address, and name, amount, and date of expenditures</t>
  </si>
  <si>
    <t>Joinable to: Bill Information and Position with Income of Lobbyist in Colorado, Characterization of Lobbyist Clients in Colorado, Directory of Lobbyist Clients in Colorado, Directory of Lobbyists in Colorado, Subcontractors for Lobbyists in Colorado based on "primaryLobbyistId"</t>
  </si>
  <si>
    <t>Farmers Markets in Colorado 2017</t>
  </si>
  <si>
    <t>Farmers’ Markets name, location, and dates of operation for 2014 in Colorado provided and maintained by the Colorado Department of Agriculture.</t>
  </si>
  <si>
    <t>Agriculture</t>
  </si>
  <si>
    <t>bic, gocodecolorado, farmer, farmers, markets, grocery, food, ag, agriculture, colorado, fresh, local, locavore</t>
  </si>
  <si>
    <t>Markets</t>
  </si>
  <si>
    <t>CDA</t>
  </si>
  <si>
    <t>https://www.colorado.gov/agmain</t>
  </si>
  <si>
    <t>Grocery Stores in Grand Junction Colorado</t>
  </si>
  <si>
    <t>Locations of grocery stores in the Grand Junction region, Colorado.</t>
  </si>
  <si>
    <t>bic, grocery, groceries, store, stores, food, food stores, locations, grand, junction, grand junction, gocodecolorado, mesa, mesa county, city, business, food desert, pantry, bank</t>
  </si>
  <si>
    <t>https://arcgis-app.gjcity.org/arcgis/rest/services/BusinessMap_external_MIL1/MapServer</t>
  </si>
  <si>
    <t>Vector Point</t>
  </si>
  <si>
    <t>objectid,coname,city,state,zip</t>
  </si>
  <si>
    <t>Locations of grocery stores in the Grand Junction region, Colorado including zip, city, and point coordinates.</t>
  </si>
  <si>
    <t>https://arcgis-app.gjcity.org/arcgis/rest/services/BusinessMap_external_MIL1/MapServer/1/metadata</t>
  </si>
  <si>
    <t>Automated on Socrata by BIC</t>
  </si>
  <si>
    <t>Last Updated 1/15/2020</t>
  </si>
  <si>
    <t>Automated - monthly</t>
  </si>
  <si>
    <t>The name and location of the grocery store including city, zip, and coordinates.</t>
  </si>
  <si>
    <t>6 kb</t>
  </si>
  <si>
    <t>renj-ri3v</t>
  </si>
  <si>
    <t>Highway Mileposts in Colorado</t>
  </si>
  <si>
    <t>Mileposts (or mile markers) along highways and their locations collection during GPS mapping efforts in the early 2000s from the Colorado Department of Transportation (CDOT).</t>
  </si>
  <si>
    <t>Transportation</t>
  </si>
  <si>
    <t>bic, gocodecolorado, colorado, cdot, colorado department of transportation, mileposts, mile markers, highway, location, transportation, gis</t>
  </si>
  <si>
    <t>Road Attributes</t>
  </si>
  <si>
    <t>CDOT</t>
  </si>
  <si>
    <t>http://dtdapps.coloradodot.info/staticdata/Downloads/StateGeoData/Mileposts.zip</t>
  </si>
  <si>
    <t>https://www.codot.gov/</t>
  </si>
  <si>
    <t>http://dtdapps.coloradodot.info/otis/catalog</t>
  </si>
  <si>
    <t>Vector point</t>
  </si>
  <si>
    <t>collector, comments, datafile, date, patrol, ref_pt, road_type, route, section</t>
  </si>
  <si>
    <t>09/11/2000</t>
  </si>
  <si>
    <t>09/02/2004</t>
  </si>
  <si>
    <t>Colorado Highway and Frontage road milepost locations. Mileposts are locations of milepost (mile marker) locations alongside CDOT highways, collected during GPS mapping efforts in the early 2000s. MIleposts differ from milepoints in that milepoints represent the location along CDOT highways where that highway’s linear reference system indicates a whole number reference point (such as 57.000). Therefore, mileposts are not necessarily found at exactly at milepoints. Also includes collection date of point, route ID and some GPS locations.</t>
  </si>
  <si>
    <t>NAD83/UTM zone 13N</t>
  </si>
  <si>
    <t>Highway and frontage road milepost locations, route, and road type</t>
  </si>
  <si>
    <t>Joinable to: Highway Milepoints in Colorado based on "ref_pt"</t>
  </si>
  <si>
    <t>Gary Aucott</t>
  </si>
  <si>
    <t>GIS Support Unit Manager</t>
  </si>
  <si>
    <t>303-512-4444</t>
  </si>
  <si>
    <t>gary.aucott@state.co.us</t>
  </si>
  <si>
    <t>Highway Routes in Colorado</t>
  </si>
  <si>
    <t>Route locations, segment lengths and route identifiers, from the Colorado Department of Transportation (CDOT).</t>
  </si>
  <si>
    <t>bic, gocodecolorado, colorado, cdot, colorado department of transportation, highway, roads, transportation, routes, length, gis</t>
  </si>
  <si>
    <t>http://dtdapps.coloradodot.info/staticdata/Downloads/StateGeoData/Routes.zip</t>
  </si>
  <si>
    <t>Vector line</t>
  </si>
  <si>
    <t>route, shape_len</t>
  </si>
  <si>
    <t>Segment lengths and route identifiers for all routes in Colorado. CDOT defines routes by the number designating the State Route, including a section identifier designated by a letter for the State database.</t>
  </si>
  <si>
    <t>Segment lengths and route identifiers highway routes</t>
  </si>
  <si>
    <t>Related to: Highways in Colorado</t>
  </si>
  <si>
    <t>Local Roads in Colorado</t>
  </si>
  <si>
    <t>Local Roads are functionally identified as local and excludes major roads or highways. Each road is segmented with a to and from description. The direction, length, type (paved/dirt), width (in feet), local route name and id, number of lanes, one/two-way bridges, average daily traffic counts, locations of count stations, if it is congested, if maintenance is under shared jurisdiction and the year it was built or last updated from the Colorado Department of Transportation (CDOT).</t>
  </si>
  <si>
    <t>bic, gocodecolorado, colorado, cdot, colorado department of transportation, transportation, public roads, roads, local roads, city, county, location, urban roads, rural roads, congestion, gis</t>
  </si>
  <si>
    <t>http://dtdapps.coloradodot.info/staticdata/Downloads/StateGeoData/LocalRoads.zip</t>
  </si>
  <si>
    <t>aadt, aadtderiv, aadtyr, adminclass, alias, builtyr, congested, countstati, cr_id, descriptio, fips, fipscounty, forestrout, from_descr, frommeas, funcclassi, fund_id, gis_id, govlevel, hpmsid, jursplit, lrs_bgn, lrs_end, lrsroute, map_num, map_text, nhsdesig, operation, population, priiri, pripsi, prisurfwd, prithrulnw, route, routename, seg_length, segmdir, segmid, shape_len, shape_st_1, shape_stle, specialsys, surf_type, surfname, thrulnqty, thrulnwd, to_descr, tomeas, urban</t>
  </si>
  <si>
    <t>Public roads under local (city/county) jurisdiction that are functionally identified as local. Does not contain major roads or highways. Each road is segmented with a to and from description. The direction, length, type (paved/dirt), width (in feet), local route name and id, number of lanes, one/two-way bridges, average daily traffic counts, locations of count stations, if it is congested, if maintenance is under shared jurisdiction and the year it was built or last updated. Political jurisdictions for each segment include FIPS County codes, CDOT Administrative Zones, primary responsible Government Level (designated by Federal Highway Act), whether a segment is urban or rural (designated by the Census), whether it has National Highway Designation, if it is a designated Forest Route, and if it is eligible for local or special funding.</t>
  </si>
  <si>
    <t>Local roads name, length, location, congestion, and year built</t>
  </si>
  <si>
    <t>Related to: Highways in Colorado, Major Roads in Colorado</t>
  </si>
  <si>
    <t>Metro Districts in Colorado</t>
  </si>
  <si>
    <t>Aggregated from thousands of local jurisdictions by the Colorado Department of Local Affairs Demography office. Many of the district boundaries were created from scanned drawings or digitized PDFs, and therefore no guarantee of accuracy can be made for the data.</t>
  </si>
  <si>
    <t>Local Aggregation</t>
  </si>
  <si>
    <t>bic, gocodecolorado, colorado, dola, department of local affairs, districts, special districts, boundaries, metropolitan, metro, gis</t>
  </si>
  <si>
    <t>Special Districts</t>
  </si>
  <si>
    <t>https://storage.googleapis.com/co-publicdata/dlmetro.zip</t>
  </si>
  <si>
    <t>https://demography.dola.colorado.gov/gis/</t>
  </si>
  <si>
    <t>Digitized from scanned images and pdfs</t>
  </si>
  <si>
    <t>vectorized from maps</t>
  </si>
  <si>
    <t>aggregated in GIS</t>
  </si>
  <si>
    <t>alt_addres, lgid, lgname, lgstatusid, lgtypeid, mail_addre, mail_city, mail_state, mail_zip, prev_name, source, url</t>
  </si>
  <si>
    <t>Colorado contains thousands of governmental entities referred to as ’special districts’. Currently there is not a single authoritative source for boundary and/or GIS information of these districts. This project attempts to fill that void. Please note the disclaimer. Since many of these district boundaries trace their origin to scanned drawings or digitized PDFs we can not guarantee the accuracy of the data, and as such, these boundaries should not be seen as an authoritative source of information. The creator (DOLA) and contributors to this project do not guarantee the accuracy of any information presented, are not liable for any errors or omissions and are not responsible for determining fitness for use, either in this map or in its associated data. This data should not be considered an authoritative source of information.</t>
  </si>
  <si>
    <t>https://docs.google.com/spreadsheets/d/1gaOjeXlLzQankggbhtrQq3HDEPfwwiXiPeSZrP6FjOs/edit?usp=sharing</t>
  </si>
  <si>
    <t>not yet verified</t>
  </si>
  <si>
    <t>WGS 84, EPSG:4326</t>
  </si>
  <si>
    <t>Metro district location, name, and contact information</t>
  </si>
  <si>
    <t>Related to: All Special Districts in Colorado, Cemetary Districts in Colorado, Fire Districts in Colorado, Hospital Districts in Colorado, Library Districts in Colorado, Parks and Rec Districts in Colorado, School Districts in Colorado, Soil Districts in Colorado, Water and Sanitation Districts in Colorado</t>
  </si>
  <si>
    <t>303-864-7753</t>
  </si>
  <si>
    <t>Todd Bleess</t>
  </si>
  <si>
    <t>GIS Developer</t>
  </si>
  <si>
    <t>303-864-7754</t>
  </si>
  <si>
    <t>todd.bleess@state.co.us</t>
  </si>
  <si>
    <t>Subcontractors for Lobbyists in Colorado</t>
  </si>
  <si>
    <t>Information for each lobbyist that hires another lobbyist or lobbying business (subcontractor) along with total gross income paid ito the subcontractor in the given report month for the State of Colorado dating back to 2002 provided by the Colorado Department of State (CDOS).</t>
  </si>
  <si>
    <t>bic, gocodecolorado, colorado, sos, secretary of statelobbyists, subcontractors, income, gross income</t>
  </si>
  <si>
    <t>lobbyistlastname, lobbyistfirstname, lobbyistaddress0, lobbyistaddress1, lobbyistcity, lobbyiststate, lobbyistzip, primarylobbyistid, annuallobbyistregistrationid, subcontractorsource, subcontractoraddressline0, subcontractoraddressline1, subcontractorcity, subcontractorstate, subcontractorzip, incomeamountreceived, amountpaidtosubcontractor, incomereceiptdate, subcontractorlastname, subcontractorfirstname, reportmonth, fiscalyear, reportduedate</t>
  </si>
  <si>
    <t>04/01/1996</t>
  </si>
  <si>
    <t>01/16/2018</t>
  </si>
  <si>
    <t>Information for each lobbyist that hires another lobbyist or lobbying business (subcontractor) along with total gross income paid to the subcontractor in the given report month, for the State of Colorado dating back to 2002. Subcontractors are always another lobbyist or lobbying firm, and have to be a registered lobbyist in the current fiscal year. State Liaisons as registered lobbyists are differentiated from professional lobbyists in that they cannot subcontract to other lobbyists. Information related to the bill and position of the subcontractor is reported along with the client of the primary lobbyist in the “Bill Information and Position with Income of Lobbyist in Colorado” table. The primaryLobbyistID field is the number is assigned when the lobbyist registers with the state, and the first four numbers are the year of original registration. The annual lobbyist registration identification number is updated when they register in a current fiscal year, and the first four numbers reflect status of the lobbyist when registering in a current fiscal year (for example, if they were registered in 2015, but did not update their registration in 2016, then the registration id would remain 2015 until they register in a new fiscal year). The data is updated as necessary to the main lobbyist online system via manual entry, however the updates to the Colorado Information Marketplace is only done weekly, every Monday night. Data goes back to 1995, but in 2002 a mandate established that the secretary of state transition to an online system. Then in 2010 Senate Bill 10-87, among other major changes, shifted the lobbyist registration and disclosure periods to the state fiscal year rather than the calendar year. When the data is entered into the system by the lobbyists, subcontractor lobbyists report who their primary lobbyist is. Primary lobbyists do not report who their subcontractors are.</t>
  </si>
  <si>
    <t>Lobbyist and associated subcontractor name and contact, income received by lobbyist, and amount paid to subcontractor</t>
  </si>
  <si>
    <t>Joinable to: Bill Information and Position with Income of Lobbyist in Colorado, Characterization of Lobbyist Clients in Colorado, Directory of Lobbyist Clients in Colorado, Directory of Lobbyists in Colorado, Expenses for Lobbyists in Colorado based on "primaryLobbyistId"</t>
  </si>
  <si>
    <t>Transparency Online Project (TOPS) - State Government Revenue and Expenditures in Colorado</t>
  </si>
  <si>
    <t>Revenue and Expenditures for Colorado State Governmental departments provided by the Department of Personnel &amp; Administration and the Office of the State Controller. Documentation can be found in the long description of the dataset.</t>
  </si>
  <si>
    <t>Government</t>
  </si>
  <si>
    <t>bic, gocodecolorado, dpa, public, affairs, expenditures, revenue, vendors, vend, business, BIC, business, transparency, tops, gov</t>
  </si>
  <si>
    <t>Executive</t>
  </si>
  <si>
    <t>DPA</t>
  </si>
  <si>
    <t>https://apps.colorado.gov/apps/oit/transparency/index.html</t>
  </si>
  <si>
    <t>https://dpa.colorado.gov/</t>
  </si>
  <si>
    <t xml:space="preserve">John McIntosh </t>
  </si>
  <si>
    <t>303-866-6623</t>
  </si>
  <si>
    <t>CORE - Colorado Operations Resource Engine</t>
  </si>
  <si>
    <t>Record level transaction activity</t>
  </si>
  <si>
    <t>Daily data extract from The State of Colorado financial ledger</t>
  </si>
  <si>
    <t>Daily data extract with a two day lag</t>
  </si>
  <si>
    <t>Business Objects report running against The State's ERP system</t>
  </si>
  <si>
    <t>Entity Name, Fiscal Year, Fiscal Period, Journal Date, Type, Vendor Legal Name - Not Redacted, Vendor Invoice, Commodity Description, Cabinet, Department, Unit, Fund Category, Fund, Appropriation Class, Appropriation, GCF, Major Program, Program, CFDA Number, PPC Federal Catalog Agency-Suffix, Statement, Statement Line, Account Category, Account Name, Jrnl Doc Code, Jrnl Doc (Code,Dept,ID,Vers), Record ID, Amount</t>
  </si>
  <si>
    <t>2015</t>
  </si>
  <si>
    <t>2022</t>
  </si>
  <si>
    <t>User Guide: https://github.com/GoCodeColorado/GoCodeColorado-kbase-public/blob/master/Data/CDPA%20Transparency%20Online%20Project%20(TOPS).md</t>
  </si>
  <si>
    <t>Annually</t>
  </si>
  <si>
    <t>Automated - weekly</t>
  </si>
  <si>
    <t>Revenue and Expenditure amounts and departmental and other funding attributes context for a given vendor job in a given period of time.</t>
  </si>
  <si>
    <t>31 gb</t>
  </si>
  <si>
    <t>Paul Reynolds</t>
  </si>
  <si>
    <t>Financial Reporting Manager</t>
  </si>
  <si>
    <t>paul.reynolds@state.co.us</t>
  </si>
  <si>
    <t>John Mcintosh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</si>
</sst>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quot;/&quot;dd&quot;/&quot;yyyy"/>
    <numFmt numFmtId="165" formatCode="M/d/yyyy"/>
  </numFmts>
  <fonts count="16">
    <font>
      <sz val="10.0"/>
      <color rgb="FF000000"/>
      <name val="Arial"/>
      <scheme val="minor"/>
    </font>
    <font>
      <b/>
      <color theme="1"/>
      <name val="Trebuchet MS"/>
    </font>
    <font>
      <color theme="1"/>
      <name val="Trebuchet MS"/>
    </font>
    <font>
      <color theme="1"/>
      <name val="Arial"/>
    </font>
    <font>
      <u/>
      <color rgb="FF1155CC"/>
      <name val="Trebuchet MS"/>
    </font>
    <font>
      <u/>
      <color rgb="FF1155CC"/>
      <name val="Trebuchet MS"/>
    </font>
    <font>
      <u/>
      <sz val="9.0"/>
      <color rgb="FF1155CC"/>
      <name val="Trebuchet MS"/>
    </font>
    <font>
      <u/>
      <color rgb="FF1155CC"/>
      <name val="Arial"/>
    </font>
    <font>
      <u/>
      <color rgb="FF1155CC"/>
      <name val="Arial"/>
    </font>
    <font>
      <u/>
      <sz val="9.0"/>
      <color rgb="FF1155CC"/>
      <name val="Trebuchet MS"/>
    </font>
    <font>
      <u/>
      <color rgb="FF1155CC"/>
      <name val="Trebuchet MS"/>
    </font>
    <font>
      <sz val="11.0"/>
      <color theme="1"/>
      <name val="Calibri"/>
    </font>
    <font>
      <u/>
      <color rgb="FF0000FF"/>
      <name val="Arial"/>
    </font>
    <font>
      <u/>
      <color rgb="FF0000FF"/>
      <name val="Arial"/>
    </font>
    <font>
      <sz val="11.0"/>
      <color rgb="FF1D1C1D"/>
      <name val="Slack-Lato"/>
    </font>
    <font>
      <u/>
      <color rgb="FF0000FF"/>
      <name val="Calibri"/>
    </font>
  </fonts>
  <fills count="8">
    <fill>
      <patternFill patternType="none"/>
    </fill>
    <fill>
      <patternFill patternType="lightGray"/>
    </fill>
    <fill>
      <patternFill patternType="solid">
        <fgColor rgb="FFCCCCCC"/>
        <bgColor rgb="FFCCCCCC"/>
      </patternFill>
    </fill>
    <fill>
      <patternFill patternType="solid">
        <fgColor rgb="FFD9D2E9"/>
        <bgColor rgb="FFD9D2E9"/>
      </patternFill>
    </fill>
    <fill>
      <patternFill patternType="solid">
        <fgColor rgb="FFB7B7B7"/>
        <bgColor rgb="FFB7B7B7"/>
      </patternFill>
    </fill>
    <fill>
      <patternFill patternType="solid">
        <fgColor rgb="FFD5A6BD"/>
        <bgColor rgb="FFD5A6BD"/>
      </patternFill>
    </fill>
    <fill>
      <patternFill patternType="solid">
        <fgColor rgb="FFD9D9D9"/>
        <bgColor rgb="FFD9D9D9"/>
      </patternFill>
    </fill>
    <fill>
      <patternFill patternType="solid">
        <fgColor rgb="FFFFFFFF"/>
        <bgColor rgb="FFFFFFFF"/>
      </patternFill>
    </fill>
  </fills>
  <borders count="2">
    <border/>
    <border>
      <top style="thin">
        <color rgb="FFE4E4E4"/>
      </top>
      <bottom style="thin">
        <color rgb="FFE4E4E4"/>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horizontal="right" shrinkToFit="0" vertical="bottom" wrapText="1"/>
    </xf>
    <xf borderId="0" fillId="0" fontId="1" numFmtId="0" xfId="0" applyAlignment="1" applyFont="1">
      <alignment shrinkToFit="0" vertical="bottom" wrapText="1"/>
    </xf>
    <xf borderId="0" fillId="0" fontId="1" numFmtId="0" xfId="0" applyAlignment="1" applyFont="1">
      <alignment vertical="bottom"/>
    </xf>
    <xf borderId="0" fillId="2" fontId="1" numFmtId="0" xfId="0" applyAlignment="1" applyFill="1" applyFont="1">
      <alignment shrinkToFit="0" vertical="bottom" wrapText="1"/>
    </xf>
    <xf borderId="0" fillId="3" fontId="1" numFmtId="0" xfId="0" applyAlignment="1" applyFill="1" applyFont="1">
      <alignment shrinkToFit="0" vertical="bottom" wrapText="1"/>
    </xf>
    <xf borderId="0" fillId="0" fontId="1" numFmtId="164" xfId="0" applyAlignment="1" applyFont="1" applyNumberFormat="1">
      <alignment shrinkToFit="0" vertical="bottom" wrapText="1"/>
    </xf>
    <xf borderId="0" fillId="0" fontId="1" numFmtId="49" xfId="0" applyAlignment="1" applyFont="1" applyNumberFormat="1">
      <alignment shrinkToFit="0" vertical="bottom" wrapText="1"/>
    </xf>
    <xf borderId="0" fillId="4" fontId="1" numFmtId="0" xfId="0" applyAlignment="1" applyFill="1" applyFont="1">
      <alignment shrinkToFit="0" vertical="bottom" wrapText="1"/>
    </xf>
    <xf borderId="0" fillId="5" fontId="1" numFmtId="0" xfId="0" applyAlignment="1" applyFill="1" applyFont="1">
      <alignment shrinkToFit="0" vertical="bottom" wrapText="1"/>
    </xf>
    <xf borderId="0" fillId="0" fontId="1" numFmtId="164" xfId="0" applyAlignment="1" applyFont="1" applyNumberFormat="1">
      <alignment shrinkToFit="0" vertical="bottom" wrapText="1"/>
    </xf>
    <xf borderId="0" fillId="6" fontId="1" numFmtId="0" xfId="0" applyAlignment="1" applyFill="1" applyFont="1">
      <alignment horizontal="center" shrinkToFit="0" vertical="bottom" wrapText="1"/>
    </xf>
    <xf borderId="0" fillId="2" fontId="1" numFmtId="0" xfId="0" applyAlignment="1" applyFont="1">
      <alignment horizontal="center" shrinkToFit="0" vertical="bottom" wrapText="1"/>
    </xf>
    <xf borderId="0" fillId="5" fontId="1" numFmtId="0" xfId="0" applyAlignment="1" applyFont="1">
      <alignment horizontal="center" shrinkToFit="0" vertical="bottom" wrapText="1"/>
    </xf>
    <xf borderId="0" fillId="0" fontId="2" numFmtId="0" xfId="0" applyAlignment="1" applyFont="1">
      <alignment shrinkToFit="0" vertical="bottom" wrapText="1"/>
    </xf>
    <xf borderId="0" fillId="0" fontId="2" numFmtId="0" xfId="0" applyAlignment="1" applyFont="1">
      <alignment horizontal="right" shrinkToFit="0" vertical="bottom" wrapText="0"/>
    </xf>
    <xf borderId="0" fillId="0" fontId="2" numFmtId="0" xfId="0" applyAlignment="1" applyFont="1">
      <alignment vertical="bottom"/>
    </xf>
    <xf borderId="0" fillId="2" fontId="2" numFmtId="0" xfId="0" applyAlignment="1" applyFont="1">
      <alignment shrinkToFit="0" vertical="bottom" wrapText="0"/>
    </xf>
    <xf borderId="0" fillId="0" fontId="3" numFmtId="0" xfId="0" applyAlignment="1" applyFont="1">
      <alignment vertical="bottom"/>
    </xf>
    <xf borderId="0" fillId="0" fontId="4" numFmtId="0" xfId="0" applyAlignment="1" applyFont="1">
      <alignment shrinkToFit="0" vertical="bottom" wrapText="0"/>
    </xf>
    <xf borderId="0" fillId="3" fontId="2" numFmtId="0" xfId="0" applyAlignment="1" applyFont="1">
      <alignment shrinkToFit="0" vertical="bottom" wrapText="1"/>
    </xf>
    <xf borderId="0" fillId="0" fontId="3" numFmtId="164" xfId="0" applyAlignment="1" applyFont="1" applyNumberFormat="1">
      <alignment vertical="bottom"/>
    </xf>
    <xf borderId="0" fillId="0" fontId="2" numFmtId="0" xfId="0" applyAlignment="1" applyFont="1">
      <alignment shrinkToFit="0" vertical="bottom" wrapText="0"/>
    </xf>
    <xf borderId="0" fillId="0" fontId="2" numFmtId="49" xfId="0" applyAlignment="1" applyFont="1" applyNumberFormat="1">
      <alignment horizontal="right" vertical="bottom"/>
    </xf>
    <xf borderId="0" fillId="4" fontId="2" numFmtId="0" xfId="0" applyAlignment="1" applyFont="1">
      <alignment vertical="bottom"/>
    </xf>
    <xf borderId="0" fillId="4" fontId="2" numFmtId="0" xfId="0" applyAlignment="1" applyFont="1">
      <alignment shrinkToFit="0" vertical="bottom" wrapText="0"/>
    </xf>
    <xf borderId="0" fillId="4" fontId="3" numFmtId="0" xfId="0" applyAlignment="1" applyFont="1">
      <alignment vertical="bottom"/>
    </xf>
    <xf borderId="0" fillId="0" fontId="2" numFmtId="0" xfId="0" applyAlignment="1" applyFont="1">
      <alignment horizontal="right" vertical="bottom"/>
    </xf>
    <xf borderId="0" fillId="0" fontId="2" numFmtId="165" xfId="0" applyAlignment="1" applyFont="1" applyNumberFormat="1">
      <alignment horizontal="right" vertical="bottom"/>
    </xf>
    <xf borderId="0" fillId="6" fontId="2" numFmtId="0" xfId="0" applyAlignment="1" applyFont="1">
      <alignment horizontal="center" vertical="bottom"/>
    </xf>
    <xf borderId="0" fillId="0" fontId="5" numFmtId="0" xfId="0" applyAlignment="1" applyFont="1">
      <alignment vertical="bottom"/>
    </xf>
    <xf borderId="0" fillId="2" fontId="2" numFmtId="0" xfId="0" applyAlignment="1" applyFont="1">
      <alignment horizontal="center" vertical="bottom"/>
    </xf>
    <xf borderId="0" fillId="5" fontId="3" numFmtId="0" xfId="0" applyAlignment="1" applyFont="1">
      <alignment vertical="bottom"/>
    </xf>
    <xf borderId="0" fillId="5" fontId="2" numFmtId="0" xfId="0" applyAlignment="1" applyFont="1">
      <alignment horizontal="center" shrinkToFit="0" vertical="bottom" wrapText="0"/>
    </xf>
    <xf borderId="0" fillId="0" fontId="3" numFmtId="49" xfId="0" applyAlignment="1" applyFont="1" applyNumberFormat="1">
      <alignment vertical="bottom"/>
    </xf>
    <xf borderId="0" fillId="0" fontId="2" numFmtId="164" xfId="0" applyAlignment="1" applyFont="1" applyNumberFormat="1">
      <alignment horizontal="right" vertical="bottom"/>
    </xf>
    <xf borderId="0" fillId="0" fontId="6" numFmtId="0" xfId="0" applyAlignment="1" applyFont="1">
      <alignment shrinkToFit="0" vertical="bottom" wrapText="0"/>
    </xf>
    <xf borderId="0" fillId="0" fontId="7" numFmtId="0" xfId="0" applyAlignment="1" applyFont="1">
      <alignment vertical="bottom"/>
    </xf>
    <xf borderId="0" fillId="7" fontId="3" numFmtId="0" xfId="0" applyAlignment="1" applyFill="1" applyFont="1">
      <alignment vertical="bottom"/>
    </xf>
    <xf borderId="0" fillId="0" fontId="8" numFmtId="0" xfId="0" applyAlignment="1" applyFont="1">
      <alignment shrinkToFit="0" vertical="bottom" wrapText="0"/>
    </xf>
    <xf borderId="0" fillId="3" fontId="3" numFmtId="0" xfId="0" applyAlignment="1" applyFont="1">
      <alignment vertical="bottom"/>
    </xf>
    <xf borderId="0" fillId="7" fontId="9" numFmtId="0" xfId="0" applyAlignment="1" applyFont="1">
      <alignment shrinkToFit="0" vertical="bottom" wrapText="0"/>
    </xf>
    <xf borderId="0" fillId="7" fontId="10" numFmtId="0" xfId="0" applyAlignment="1" applyFont="1">
      <alignment vertical="bottom"/>
    </xf>
    <xf borderId="0" fillId="7" fontId="3" numFmtId="0" xfId="0" applyAlignment="1" applyFont="1">
      <alignment vertical="bottom"/>
    </xf>
    <xf borderId="0" fillId="0" fontId="11" numFmtId="0" xfId="0" applyAlignment="1" applyFont="1">
      <alignment vertical="bottom"/>
    </xf>
    <xf borderId="1" fillId="0" fontId="12" numFmtId="0" xfId="0" applyAlignment="1" applyBorder="1" applyFont="1">
      <alignment vertical="bottom"/>
    </xf>
    <xf borderId="0" fillId="0" fontId="13" numFmtId="0" xfId="0" applyAlignment="1" applyFont="1">
      <alignment vertical="bottom"/>
    </xf>
    <xf borderId="0" fillId="0" fontId="2" numFmtId="164" xfId="0" applyAlignment="1" applyFont="1" applyNumberFormat="1">
      <alignment horizontal="right" vertical="bottom"/>
    </xf>
    <xf borderId="0" fillId="7" fontId="14" numFmtId="0" xfId="0" applyAlignment="1" applyFont="1">
      <alignment horizontal="right" vertical="bottom"/>
    </xf>
    <xf borderId="0" fillId="0" fontId="1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rcgis-app.gjcity.org/arcgis/rest/services/BusinessMap_external_MIL1/MapServer/55/metadata" TargetMode="External"/><Relationship Id="rId42" Type="http://schemas.openxmlformats.org/officeDocument/2006/relationships/hyperlink" Target="https://data.colorado.gov/Business/2023-Plans-Permits/h5jd-ew98" TargetMode="External"/><Relationship Id="rId41" Type="http://schemas.openxmlformats.org/officeDocument/2006/relationships/hyperlink" Target="https://data.colorado.gov/Business/2023-Plans-Permits/h5jd-ew98" TargetMode="External"/><Relationship Id="rId44" Type="http://schemas.openxmlformats.org/officeDocument/2006/relationships/hyperlink" Target="http://www.gjcity.org/Maps/" TargetMode="External"/><Relationship Id="rId43" Type="http://schemas.openxmlformats.org/officeDocument/2006/relationships/hyperlink" Target="https://arcgis-app.gjcity.org/Business%20Map%20External/" TargetMode="External"/><Relationship Id="rId46" Type="http://schemas.openxmlformats.org/officeDocument/2006/relationships/hyperlink" Target="https://arcgis-app.gjcity.org/arcgis/rest/services/BusinessMap_external_MIL1/MapServer/55/metadata" TargetMode="External"/><Relationship Id="rId45" Type="http://schemas.openxmlformats.org/officeDocument/2006/relationships/hyperlink" Target="https://arcgis-app.gjcity.org/arcgis/rest/services/BusinessMap_external_MIL1/MapServer/54" TargetMode="External"/><Relationship Id="rId80" Type="http://schemas.openxmlformats.org/officeDocument/2006/relationships/hyperlink" Target="https://dpa.colorado.gov/" TargetMode="External"/><Relationship Id="rId82" Type="http://schemas.openxmlformats.org/officeDocument/2006/relationships/vmlDrawing" Target="../drawings/vmlDrawing1.vml"/><Relationship Id="rId81" Type="http://schemas.openxmlformats.org/officeDocument/2006/relationships/drawing" Target="../drawings/drawing1.xml"/><Relationship Id="rId1" Type="http://schemas.openxmlformats.org/officeDocument/2006/relationships/comments" Target="../comments1.xml"/><Relationship Id="rId2" Type="http://schemas.openxmlformats.org/officeDocument/2006/relationships/hyperlink" Target="https://www.sos.state.co.us/" TargetMode="External"/><Relationship Id="rId3" Type="http://schemas.openxmlformats.org/officeDocument/2006/relationships/hyperlink" Target="https://www.sos.state.co.us/pubs/lobby/FAQs/professional.html" TargetMode="External"/><Relationship Id="rId4" Type="http://schemas.openxmlformats.org/officeDocument/2006/relationships/hyperlink" Target="https://www2.census.gov/geo/tiger/TIGER_DP/2016ACS/ACS_2016_5YR_ZCTA.gdb.zip" TargetMode="External"/><Relationship Id="rId9" Type="http://schemas.openxmlformats.org/officeDocument/2006/relationships/hyperlink" Target="http://water.state.co.us" TargetMode="External"/><Relationship Id="rId48" Type="http://schemas.openxmlformats.org/officeDocument/2006/relationships/hyperlink" Target="https://data.colorado.gov/Business/2024-Plans-Permits/i35i-dd8x" TargetMode="External"/><Relationship Id="rId47" Type="http://schemas.openxmlformats.org/officeDocument/2006/relationships/hyperlink" Target="https://data.colorado.gov/Business/2024-Plans-Permits/i35i-dd8x" TargetMode="External"/><Relationship Id="rId49" Type="http://schemas.openxmlformats.org/officeDocument/2006/relationships/hyperlink" Target="https://www.sos.state.co.us/" TargetMode="External"/><Relationship Id="rId5" Type="http://schemas.openxmlformats.org/officeDocument/2006/relationships/hyperlink" Target="https://www.colorado.gov/dola" TargetMode="External"/><Relationship Id="rId6" Type="http://schemas.openxmlformats.org/officeDocument/2006/relationships/hyperlink" Target="https://www.census.gov/geo/maps-data/" TargetMode="External"/><Relationship Id="rId7" Type="http://schemas.openxmlformats.org/officeDocument/2006/relationships/hyperlink" Target="https://www.sos.state.co.us/" TargetMode="External"/><Relationship Id="rId8" Type="http://schemas.openxmlformats.org/officeDocument/2006/relationships/hyperlink" Target="https://www.sos.state.co.us/pubs/lobby/FAQs/professional.html" TargetMode="External"/><Relationship Id="rId73" Type="http://schemas.openxmlformats.org/officeDocument/2006/relationships/hyperlink" Target="https://www.colorado.gov/dola" TargetMode="External"/><Relationship Id="rId72" Type="http://schemas.openxmlformats.org/officeDocument/2006/relationships/hyperlink" Target="https://storage.googleapis.com/co-publicdata/dlmetro.zip" TargetMode="External"/><Relationship Id="rId31" Type="http://schemas.openxmlformats.org/officeDocument/2006/relationships/hyperlink" Target="https://arcgis-app.gjcity.org/Business%20Map%20External/" TargetMode="External"/><Relationship Id="rId75" Type="http://schemas.openxmlformats.org/officeDocument/2006/relationships/hyperlink" Target="https://docs.google.com/spreadsheets/d/1gaOjeXlLzQankggbhtrQq3HDEPfwwiXiPeSZrP6FjOs/edit?usp=sharing" TargetMode="External"/><Relationship Id="rId30" Type="http://schemas.openxmlformats.org/officeDocument/2006/relationships/hyperlink" Target="https://data.colorado.gov/Business/2021-Plans-Permits/dcpy-bvxg" TargetMode="External"/><Relationship Id="rId74" Type="http://schemas.openxmlformats.org/officeDocument/2006/relationships/hyperlink" Target="https://demography.dola.colorado.gov/gis/" TargetMode="External"/><Relationship Id="rId33" Type="http://schemas.openxmlformats.org/officeDocument/2006/relationships/hyperlink" Target="https://arcgis-app.gjcity.org/arcgis/rest/services/BusinessMap_external_MIL1/MapServer/54" TargetMode="External"/><Relationship Id="rId77" Type="http://schemas.openxmlformats.org/officeDocument/2006/relationships/hyperlink" Target="https://www.sos.state.co.us/pubs/lobby/FAQs/professional.html" TargetMode="External"/><Relationship Id="rId32" Type="http://schemas.openxmlformats.org/officeDocument/2006/relationships/hyperlink" Target="http://www.gjcity.org/Maps/" TargetMode="External"/><Relationship Id="rId76" Type="http://schemas.openxmlformats.org/officeDocument/2006/relationships/hyperlink" Target="https://www.sos.state.co.us/" TargetMode="External"/><Relationship Id="rId35" Type="http://schemas.openxmlformats.org/officeDocument/2006/relationships/hyperlink" Target="https://data.colorado.gov/Business/2022-Plans-Permits/vzyy-dwzb" TargetMode="External"/><Relationship Id="rId79" Type="http://schemas.openxmlformats.org/officeDocument/2006/relationships/hyperlink" Target="https://dpa.colorado.gov/" TargetMode="External"/><Relationship Id="rId34" Type="http://schemas.openxmlformats.org/officeDocument/2006/relationships/hyperlink" Target="https://arcgis-app.gjcity.org/arcgis/rest/services/BusinessMap_external_MIL1/MapServer/55/metadata" TargetMode="External"/><Relationship Id="rId78" Type="http://schemas.openxmlformats.org/officeDocument/2006/relationships/hyperlink" Target="https://apps.colorado.gov/apps/oit/transparency/index.html" TargetMode="External"/><Relationship Id="rId71" Type="http://schemas.openxmlformats.org/officeDocument/2006/relationships/hyperlink" Target="http://dtdapps.coloradodot.info/otis/catalog" TargetMode="External"/><Relationship Id="rId70" Type="http://schemas.openxmlformats.org/officeDocument/2006/relationships/hyperlink" Target="https://www.codot.gov/" TargetMode="External"/><Relationship Id="rId37" Type="http://schemas.openxmlformats.org/officeDocument/2006/relationships/hyperlink" Target="https://arcgis-app.gjcity.org/Business%20Map%20External/" TargetMode="External"/><Relationship Id="rId36" Type="http://schemas.openxmlformats.org/officeDocument/2006/relationships/hyperlink" Target="https://data.colorado.gov/Business/2022-Plans-Permits/vzyy-dwzb" TargetMode="External"/><Relationship Id="rId39" Type="http://schemas.openxmlformats.org/officeDocument/2006/relationships/hyperlink" Target="https://arcgis-app.gjcity.org/arcgis/rest/services/BusinessMap_external_MIL1/MapServer/54" TargetMode="External"/><Relationship Id="rId38" Type="http://schemas.openxmlformats.org/officeDocument/2006/relationships/hyperlink" Target="http://www.gjcity.org/Maps/" TargetMode="External"/><Relationship Id="rId62" Type="http://schemas.openxmlformats.org/officeDocument/2006/relationships/hyperlink" Target="https://data.colorado.gov/dataset/Grocery-Stores/renj-ri3v" TargetMode="External"/><Relationship Id="rId61" Type="http://schemas.openxmlformats.org/officeDocument/2006/relationships/hyperlink" Target="https://data.colorado.gov/dataset/Grocery-Stores/renj-ri3v" TargetMode="External"/><Relationship Id="rId20" Type="http://schemas.openxmlformats.org/officeDocument/2006/relationships/hyperlink" Target="http://www.gjcity.org/Maps/" TargetMode="External"/><Relationship Id="rId64" Type="http://schemas.openxmlformats.org/officeDocument/2006/relationships/hyperlink" Target="https://www.codot.gov/" TargetMode="External"/><Relationship Id="rId63" Type="http://schemas.openxmlformats.org/officeDocument/2006/relationships/hyperlink" Target="http://dtdapps.coloradodot.info/staticdata/Downloads/StateGeoData/Mileposts.zip" TargetMode="External"/><Relationship Id="rId22" Type="http://schemas.openxmlformats.org/officeDocument/2006/relationships/hyperlink" Target="https://arcgis-app.gjcity.org/arcgis/rest/services/BusinessMap_external_MIL1/MapServer/55/metadata" TargetMode="External"/><Relationship Id="rId66" Type="http://schemas.openxmlformats.org/officeDocument/2006/relationships/hyperlink" Target="http://dtdapps.coloradodot.info/staticdata/Downloads/StateGeoData/Routes.zip" TargetMode="External"/><Relationship Id="rId21" Type="http://schemas.openxmlformats.org/officeDocument/2006/relationships/hyperlink" Target="https://arcgis-app.gjcity.org/arcgis/rest/services/BusinessMap_external_MIL1/MapServer/54" TargetMode="External"/><Relationship Id="rId65" Type="http://schemas.openxmlformats.org/officeDocument/2006/relationships/hyperlink" Target="http://dtdapps.coloradodot.info/otis/catalog" TargetMode="External"/><Relationship Id="rId24" Type="http://schemas.openxmlformats.org/officeDocument/2006/relationships/hyperlink" Target="https://data.colorado.gov/Business/2020-Plans-Permits/u98h-pi4e" TargetMode="External"/><Relationship Id="rId68" Type="http://schemas.openxmlformats.org/officeDocument/2006/relationships/hyperlink" Target="http://dtdapps.coloradodot.info/otis/catalog" TargetMode="External"/><Relationship Id="rId23" Type="http://schemas.openxmlformats.org/officeDocument/2006/relationships/hyperlink" Target="https://data.colorado.gov/Business/2020-Plans-Permits/u98h-pi4e" TargetMode="External"/><Relationship Id="rId67" Type="http://schemas.openxmlformats.org/officeDocument/2006/relationships/hyperlink" Target="https://www.codot.gov/" TargetMode="External"/><Relationship Id="rId60" Type="http://schemas.openxmlformats.org/officeDocument/2006/relationships/hyperlink" Target="https://arcgis-app.gjcity.org/arcgis/rest/services/BusinessMap_external_MIL1/MapServer/1/metadata" TargetMode="External"/><Relationship Id="rId26" Type="http://schemas.openxmlformats.org/officeDocument/2006/relationships/hyperlink" Target="http://www.gjcity.org/Maps/" TargetMode="External"/><Relationship Id="rId25" Type="http://schemas.openxmlformats.org/officeDocument/2006/relationships/hyperlink" Target="https://arcgis-app.gjcity.org/Business%20Map%20External/" TargetMode="External"/><Relationship Id="rId69" Type="http://schemas.openxmlformats.org/officeDocument/2006/relationships/hyperlink" Target="http://dtdapps.coloradodot.info/staticdata/Downloads/StateGeoData/LocalRoads.zip" TargetMode="External"/><Relationship Id="rId28" Type="http://schemas.openxmlformats.org/officeDocument/2006/relationships/hyperlink" Target="https://arcgis-app.gjcity.org/arcgis/rest/services/BusinessMap_external_MIL1/MapServer/55/metadata" TargetMode="External"/><Relationship Id="rId27" Type="http://schemas.openxmlformats.org/officeDocument/2006/relationships/hyperlink" Target="https://arcgis-app.gjcity.org/arcgis/rest/services/BusinessMap_external_MIL1/MapServer/54" TargetMode="External"/><Relationship Id="rId29" Type="http://schemas.openxmlformats.org/officeDocument/2006/relationships/hyperlink" Target="https://data.colorado.gov/Business/2021-Plans-Permits/dcpy-bvxg" TargetMode="External"/><Relationship Id="rId51" Type="http://schemas.openxmlformats.org/officeDocument/2006/relationships/hyperlink" Target="http://www.sos.state.co.us/pubs/lobby/FAQ.html" TargetMode="External"/><Relationship Id="rId50" Type="http://schemas.openxmlformats.org/officeDocument/2006/relationships/hyperlink" Target="https://www.sos.state.co.us/pubs/lobby/FAQs/professional.html" TargetMode="External"/><Relationship Id="rId53" Type="http://schemas.openxmlformats.org/officeDocument/2006/relationships/hyperlink" Target="https://www.sos.state.co.us/pubs/lobby/FAQs/professional.html" TargetMode="External"/><Relationship Id="rId52" Type="http://schemas.openxmlformats.org/officeDocument/2006/relationships/hyperlink" Target="https://www.sos.state.co.us/" TargetMode="External"/><Relationship Id="rId11" Type="http://schemas.openxmlformats.org/officeDocument/2006/relationships/hyperlink" Target="https://data.colorado.gov/Water/DWR-Current-Surface-Water-Conditions/4yw9-a5y6" TargetMode="External"/><Relationship Id="rId55" Type="http://schemas.openxmlformats.org/officeDocument/2006/relationships/hyperlink" Target="https://www.sos.state.co.us/pubs/lobby/FAQs/professional.html" TargetMode="External"/><Relationship Id="rId10" Type="http://schemas.openxmlformats.org/officeDocument/2006/relationships/hyperlink" Target="http://water.state.co.us/Home/Pages/default.aspx" TargetMode="External"/><Relationship Id="rId54" Type="http://schemas.openxmlformats.org/officeDocument/2006/relationships/hyperlink" Target="https://www.sos.state.co.us/" TargetMode="External"/><Relationship Id="rId13" Type="http://schemas.openxmlformats.org/officeDocument/2006/relationships/hyperlink" Target="https://arcgis-app.gjcity.org/Business%20Map%20External/" TargetMode="External"/><Relationship Id="rId57" Type="http://schemas.openxmlformats.org/officeDocument/2006/relationships/hyperlink" Target="https://arcgis-app.gjcity.org/Business%20Map%20External/" TargetMode="External"/><Relationship Id="rId12" Type="http://schemas.openxmlformats.org/officeDocument/2006/relationships/hyperlink" Target="https://data.colorado.gov/Water/DWR-Current-Surface-Water-Conditions/4yw9-a5y6" TargetMode="External"/><Relationship Id="rId56" Type="http://schemas.openxmlformats.org/officeDocument/2006/relationships/hyperlink" Target="https://www.colorado.gov/agmain" TargetMode="External"/><Relationship Id="rId15" Type="http://schemas.openxmlformats.org/officeDocument/2006/relationships/hyperlink" Target="https://arcgis-app.gjcity.org/arcgis/rest/services/BusinessMap_external_MIL1/MapServer/54" TargetMode="External"/><Relationship Id="rId59" Type="http://schemas.openxmlformats.org/officeDocument/2006/relationships/hyperlink" Target="https://arcgis-app.gjcity.org/arcgis/rest/services/BusinessMap_external_MIL1/MapServer" TargetMode="External"/><Relationship Id="rId14" Type="http://schemas.openxmlformats.org/officeDocument/2006/relationships/hyperlink" Target="http://www.gjcity.org/Maps/" TargetMode="External"/><Relationship Id="rId58" Type="http://schemas.openxmlformats.org/officeDocument/2006/relationships/hyperlink" Target="http://www.gjcity.org/Maps/" TargetMode="External"/><Relationship Id="rId17" Type="http://schemas.openxmlformats.org/officeDocument/2006/relationships/hyperlink" Target="https://data.colorado.gov/dataset/2020-Plans-Permits/425c-yib4" TargetMode="External"/><Relationship Id="rId16" Type="http://schemas.openxmlformats.org/officeDocument/2006/relationships/hyperlink" Target="https://arcgis-app.gjcity.org/arcgis/rest/services/BusinessMap_external_MIL1/MapServer/55/metadata" TargetMode="External"/><Relationship Id="rId19" Type="http://schemas.openxmlformats.org/officeDocument/2006/relationships/hyperlink" Target="https://arcgis-app.gjcity.org/Business%20Map%20External/" TargetMode="External"/><Relationship Id="rId18" Type="http://schemas.openxmlformats.org/officeDocument/2006/relationships/hyperlink" Target="https://data.colorado.gov/dataset/2020-Plans-Permits/425c-yib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3" t="s">
        <v>3</v>
      </c>
      <c r="E1" s="2" t="s">
        <v>4</v>
      </c>
      <c r="F1" s="2" t="s">
        <v>5</v>
      </c>
      <c r="G1" s="2" t="s">
        <v>6</v>
      </c>
      <c r="H1" s="4" t="s">
        <v>7</v>
      </c>
      <c r="I1" s="2" t="s">
        <v>8</v>
      </c>
      <c r="J1" s="2" t="s">
        <v>9</v>
      </c>
      <c r="K1" s="4" t="s">
        <v>10</v>
      </c>
      <c r="L1" s="2" t="s">
        <v>11</v>
      </c>
      <c r="M1" s="2" t="s">
        <v>12</v>
      </c>
      <c r="N1" s="5" t="s">
        <v>13</v>
      </c>
      <c r="O1" s="5" t="s">
        <v>14</v>
      </c>
      <c r="P1" s="2" t="s">
        <v>15</v>
      </c>
      <c r="Q1" s="2" t="s">
        <v>16</v>
      </c>
      <c r="R1" s="2" t="s">
        <v>17</v>
      </c>
      <c r="S1" s="2" t="s">
        <v>18</v>
      </c>
      <c r="T1" s="2" t="s">
        <v>19</v>
      </c>
      <c r="U1" s="2" t="s">
        <v>20</v>
      </c>
      <c r="V1" s="2" t="s">
        <v>21</v>
      </c>
      <c r="W1" s="6" t="s">
        <v>22</v>
      </c>
      <c r="X1" s="2" t="s">
        <v>23</v>
      </c>
      <c r="Y1" s="7" t="s">
        <v>24</v>
      </c>
      <c r="Z1" s="7" t="s">
        <v>25</v>
      </c>
      <c r="AA1" s="2" t="s">
        <v>26</v>
      </c>
      <c r="AB1" s="2" t="s">
        <v>27</v>
      </c>
      <c r="AC1" s="2" t="s">
        <v>28</v>
      </c>
      <c r="AD1" s="2" t="s">
        <v>29</v>
      </c>
      <c r="AE1" s="2" t="s">
        <v>30</v>
      </c>
      <c r="AF1" s="2" t="s">
        <v>31</v>
      </c>
      <c r="AG1" s="2" t="s">
        <v>32</v>
      </c>
      <c r="AH1" s="2" t="s">
        <v>33</v>
      </c>
      <c r="AI1" s="2" t="s">
        <v>34</v>
      </c>
      <c r="AJ1" s="2" t="s">
        <v>35</v>
      </c>
      <c r="AK1" s="8" t="s">
        <v>36</v>
      </c>
      <c r="AL1" s="8" t="s">
        <v>37</v>
      </c>
      <c r="AM1" s="8" t="s">
        <v>38</v>
      </c>
      <c r="AN1" s="8" t="s">
        <v>39</v>
      </c>
      <c r="AO1" s="8" t="s">
        <v>40</v>
      </c>
      <c r="AP1" s="2" t="s">
        <v>41</v>
      </c>
      <c r="AQ1" s="2" t="s">
        <v>42</v>
      </c>
      <c r="AR1" s="2" t="s">
        <v>43</v>
      </c>
      <c r="AS1" s="2" t="s">
        <v>44</v>
      </c>
      <c r="AT1" s="2" t="s">
        <v>45</v>
      </c>
      <c r="AU1" s="2" t="s">
        <v>46</v>
      </c>
      <c r="AV1" s="9" t="s">
        <v>47</v>
      </c>
      <c r="AW1" s="9" t="s">
        <v>48</v>
      </c>
      <c r="AX1" s="10" t="s">
        <v>49</v>
      </c>
      <c r="AY1" s="11" t="s">
        <v>50</v>
      </c>
      <c r="AZ1" s="7" t="s">
        <v>51</v>
      </c>
      <c r="BA1" s="2" t="s">
        <v>52</v>
      </c>
      <c r="BB1" s="2" t="s">
        <v>53</v>
      </c>
      <c r="BC1" s="2" t="s">
        <v>54</v>
      </c>
      <c r="BD1" s="2" t="s">
        <v>55</v>
      </c>
      <c r="BE1" s="2" t="s">
        <v>56</v>
      </c>
      <c r="BF1" s="4" t="s">
        <v>57</v>
      </c>
      <c r="BG1" s="12" t="s">
        <v>58</v>
      </c>
      <c r="BH1" s="2" t="s">
        <v>59</v>
      </c>
      <c r="BI1" s="13" t="s">
        <v>60</v>
      </c>
      <c r="BJ1" s="13" t="s">
        <v>61</v>
      </c>
      <c r="BK1" s="13" t="s">
        <v>62</v>
      </c>
      <c r="BL1" s="13" t="s">
        <v>63</v>
      </c>
      <c r="BM1" s="13" t="s">
        <v>64</v>
      </c>
      <c r="BN1" s="13" t="s">
        <v>65</v>
      </c>
      <c r="BO1" s="13" t="s">
        <v>66</v>
      </c>
      <c r="BP1" s="13" t="s">
        <v>67</v>
      </c>
      <c r="BQ1" s="13" t="s">
        <v>68</v>
      </c>
      <c r="BR1" s="13" t="s">
        <v>69</v>
      </c>
    </row>
    <row r="2">
      <c r="A2" s="14" t="s">
        <v>70</v>
      </c>
      <c r="B2" s="15" t="s">
        <v>71</v>
      </c>
      <c r="C2" s="16" t="s">
        <v>72</v>
      </c>
      <c r="D2" s="16" t="s">
        <v>73</v>
      </c>
      <c r="E2" s="14" t="s">
        <v>74</v>
      </c>
      <c r="F2" s="16" t="s">
        <v>75</v>
      </c>
      <c r="G2" s="16" t="s">
        <v>76</v>
      </c>
      <c r="H2" s="17" t="str">
        <f t="shared" ref="H2:H22" si="1">IFERROR(G2&amp;" - "&amp;INDEX(Taxonomy!N:N,MATCH(G2,Taxonomy!M:M,0)),G2)</f>
        <v>CDOS</v>
      </c>
      <c r="I2" s="18"/>
      <c r="J2" s="16" t="s">
        <v>76</v>
      </c>
      <c r="K2" s="17" t="str">
        <f t="shared" ref="K2:K22" si="2">IFERROR(J2&amp;" - "&amp;INDEX(Taxonomy!N:N,MATCH(J2,Taxonomy!M:M,0)), J2)</f>
        <v>CDOS</v>
      </c>
      <c r="L2" s="19" t="s">
        <v>77</v>
      </c>
      <c r="M2" s="19" t="s">
        <v>78</v>
      </c>
      <c r="N2" s="20" t="s">
        <v>79</v>
      </c>
      <c r="O2" s="20" t="s">
        <v>79</v>
      </c>
      <c r="P2" s="18"/>
      <c r="Q2" s="16" t="s">
        <v>80</v>
      </c>
      <c r="R2" s="18"/>
      <c r="S2" s="16" t="s">
        <v>81</v>
      </c>
      <c r="T2" s="18"/>
      <c r="U2" s="18"/>
      <c r="V2" s="18"/>
      <c r="W2" s="21"/>
      <c r="X2" s="22" t="s">
        <v>82</v>
      </c>
      <c r="Y2" s="23" t="s">
        <v>83</v>
      </c>
      <c r="Z2" s="23" t="s">
        <v>84</v>
      </c>
      <c r="AA2" s="22" t="s">
        <v>85</v>
      </c>
      <c r="AB2" s="18"/>
      <c r="AC2" s="18"/>
      <c r="AD2" s="18"/>
      <c r="AE2" s="18"/>
      <c r="AF2" s="18"/>
      <c r="AG2" s="18"/>
      <c r="AH2" s="18"/>
      <c r="AI2" s="18"/>
      <c r="AJ2" s="18"/>
      <c r="AK2" s="24" t="str">
        <f t="shared" ref="AK2:AK22" si="3">IF(AO2="Static", "None", IF(AO2="Manual - monthly", "4th of month", IF(AO2="Automated - weekly", "Tuesday after 12AM", IF(AO2="Automated - monthly", "4th of month", IF(AO2="Manual - annual", "Annually", IF(AO2="Automated - broken", "Automation in progress", IF(AO2="Automated - daily", "Every day after midnight", "")))))))</f>
        <v>None</v>
      </c>
      <c r="AL2" s="25" t="str">
        <f t="shared" ref="AL2:AL5" si="4">IF(AO2="Static", "None", IF(AO2="Manual - monthly", "Manual", IF(AO2="Automated - weekly", "Automated by Staging Server", IF(AO2="Automated - monthly", "Automated by Staging Server", IF(AO2="Manual - annual", "Manual", IF(AO2="Automated - broken", "Automated by Staging Server", IF(AO2="Automated - daily", "Automated by Staging Server", "")))))))</f>
        <v>None</v>
      </c>
      <c r="AM2" s="26"/>
      <c r="AN2" s="26"/>
      <c r="AO2" s="25" t="s">
        <v>86</v>
      </c>
      <c r="AP2" s="18"/>
      <c r="AQ2" s="18"/>
      <c r="AR2" s="18"/>
      <c r="AS2" s="22" t="s">
        <v>87</v>
      </c>
      <c r="AT2" s="27">
        <v>54140.0</v>
      </c>
      <c r="AU2" s="18"/>
      <c r="AV2" s="18"/>
      <c r="AW2" s="18"/>
      <c r="AX2" s="28">
        <v>42547.0</v>
      </c>
      <c r="AY2" s="29">
        <f t="shared" ref="AY2:AY22" si="5">IF(DATEVALUE(AX2) &lt; DATE(2014,7,1), 1, IF(DATEVALUE(AX2)&lt;DATE(2015,7,1),2,IF(DATEVALUE(AX2)&lt;DATE(2016,7,1),3,IF(DATEVALUE(AX2)&lt;DATE(2017,7,1),4,IF(DATEVALUE(AX2)&lt;DATE(2018,7,1),5,IF(DATEVALUE(AX2)&lt;DATE(2019,7,1),6,IF(DATEVALUE(AX2) &lt; DATE(2020,7,1), 7, IF(DATEVALUE(AX2) &lt; DATE(2021,7,1), 8, IF(DATEVALUE(AX2) &lt; DATE(2022,7,1), 9, IF(DATEVALUE(AX2) &lt; DATE(2023,7,1), 10, IF(DATEVALUE(AX2) &lt; DATE(2024,7,1), 11,IF(DATEVALUE(AX2) &lt; DATE(2025,7,1),12,0))))))))))))</f>
        <v>3</v>
      </c>
      <c r="AZ2" s="30" t="str">
        <f>HYPERLINK("https://data.colorado.gov/Legislative/Bill-Information-and-Position-with-Income-of-Lobby/gxnn-wthy","gxnn-wthy")</f>
        <v>gxnn-wthy</v>
      </c>
      <c r="BA2" s="30" t="str">
        <f>HYPERLINK("https://data.colorado.gov/resource/a2bk-zr8i.json","a2bk-zr8i")</f>
        <v>a2bk-zr8i</v>
      </c>
      <c r="BB2" s="18"/>
      <c r="BC2" s="18"/>
      <c r="BD2" s="18"/>
      <c r="BE2" s="16" t="s">
        <v>88</v>
      </c>
      <c r="BF2" s="31">
        <f t="shared" ref="BF2:BF22" si="6">IF(AND(MONTH(AX2)&gt;=7,MONTH(AX2)&lt;=9), 1, IF(AND(MONTH(AX2)&gt;=9,MONTH(AX2)&lt;=12), 2, IF(AND(MONTH(AX2)&gt;=1,MONTH(AX2)&lt;=3), 3, IF(AND(MONTH(AX2)&gt;=4,MONTH(AX2)&lt;=6), 4))))</f>
        <v>4</v>
      </c>
      <c r="BG2" s="31" t="str">
        <f t="shared" ref="BG2:BG22" si="7">LEFT(XLOOKUP(AZ2, cimAllData!$B$2:B1001, cimAllData!$F$2:$F1001), 10)</f>
        <v>#REF!</v>
      </c>
      <c r="BH2" s="18"/>
      <c r="BI2" s="32"/>
      <c r="BJ2" s="33" t="s">
        <v>89</v>
      </c>
      <c r="BK2" s="32"/>
      <c r="BL2" s="32"/>
      <c r="BM2" s="33" t="s">
        <v>90</v>
      </c>
      <c r="BN2" s="33" t="s">
        <v>91</v>
      </c>
      <c r="BO2" s="33" t="s">
        <v>92</v>
      </c>
      <c r="BP2" s="33" t="s">
        <v>93</v>
      </c>
      <c r="BQ2" s="33" t="s">
        <v>94</v>
      </c>
      <c r="BR2" s="33" t="s">
        <v>95</v>
      </c>
    </row>
    <row r="3">
      <c r="A3" s="14" t="s">
        <v>96</v>
      </c>
      <c r="B3" s="22" t="s">
        <v>97</v>
      </c>
      <c r="C3" s="16" t="s">
        <v>98</v>
      </c>
      <c r="D3" s="16" t="s">
        <v>99</v>
      </c>
      <c r="E3" s="14" t="s">
        <v>100</v>
      </c>
      <c r="F3" s="16" t="s">
        <v>75</v>
      </c>
      <c r="G3" s="16" t="s">
        <v>101</v>
      </c>
      <c r="H3" s="17" t="str">
        <f t="shared" si="1"/>
        <v>DOLA</v>
      </c>
      <c r="I3" s="30" t="s">
        <v>102</v>
      </c>
      <c r="J3" s="16" t="s">
        <v>101</v>
      </c>
      <c r="K3" s="17" t="str">
        <f t="shared" si="2"/>
        <v>DOLA</v>
      </c>
      <c r="L3" s="19" t="s">
        <v>103</v>
      </c>
      <c r="M3" s="19" t="s">
        <v>104</v>
      </c>
      <c r="N3" s="20" t="s">
        <v>79</v>
      </c>
      <c r="O3" s="20" t="s">
        <v>79</v>
      </c>
      <c r="P3" s="18"/>
      <c r="Q3" s="16" t="s">
        <v>105</v>
      </c>
      <c r="R3" s="18"/>
      <c r="S3" s="16" t="s">
        <v>81</v>
      </c>
      <c r="T3" s="22" t="s">
        <v>106</v>
      </c>
      <c r="U3" s="22" t="s">
        <v>107</v>
      </c>
      <c r="V3" s="16" t="s">
        <v>108</v>
      </c>
      <c r="W3" s="27">
        <v>2016.0</v>
      </c>
      <c r="X3" s="18"/>
      <c r="Y3" s="34"/>
      <c r="Z3" s="34"/>
      <c r="AA3" s="22" t="s">
        <v>109</v>
      </c>
      <c r="AB3" s="18"/>
      <c r="AC3" s="18"/>
      <c r="AD3" s="18"/>
      <c r="AE3" s="18"/>
      <c r="AF3" s="18"/>
      <c r="AG3" s="18"/>
      <c r="AH3" s="18"/>
      <c r="AI3" s="16" t="s">
        <v>110</v>
      </c>
      <c r="AJ3" s="16" t="s">
        <v>111</v>
      </c>
      <c r="AK3" s="24" t="str">
        <f t="shared" si="3"/>
        <v>None</v>
      </c>
      <c r="AL3" s="25" t="str">
        <f t="shared" si="4"/>
        <v>None</v>
      </c>
      <c r="AM3" s="26"/>
      <c r="AN3" s="26"/>
      <c r="AO3" s="25" t="s">
        <v>86</v>
      </c>
      <c r="AP3" s="27">
        <v>526.0</v>
      </c>
      <c r="AQ3" s="18"/>
      <c r="AR3" s="18"/>
      <c r="AS3" s="22" t="s">
        <v>112</v>
      </c>
      <c r="AT3" s="27">
        <v>526.0</v>
      </c>
      <c r="AU3" s="27" t="s">
        <v>113</v>
      </c>
      <c r="AV3" s="18"/>
      <c r="AW3" s="16" t="s">
        <v>114</v>
      </c>
      <c r="AX3" s="35">
        <v>43186.0</v>
      </c>
      <c r="AY3" s="29">
        <f t="shared" si="5"/>
        <v>5</v>
      </c>
      <c r="AZ3" s="36" t="str">
        <f>HYPERLINK("https://data.colorado.gov/dataset/Census-Block-Groups-in-Colorado-2016/gg8x-5kdz","gg8x-5kdz")</f>
        <v>gg8x-5kdz</v>
      </c>
      <c r="BA3" s="30" t="str">
        <f>HYPERLINK("https://dev.socrata.com/foundry/data.colorado.gov/55mv-2ynf","55mv-2ynf")</f>
        <v>55mv-2ynf</v>
      </c>
      <c r="BB3" s="36" t="str">
        <f>HYPERLINK("https://data.colorado.gov/dataset/Census-Block-Groups-in-Colorado-2016/rwak-e74e","rwak-e74e")</f>
        <v>rwak-e74e</v>
      </c>
      <c r="BC3" s="16" t="s">
        <v>115</v>
      </c>
      <c r="BD3" s="22" t="s">
        <v>116</v>
      </c>
      <c r="BE3" s="18"/>
      <c r="BF3" s="31">
        <f t="shared" si="6"/>
        <v>3</v>
      </c>
      <c r="BG3" s="31" t="str">
        <f t="shared" si="7"/>
        <v>#REF!</v>
      </c>
      <c r="BH3" s="18"/>
      <c r="BI3" s="33" t="s">
        <v>117</v>
      </c>
      <c r="BJ3" s="33" t="s">
        <v>118</v>
      </c>
      <c r="BK3" s="33" t="s">
        <v>119</v>
      </c>
      <c r="BL3" s="33" t="s">
        <v>120</v>
      </c>
      <c r="BM3" s="32"/>
      <c r="BN3" s="32"/>
      <c r="BO3" s="32"/>
      <c r="BP3" s="32"/>
      <c r="BQ3" s="32"/>
      <c r="BR3" s="32"/>
    </row>
    <row r="4">
      <c r="A4" s="14" t="s">
        <v>121</v>
      </c>
      <c r="B4" s="22" t="s">
        <v>122</v>
      </c>
      <c r="C4" s="16" t="s">
        <v>72</v>
      </c>
      <c r="D4" s="16" t="s">
        <v>123</v>
      </c>
      <c r="E4" s="14" t="s">
        <v>124</v>
      </c>
      <c r="F4" s="16" t="s">
        <v>75</v>
      </c>
      <c r="G4" s="16" t="s">
        <v>76</v>
      </c>
      <c r="H4" s="17" t="str">
        <f t="shared" si="1"/>
        <v>CDOS</v>
      </c>
      <c r="I4" s="18"/>
      <c r="J4" s="16" t="s">
        <v>76</v>
      </c>
      <c r="K4" s="17" t="str">
        <f t="shared" si="2"/>
        <v>CDOS</v>
      </c>
      <c r="L4" s="19" t="s">
        <v>77</v>
      </c>
      <c r="M4" s="19" t="s">
        <v>78</v>
      </c>
      <c r="N4" s="20" t="s">
        <v>79</v>
      </c>
      <c r="O4" s="20" t="s">
        <v>79</v>
      </c>
      <c r="P4" s="18"/>
      <c r="Q4" s="16" t="s">
        <v>80</v>
      </c>
      <c r="R4" s="18"/>
      <c r="S4" s="16" t="s">
        <v>81</v>
      </c>
      <c r="T4" s="18"/>
      <c r="U4" s="18"/>
      <c r="V4" s="18"/>
      <c r="W4" s="21"/>
      <c r="X4" s="22" t="s">
        <v>125</v>
      </c>
      <c r="Y4" s="34"/>
      <c r="Z4" s="34"/>
      <c r="AA4" s="22" t="s">
        <v>126</v>
      </c>
      <c r="AB4" s="18"/>
      <c r="AC4" s="18"/>
      <c r="AD4" s="18"/>
      <c r="AE4" s="18"/>
      <c r="AF4" s="18"/>
      <c r="AG4" s="18"/>
      <c r="AH4" s="18"/>
      <c r="AI4" s="18"/>
      <c r="AJ4" s="18"/>
      <c r="AK4" s="24" t="str">
        <f t="shared" si="3"/>
        <v>None</v>
      </c>
      <c r="AL4" s="25" t="str">
        <f t="shared" si="4"/>
        <v>None</v>
      </c>
      <c r="AM4" s="26"/>
      <c r="AN4" s="26"/>
      <c r="AO4" s="25" t="s">
        <v>86</v>
      </c>
      <c r="AP4" s="18"/>
      <c r="AQ4" s="18"/>
      <c r="AR4" s="18"/>
      <c r="AS4" s="22" t="s">
        <v>127</v>
      </c>
      <c r="AT4" s="27">
        <v>14490.0</v>
      </c>
      <c r="AU4" s="18"/>
      <c r="AV4" s="18"/>
      <c r="AW4" s="18"/>
      <c r="AX4" s="28">
        <v>42547.0</v>
      </c>
      <c r="AY4" s="29">
        <f t="shared" si="5"/>
        <v>3</v>
      </c>
      <c r="AZ4" s="30" t="str">
        <f>HYPERLINK("https://data.colorado.gov/Legislative/Characterization-of-Lobbyist-Clients-in-Colorado/g89g-muvw","g89g-muvw")</f>
        <v>g89g-muvw</v>
      </c>
      <c r="BA4" s="30" t="str">
        <f>HYPERLINK("https://data.colorado.gov/resource/kr2z-56yf.json","kr2z-56yf")</f>
        <v>kr2z-56yf</v>
      </c>
      <c r="BB4" s="18"/>
      <c r="BC4" s="18"/>
      <c r="BD4" s="18"/>
      <c r="BE4" s="16" t="s">
        <v>128</v>
      </c>
      <c r="BF4" s="31">
        <f t="shared" si="6"/>
        <v>4</v>
      </c>
      <c r="BG4" s="31" t="str">
        <f t="shared" si="7"/>
        <v>#REF!</v>
      </c>
      <c r="BH4" s="18"/>
      <c r="BI4" s="32"/>
      <c r="BJ4" s="33" t="s">
        <v>89</v>
      </c>
      <c r="BK4" s="32"/>
      <c r="BL4" s="32"/>
      <c r="BM4" s="33" t="s">
        <v>90</v>
      </c>
      <c r="BN4" s="33" t="s">
        <v>91</v>
      </c>
      <c r="BO4" s="33" t="s">
        <v>92</v>
      </c>
      <c r="BP4" s="33" t="s">
        <v>93</v>
      </c>
      <c r="BQ4" s="33" t="s">
        <v>94</v>
      </c>
      <c r="BR4" s="33" t="s">
        <v>95</v>
      </c>
    </row>
    <row r="5">
      <c r="A5" s="14" t="s">
        <v>129</v>
      </c>
      <c r="B5" s="22" t="s">
        <v>130</v>
      </c>
      <c r="C5" s="16" t="s">
        <v>131</v>
      </c>
      <c r="D5" s="16" t="s">
        <v>132</v>
      </c>
      <c r="E5" s="14" t="s">
        <v>133</v>
      </c>
      <c r="F5" s="16" t="s">
        <v>75</v>
      </c>
      <c r="G5" s="16" t="s">
        <v>134</v>
      </c>
      <c r="H5" s="17" t="str">
        <f t="shared" si="1"/>
        <v>DWR</v>
      </c>
      <c r="I5" s="30" t="s">
        <v>135</v>
      </c>
      <c r="J5" s="16" t="s">
        <v>134</v>
      </c>
      <c r="K5" s="17" t="str">
        <f t="shared" si="2"/>
        <v>DWR</v>
      </c>
      <c r="L5" s="37" t="s">
        <v>136</v>
      </c>
      <c r="M5" s="18"/>
      <c r="N5" s="20" t="s">
        <v>79</v>
      </c>
      <c r="O5" s="20" t="s">
        <v>79</v>
      </c>
      <c r="P5" s="18"/>
      <c r="Q5" s="16" t="s">
        <v>80</v>
      </c>
      <c r="R5" s="18"/>
      <c r="S5" s="16" t="s">
        <v>81</v>
      </c>
      <c r="T5" s="18"/>
      <c r="U5" s="18"/>
      <c r="V5" s="18"/>
      <c r="W5" s="21"/>
      <c r="X5" s="22" t="s">
        <v>137</v>
      </c>
      <c r="Y5" s="23" t="s">
        <v>138</v>
      </c>
      <c r="Z5" s="23" t="s">
        <v>139</v>
      </c>
      <c r="AA5" s="22" t="s">
        <v>130</v>
      </c>
      <c r="AB5" s="18"/>
      <c r="AC5" s="18"/>
      <c r="AD5" s="18"/>
      <c r="AE5" s="18"/>
      <c r="AF5" s="18"/>
      <c r="AG5" s="18"/>
      <c r="AH5" s="18"/>
      <c r="AI5" s="18"/>
      <c r="AJ5" s="18"/>
      <c r="AK5" s="24" t="str">
        <f t="shared" si="3"/>
        <v>Every day after midnight</v>
      </c>
      <c r="AL5" s="25" t="str">
        <f t="shared" si="4"/>
        <v>Automated by Staging Server</v>
      </c>
      <c r="AM5" s="26"/>
      <c r="AN5" s="26"/>
      <c r="AO5" s="25" t="s">
        <v>140</v>
      </c>
      <c r="AP5" s="18"/>
      <c r="AQ5" s="18"/>
      <c r="AR5" s="18"/>
      <c r="AS5" s="18"/>
      <c r="AT5" s="18"/>
      <c r="AU5" s="18"/>
      <c r="AV5" s="18"/>
      <c r="AW5" s="18"/>
      <c r="AX5" s="35">
        <v>41577.0</v>
      </c>
      <c r="AY5" s="29">
        <f t="shared" si="5"/>
        <v>1</v>
      </c>
      <c r="AZ5" s="36" t="s">
        <v>141</v>
      </c>
      <c r="BA5" s="36" t="s">
        <v>141</v>
      </c>
      <c r="BB5" s="38"/>
      <c r="BC5" s="38"/>
      <c r="BD5" s="18"/>
      <c r="BE5" s="38"/>
      <c r="BF5" s="31">
        <f t="shared" si="6"/>
        <v>2</v>
      </c>
      <c r="BG5" s="31" t="str">
        <f t="shared" si="7"/>
        <v>#REF!</v>
      </c>
      <c r="BH5" s="18"/>
      <c r="BI5" s="32"/>
      <c r="BJ5" s="32"/>
      <c r="BK5" s="32"/>
      <c r="BL5" s="32"/>
      <c r="BM5" s="32"/>
      <c r="BN5" s="32"/>
      <c r="BO5" s="32"/>
      <c r="BP5" s="32"/>
      <c r="BQ5" s="32"/>
      <c r="BR5" s="32"/>
    </row>
    <row r="6">
      <c r="A6" s="14" t="s">
        <v>142</v>
      </c>
      <c r="B6" s="22" t="s">
        <v>143</v>
      </c>
      <c r="C6" s="16" t="s">
        <v>144</v>
      </c>
      <c r="D6" s="16" t="s">
        <v>145</v>
      </c>
      <c r="E6" s="14" t="s">
        <v>144</v>
      </c>
      <c r="F6" s="16" t="s">
        <v>146</v>
      </c>
      <c r="G6" s="16" t="s">
        <v>147</v>
      </c>
      <c r="H6" s="17" t="str">
        <f t="shared" si="1"/>
        <v>City of Grand Junction</v>
      </c>
      <c r="I6" s="19" t="s">
        <v>148</v>
      </c>
      <c r="J6" s="16" t="s">
        <v>76</v>
      </c>
      <c r="K6" s="17" t="str">
        <f t="shared" si="2"/>
        <v>CDOS</v>
      </c>
      <c r="L6" s="37" t="s">
        <v>149</v>
      </c>
      <c r="M6" s="39" t="s">
        <v>150</v>
      </c>
      <c r="N6" s="20" t="s">
        <v>151</v>
      </c>
      <c r="O6" s="40"/>
      <c r="P6" s="18"/>
      <c r="Q6" s="16" t="s">
        <v>152</v>
      </c>
      <c r="R6" s="18"/>
      <c r="S6" s="16" t="s">
        <v>147</v>
      </c>
      <c r="T6" s="18"/>
      <c r="U6" s="18"/>
      <c r="V6" s="18"/>
      <c r="W6" s="21"/>
      <c r="X6" s="22" t="s">
        <v>153</v>
      </c>
      <c r="Y6" s="34"/>
      <c r="Z6" s="34"/>
      <c r="AA6" s="22" t="s">
        <v>154</v>
      </c>
      <c r="AB6" s="18"/>
      <c r="AC6" s="19" t="s">
        <v>155</v>
      </c>
      <c r="AD6" s="18"/>
      <c r="AE6" s="18"/>
      <c r="AF6" s="18"/>
      <c r="AG6" s="18"/>
      <c r="AH6" s="18"/>
      <c r="AI6" s="18"/>
      <c r="AJ6" s="18"/>
      <c r="AK6" s="24" t="str">
        <f t="shared" si="3"/>
        <v>None</v>
      </c>
      <c r="AL6" s="25" t="str">
        <f t="shared" ref="AL6:AL11" si="8">iferror(IF(AO6="Static", "None", IF(AO6="Manual - monthly", "Manual", IF(AO6="Automated - weekly", "Automated by Staging Server", IF(AO6="Automated - monthly", "Automated by Staging Server", IF(AO6="Manual - annual", "Manual", IF(AO6="Automated - broken", "Automated by Staging Server", IF(AO6="Automated - daily", "Automated by Staging Server", ""))))))),"")</f>
        <v>None</v>
      </c>
      <c r="AM6" s="26"/>
      <c r="AN6" s="25" t="s">
        <v>156</v>
      </c>
      <c r="AO6" s="25" t="s">
        <v>86</v>
      </c>
      <c r="AP6" s="18"/>
      <c r="AQ6" s="18"/>
      <c r="AR6" s="18"/>
      <c r="AS6" s="22" t="s">
        <v>157</v>
      </c>
      <c r="AT6" s="18"/>
      <c r="AU6" s="18"/>
      <c r="AV6" s="16" t="s">
        <v>158</v>
      </c>
      <c r="AW6" s="18"/>
      <c r="AX6" s="35">
        <v>43794.0</v>
      </c>
      <c r="AY6" s="29">
        <f t="shared" si="5"/>
        <v>7</v>
      </c>
      <c r="AZ6" s="41" t="s">
        <v>159</v>
      </c>
      <c r="BA6" s="41" t="s">
        <v>159</v>
      </c>
      <c r="BB6" s="18"/>
      <c r="BC6" s="18"/>
      <c r="BD6" s="18"/>
      <c r="BE6" s="18"/>
      <c r="BF6" s="31">
        <f t="shared" si="6"/>
        <v>2</v>
      </c>
      <c r="BG6" s="31" t="str">
        <f t="shared" si="7"/>
        <v>#REF!</v>
      </c>
      <c r="BH6" s="18"/>
      <c r="BI6" s="32"/>
      <c r="BJ6" s="32"/>
      <c r="BK6" s="32"/>
      <c r="BL6" s="32"/>
      <c r="BM6" s="32"/>
      <c r="BN6" s="32"/>
      <c r="BO6" s="32"/>
      <c r="BP6" s="32"/>
      <c r="BQ6" s="32"/>
      <c r="BR6" s="32"/>
    </row>
    <row r="7">
      <c r="A7" s="14" t="s">
        <v>160</v>
      </c>
      <c r="B7" s="22" t="s">
        <v>161</v>
      </c>
      <c r="C7" s="16" t="s">
        <v>144</v>
      </c>
      <c r="D7" s="16" t="s">
        <v>145</v>
      </c>
      <c r="E7" s="14" t="s">
        <v>144</v>
      </c>
      <c r="F7" s="16" t="s">
        <v>146</v>
      </c>
      <c r="G7" s="16" t="s">
        <v>147</v>
      </c>
      <c r="H7" s="17" t="str">
        <f t="shared" si="1"/>
        <v>City of Grand Junction</v>
      </c>
      <c r="I7" s="19" t="s">
        <v>148</v>
      </c>
      <c r="J7" s="16" t="s">
        <v>76</v>
      </c>
      <c r="K7" s="17" t="str">
        <f t="shared" si="2"/>
        <v>CDOS</v>
      </c>
      <c r="L7" s="37" t="s">
        <v>149</v>
      </c>
      <c r="M7" s="39" t="s">
        <v>150</v>
      </c>
      <c r="N7" s="20" t="s">
        <v>151</v>
      </c>
      <c r="O7" s="40"/>
      <c r="P7" s="18"/>
      <c r="Q7" s="16" t="s">
        <v>152</v>
      </c>
      <c r="R7" s="18"/>
      <c r="S7" s="16" t="s">
        <v>147</v>
      </c>
      <c r="T7" s="18"/>
      <c r="U7" s="18"/>
      <c r="V7" s="18"/>
      <c r="W7" s="21"/>
      <c r="X7" s="22" t="s">
        <v>153</v>
      </c>
      <c r="Y7" s="34"/>
      <c r="Z7" s="34"/>
      <c r="AA7" s="22" t="s">
        <v>162</v>
      </c>
      <c r="AB7" s="18"/>
      <c r="AC7" s="19" t="s">
        <v>155</v>
      </c>
      <c r="AD7" s="18"/>
      <c r="AE7" s="18"/>
      <c r="AF7" s="18"/>
      <c r="AG7" s="18"/>
      <c r="AH7" s="18"/>
      <c r="AI7" s="18"/>
      <c r="AJ7" s="18"/>
      <c r="AK7" s="24" t="str">
        <f t="shared" si="3"/>
        <v>None</v>
      </c>
      <c r="AL7" s="25" t="str">
        <f t="shared" si="8"/>
        <v>None</v>
      </c>
      <c r="AM7" s="26"/>
      <c r="AN7" s="25" t="s">
        <v>163</v>
      </c>
      <c r="AO7" s="25" t="s">
        <v>86</v>
      </c>
      <c r="AP7" s="18"/>
      <c r="AQ7" s="18"/>
      <c r="AR7" s="18"/>
      <c r="AS7" s="22" t="s">
        <v>164</v>
      </c>
      <c r="AT7" s="18"/>
      <c r="AU7" s="18"/>
      <c r="AV7" s="16" t="s">
        <v>158</v>
      </c>
      <c r="AW7" s="18"/>
      <c r="AX7" s="35">
        <v>45351.0</v>
      </c>
      <c r="AY7" s="29">
        <f t="shared" si="5"/>
        <v>11</v>
      </c>
      <c r="AZ7" s="41" t="s">
        <v>165</v>
      </c>
      <c r="BA7" s="41" t="s">
        <v>165</v>
      </c>
      <c r="BB7" s="18"/>
      <c r="BC7" s="18"/>
      <c r="BD7" s="18"/>
      <c r="BE7" s="18"/>
      <c r="BF7" s="31">
        <f t="shared" si="6"/>
        <v>3</v>
      </c>
      <c r="BG7" s="31" t="str">
        <f t="shared" si="7"/>
        <v>#REF!</v>
      </c>
      <c r="BH7" s="18"/>
      <c r="BI7" s="32"/>
      <c r="BJ7" s="32"/>
      <c r="BK7" s="32"/>
      <c r="BL7" s="32"/>
      <c r="BM7" s="32"/>
      <c r="BN7" s="32"/>
      <c r="BO7" s="32"/>
      <c r="BP7" s="32"/>
      <c r="BQ7" s="32"/>
      <c r="BR7" s="32"/>
    </row>
    <row r="8">
      <c r="A8" s="14" t="s">
        <v>166</v>
      </c>
      <c r="B8" s="22" t="s">
        <v>167</v>
      </c>
      <c r="C8" s="16" t="s">
        <v>144</v>
      </c>
      <c r="D8" s="16" t="s">
        <v>145</v>
      </c>
      <c r="E8" s="14" t="s">
        <v>144</v>
      </c>
      <c r="F8" s="16" t="s">
        <v>146</v>
      </c>
      <c r="G8" s="16" t="s">
        <v>147</v>
      </c>
      <c r="H8" s="17" t="str">
        <f t="shared" si="1"/>
        <v>City of Grand Junction</v>
      </c>
      <c r="I8" s="19" t="s">
        <v>148</v>
      </c>
      <c r="J8" s="16" t="s">
        <v>76</v>
      </c>
      <c r="K8" s="17" t="str">
        <f t="shared" si="2"/>
        <v>CDOS</v>
      </c>
      <c r="L8" s="37" t="s">
        <v>149</v>
      </c>
      <c r="M8" s="39" t="s">
        <v>150</v>
      </c>
      <c r="N8" s="20" t="s">
        <v>151</v>
      </c>
      <c r="O8" s="40"/>
      <c r="P8" s="18"/>
      <c r="Q8" s="16" t="s">
        <v>152</v>
      </c>
      <c r="R8" s="18"/>
      <c r="S8" s="16" t="s">
        <v>147</v>
      </c>
      <c r="T8" s="18"/>
      <c r="U8" s="18"/>
      <c r="V8" s="18"/>
      <c r="W8" s="21"/>
      <c r="X8" s="22" t="s">
        <v>153</v>
      </c>
      <c r="Y8" s="34"/>
      <c r="Z8" s="34"/>
      <c r="AA8" s="22" t="s">
        <v>168</v>
      </c>
      <c r="AB8" s="18"/>
      <c r="AC8" s="19" t="s">
        <v>155</v>
      </c>
      <c r="AD8" s="18"/>
      <c r="AE8" s="18"/>
      <c r="AF8" s="18"/>
      <c r="AG8" s="18"/>
      <c r="AH8" s="18"/>
      <c r="AI8" s="18"/>
      <c r="AJ8" s="18"/>
      <c r="AK8" s="24" t="str">
        <f t="shared" si="3"/>
        <v>None</v>
      </c>
      <c r="AL8" s="25" t="str">
        <f t="shared" si="8"/>
        <v>None</v>
      </c>
      <c r="AM8" s="26"/>
      <c r="AN8" s="25" t="s">
        <v>163</v>
      </c>
      <c r="AO8" s="25" t="s">
        <v>86</v>
      </c>
      <c r="AP8" s="18"/>
      <c r="AQ8" s="18"/>
      <c r="AR8" s="18"/>
      <c r="AS8" s="22" t="s">
        <v>169</v>
      </c>
      <c r="AT8" s="18"/>
      <c r="AU8" s="18"/>
      <c r="AV8" s="16" t="s">
        <v>158</v>
      </c>
      <c r="AW8" s="18"/>
      <c r="AX8" s="35">
        <v>45351.0</v>
      </c>
      <c r="AY8" s="29">
        <f t="shared" si="5"/>
        <v>11</v>
      </c>
      <c r="AZ8" s="41" t="s">
        <v>170</v>
      </c>
      <c r="BA8" s="41" t="s">
        <v>170</v>
      </c>
      <c r="BB8" s="18"/>
      <c r="BC8" s="18"/>
      <c r="BD8" s="18"/>
      <c r="BE8" s="18"/>
      <c r="BF8" s="31">
        <f t="shared" si="6"/>
        <v>3</v>
      </c>
      <c r="BG8" s="31" t="str">
        <f t="shared" si="7"/>
        <v>#REF!</v>
      </c>
      <c r="BH8" s="18"/>
      <c r="BI8" s="32"/>
      <c r="BJ8" s="32"/>
      <c r="BK8" s="32"/>
      <c r="BL8" s="32"/>
      <c r="BM8" s="32"/>
      <c r="BN8" s="32"/>
      <c r="BO8" s="32"/>
      <c r="BP8" s="32"/>
      <c r="BQ8" s="32"/>
      <c r="BR8" s="32"/>
    </row>
    <row r="9">
      <c r="A9" s="14" t="s">
        <v>171</v>
      </c>
      <c r="B9" s="22" t="s">
        <v>172</v>
      </c>
      <c r="C9" s="16" t="s">
        <v>144</v>
      </c>
      <c r="D9" s="16" t="s">
        <v>145</v>
      </c>
      <c r="E9" s="14" t="s">
        <v>144</v>
      </c>
      <c r="F9" s="16" t="s">
        <v>146</v>
      </c>
      <c r="G9" s="16" t="s">
        <v>147</v>
      </c>
      <c r="H9" s="17" t="str">
        <f t="shared" si="1"/>
        <v>City of Grand Junction</v>
      </c>
      <c r="I9" s="19" t="s">
        <v>148</v>
      </c>
      <c r="J9" s="16" t="s">
        <v>76</v>
      </c>
      <c r="K9" s="17" t="str">
        <f t="shared" si="2"/>
        <v>CDOS</v>
      </c>
      <c r="L9" s="37" t="s">
        <v>149</v>
      </c>
      <c r="M9" s="39" t="s">
        <v>150</v>
      </c>
      <c r="N9" s="20" t="s">
        <v>151</v>
      </c>
      <c r="O9" s="40"/>
      <c r="P9" s="18"/>
      <c r="Q9" s="16" t="s">
        <v>152</v>
      </c>
      <c r="R9" s="18"/>
      <c r="S9" s="16" t="s">
        <v>147</v>
      </c>
      <c r="T9" s="18"/>
      <c r="U9" s="18"/>
      <c r="V9" s="18"/>
      <c r="W9" s="21"/>
      <c r="X9" s="22" t="s">
        <v>153</v>
      </c>
      <c r="Y9" s="34"/>
      <c r="Z9" s="34"/>
      <c r="AA9" s="22" t="s">
        <v>173</v>
      </c>
      <c r="AB9" s="18"/>
      <c r="AC9" s="19" t="s">
        <v>155</v>
      </c>
      <c r="AD9" s="18"/>
      <c r="AE9" s="18"/>
      <c r="AF9" s="18"/>
      <c r="AG9" s="18"/>
      <c r="AH9" s="18"/>
      <c r="AI9" s="18"/>
      <c r="AJ9" s="18"/>
      <c r="AK9" s="24" t="str">
        <f t="shared" si="3"/>
        <v>None</v>
      </c>
      <c r="AL9" s="25" t="str">
        <f t="shared" si="8"/>
        <v>None</v>
      </c>
      <c r="AM9" s="26"/>
      <c r="AN9" s="25" t="s">
        <v>163</v>
      </c>
      <c r="AO9" s="25" t="s">
        <v>86</v>
      </c>
      <c r="AP9" s="18"/>
      <c r="AQ9" s="18"/>
      <c r="AR9" s="18"/>
      <c r="AS9" s="22" t="s">
        <v>174</v>
      </c>
      <c r="AT9" s="18"/>
      <c r="AU9" s="18"/>
      <c r="AV9" s="16" t="s">
        <v>158</v>
      </c>
      <c r="AW9" s="18"/>
      <c r="AX9" s="35">
        <v>45351.0</v>
      </c>
      <c r="AY9" s="29">
        <f t="shared" si="5"/>
        <v>11</v>
      </c>
      <c r="AZ9" s="41" t="s">
        <v>175</v>
      </c>
      <c r="BA9" s="41" t="s">
        <v>175</v>
      </c>
      <c r="BB9" s="18"/>
      <c r="BC9" s="18"/>
      <c r="BD9" s="18"/>
      <c r="BE9" s="18"/>
      <c r="BF9" s="31">
        <f t="shared" si="6"/>
        <v>3</v>
      </c>
      <c r="BG9" s="31" t="str">
        <f t="shared" si="7"/>
        <v>#REF!</v>
      </c>
      <c r="BH9" s="18"/>
      <c r="BI9" s="32"/>
      <c r="BJ9" s="32"/>
      <c r="BK9" s="32"/>
      <c r="BL9" s="32"/>
      <c r="BM9" s="32"/>
      <c r="BN9" s="32"/>
      <c r="BO9" s="32"/>
      <c r="BP9" s="32"/>
      <c r="BQ9" s="32"/>
      <c r="BR9" s="32"/>
    </row>
    <row r="10">
      <c r="A10" s="14" t="s">
        <v>176</v>
      </c>
      <c r="B10" s="22" t="s">
        <v>177</v>
      </c>
      <c r="C10" s="16" t="s">
        <v>144</v>
      </c>
      <c r="D10" s="16" t="s">
        <v>145</v>
      </c>
      <c r="E10" s="14" t="s">
        <v>144</v>
      </c>
      <c r="F10" s="16" t="s">
        <v>146</v>
      </c>
      <c r="G10" s="16" t="s">
        <v>147</v>
      </c>
      <c r="H10" s="17" t="str">
        <f t="shared" si="1"/>
        <v>City of Grand Junction</v>
      </c>
      <c r="I10" s="19" t="s">
        <v>148</v>
      </c>
      <c r="J10" s="16" t="s">
        <v>76</v>
      </c>
      <c r="K10" s="17" t="str">
        <f t="shared" si="2"/>
        <v>CDOS</v>
      </c>
      <c r="L10" s="37" t="s">
        <v>149</v>
      </c>
      <c r="M10" s="39" t="s">
        <v>150</v>
      </c>
      <c r="N10" s="20" t="s">
        <v>151</v>
      </c>
      <c r="O10" s="40"/>
      <c r="P10" s="18"/>
      <c r="Q10" s="16" t="s">
        <v>152</v>
      </c>
      <c r="R10" s="18"/>
      <c r="S10" s="16" t="s">
        <v>147</v>
      </c>
      <c r="T10" s="18"/>
      <c r="U10" s="18"/>
      <c r="V10" s="18"/>
      <c r="W10" s="21"/>
      <c r="X10" s="22" t="s">
        <v>153</v>
      </c>
      <c r="Y10" s="34"/>
      <c r="Z10" s="34"/>
      <c r="AA10" s="22" t="s">
        <v>178</v>
      </c>
      <c r="AB10" s="18"/>
      <c r="AC10" s="19" t="s">
        <v>155</v>
      </c>
      <c r="AD10" s="18"/>
      <c r="AE10" s="18"/>
      <c r="AF10" s="18"/>
      <c r="AG10" s="18"/>
      <c r="AH10" s="18"/>
      <c r="AI10" s="18"/>
      <c r="AJ10" s="18"/>
      <c r="AK10" s="24" t="str">
        <f t="shared" si="3"/>
        <v>None</v>
      </c>
      <c r="AL10" s="25" t="str">
        <f t="shared" si="8"/>
        <v>None</v>
      </c>
      <c r="AM10" s="26"/>
      <c r="AN10" s="25" t="s">
        <v>163</v>
      </c>
      <c r="AO10" s="25" t="s">
        <v>86</v>
      </c>
      <c r="AP10" s="18"/>
      <c r="AQ10" s="18"/>
      <c r="AR10" s="18"/>
      <c r="AS10" s="22" t="s">
        <v>179</v>
      </c>
      <c r="AT10" s="18"/>
      <c r="AU10" s="18"/>
      <c r="AV10" s="16" t="s">
        <v>158</v>
      </c>
      <c r="AW10" s="18"/>
      <c r="AX10" s="35">
        <v>45351.0</v>
      </c>
      <c r="AY10" s="29">
        <f t="shared" si="5"/>
        <v>11</v>
      </c>
      <c r="AZ10" s="41" t="s">
        <v>180</v>
      </c>
      <c r="BA10" s="41" t="s">
        <v>180</v>
      </c>
      <c r="BB10" s="18"/>
      <c r="BC10" s="18"/>
      <c r="BD10" s="18"/>
      <c r="BE10" s="18"/>
      <c r="BF10" s="31">
        <f t="shared" si="6"/>
        <v>3</v>
      </c>
      <c r="BG10" s="31" t="str">
        <f t="shared" si="7"/>
        <v>#REF!</v>
      </c>
      <c r="BH10" s="18"/>
      <c r="BI10" s="32"/>
      <c r="BJ10" s="32"/>
      <c r="BK10" s="32"/>
      <c r="BL10" s="32"/>
      <c r="BM10" s="32"/>
      <c r="BN10" s="32"/>
      <c r="BO10" s="32"/>
      <c r="BP10" s="32"/>
      <c r="BQ10" s="32"/>
      <c r="BR10" s="32"/>
    </row>
    <row r="11">
      <c r="A11" s="14" t="s">
        <v>181</v>
      </c>
      <c r="B11" s="22" t="s">
        <v>182</v>
      </c>
      <c r="C11" s="16" t="s">
        <v>144</v>
      </c>
      <c r="D11" s="16" t="s">
        <v>145</v>
      </c>
      <c r="E11" s="14" t="s">
        <v>144</v>
      </c>
      <c r="F11" s="16" t="s">
        <v>146</v>
      </c>
      <c r="G11" s="16" t="s">
        <v>147</v>
      </c>
      <c r="H11" s="17" t="str">
        <f t="shared" si="1"/>
        <v>City of Grand Junction</v>
      </c>
      <c r="I11" s="19" t="s">
        <v>148</v>
      </c>
      <c r="J11" s="16" t="s">
        <v>76</v>
      </c>
      <c r="K11" s="17" t="str">
        <f t="shared" si="2"/>
        <v>CDOS</v>
      </c>
      <c r="L11" s="37" t="s">
        <v>149</v>
      </c>
      <c r="M11" s="39" t="s">
        <v>150</v>
      </c>
      <c r="N11" s="20" t="s">
        <v>151</v>
      </c>
      <c r="O11" s="40"/>
      <c r="P11" s="18"/>
      <c r="Q11" s="16" t="s">
        <v>152</v>
      </c>
      <c r="R11" s="18"/>
      <c r="S11" s="16" t="s">
        <v>147</v>
      </c>
      <c r="T11" s="18"/>
      <c r="U11" s="18"/>
      <c r="V11" s="18"/>
      <c r="W11" s="21"/>
      <c r="X11" s="22" t="s">
        <v>153</v>
      </c>
      <c r="Y11" s="34"/>
      <c r="Z11" s="34"/>
      <c r="AA11" s="22" t="s">
        <v>183</v>
      </c>
      <c r="AB11" s="18"/>
      <c r="AC11" s="19" t="s">
        <v>155</v>
      </c>
      <c r="AD11" s="18"/>
      <c r="AE11" s="18"/>
      <c r="AF11" s="18"/>
      <c r="AG11" s="18"/>
      <c r="AH11" s="18"/>
      <c r="AI11" s="18"/>
      <c r="AJ11" s="18"/>
      <c r="AK11" s="24" t="str">
        <f t="shared" si="3"/>
        <v>Annually</v>
      </c>
      <c r="AL11" s="25" t="str">
        <f t="shared" si="8"/>
        <v>Manual</v>
      </c>
      <c r="AM11" s="26"/>
      <c r="AN11" s="25" t="s">
        <v>163</v>
      </c>
      <c r="AO11" s="25" t="s">
        <v>184</v>
      </c>
      <c r="AP11" s="18"/>
      <c r="AQ11" s="18"/>
      <c r="AR11" s="18"/>
      <c r="AS11" s="22" t="s">
        <v>185</v>
      </c>
      <c r="AT11" s="18"/>
      <c r="AU11" s="18"/>
      <c r="AV11" s="16" t="s">
        <v>158</v>
      </c>
      <c r="AW11" s="18"/>
      <c r="AX11" s="35">
        <v>45351.0</v>
      </c>
      <c r="AY11" s="29">
        <f t="shared" si="5"/>
        <v>11</v>
      </c>
      <c r="AZ11" s="41" t="s">
        <v>186</v>
      </c>
      <c r="BA11" s="41" t="s">
        <v>186</v>
      </c>
      <c r="BB11" s="18"/>
      <c r="BC11" s="18"/>
      <c r="BD11" s="18"/>
      <c r="BE11" s="18"/>
      <c r="BF11" s="31">
        <f t="shared" si="6"/>
        <v>3</v>
      </c>
      <c r="BG11" s="31" t="str">
        <f t="shared" si="7"/>
        <v>#REF!</v>
      </c>
      <c r="BH11" s="18"/>
      <c r="BI11" s="32"/>
      <c r="BJ11" s="32"/>
      <c r="BK11" s="32"/>
      <c r="BL11" s="32"/>
      <c r="BM11" s="32"/>
      <c r="BN11" s="32"/>
      <c r="BO11" s="32"/>
      <c r="BP11" s="32"/>
      <c r="BQ11" s="32"/>
      <c r="BR11" s="32"/>
    </row>
    <row r="12">
      <c r="A12" s="14" t="s">
        <v>187</v>
      </c>
      <c r="B12" s="22" t="s">
        <v>188</v>
      </c>
      <c r="C12" s="16" t="s">
        <v>72</v>
      </c>
      <c r="D12" s="16" t="s">
        <v>189</v>
      </c>
      <c r="E12" s="14" t="s">
        <v>124</v>
      </c>
      <c r="F12" s="16" t="s">
        <v>75</v>
      </c>
      <c r="G12" s="16" t="s">
        <v>76</v>
      </c>
      <c r="H12" s="17" t="str">
        <f t="shared" si="1"/>
        <v>CDOS</v>
      </c>
      <c r="I12" s="18"/>
      <c r="J12" s="16" t="s">
        <v>76</v>
      </c>
      <c r="K12" s="17" t="str">
        <f t="shared" si="2"/>
        <v>CDOS</v>
      </c>
      <c r="L12" s="19" t="s">
        <v>77</v>
      </c>
      <c r="M12" s="19" t="s">
        <v>78</v>
      </c>
      <c r="N12" s="20" t="s">
        <v>79</v>
      </c>
      <c r="O12" s="20" t="s">
        <v>79</v>
      </c>
      <c r="P12" s="18"/>
      <c r="Q12" s="16" t="s">
        <v>80</v>
      </c>
      <c r="R12" s="18"/>
      <c r="S12" s="16" t="s">
        <v>81</v>
      </c>
      <c r="T12" s="18"/>
      <c r="U12" s="18"/>
      <c r="V12" s="18"/>
      <c r="W12" s="21"/>
      <c r="X12" s="22" t="s">
        <v>190</v>
      </c>
      <c r="Y12" s="34"/>
      <c r="Z12" s="34"/>
      <c r="AA12" s="22" t="s">
        <v>191</v>
      </c>
      <c r="AB12" s="18"/>
      <c r="AC12" s="19" t="s">
        <v>192</v>
      </c>
      <c r="AD12" s="18"/>
      <c r="AE12" s="18"/>
      <c r="AF12" s="18"/>
      <c r="AG12" s="18"/>
      <c r="AH12" s="18"/>
      <c r="AI12" s="18"/>
      <c r="AJ12" s="18"/>
      <c r="AK12" s="24" t="str">
        <f t="shared" si="3"/>
        <v>None</v>
      </c>
      <c r="AL12" s="25" t="str">
        <f t="shared" ref="AL12:AL15" si="9">IF(AO12="Static", "None", IF(AO12="Manual - monthly", "Manual", IF(AO12="Automated - weekly", "Automated by Staging Server", IF(AO12="Automated - monthly", "Automated by Staging Server", IF(AO12="Manual - annual", "Manual", IF(AO12="Automated - broken", "Automated by Staging Server", IF(AO12="Automated - daily", "Automated by Staging Server", "")))))))</f>
        <v>None</v>
      </c>
      <c r="AM12" s="26"/>
      <c r="AN12" s="26"/>
      <c r="AO12" s="25" t="s">
        <v>86</v>
      </c>
      <c r="AP12" s="18"/>
      <c r="AQ12" s="18"/>
      <c r="AR12" s="18"/>
      <c r="AS12" s="22" t="s">
        <v>193</v>
      </c>
      <c r="AT12" s="27">
        <v>57962.0</v>
      </c>
      <c r="AU12" s="18"/>
      <c r="AV12" s="18"/>
      <c r="AW12" s="18"/>
      <c r="AX12" s="28">
        <v>42547.0</v>
      </c>
      <c r="AY12" s="29">
        <f t="shared" si="5"/>
        <v>3</v>
      </c>
      <c r="AZ12" s="30" t="str">
        <f>HYPERLINK("https://data.colorado.gov/Legislative/Directory-of-Lobbyist-Clients-in-Colorado/35k5-cv8s","35k5-cv8s")</f>
        <v>35k5-cv8s</v>
      </c>
      <c r="BA12" s="30" t="str">
        <f>HYPERLINK("https://data.colorado.gov/resource/dm35-83um.json","dm35-83um")</f>
        <v>dm35-83um</v>
      </c>
      <c r="BB12" s="18"/>
      <c r="BC12" s="18"/>
      <c r="BD12" s="18"/>
      <c r="BE12" s="16" t="s">
        <v>194</v>
      </c>
      <c r="BF12" s="31">
        <f t="shared" si="6"/>
        <v>4</v>
      </c>
      <c r="BG12" s="31" t="str">
        <f t="shared" si="7"/>
        <v>#REF!</v>
      </c>
      <c r="BH12" s="18"/>
      <c r="BI12" s="32"/>
      <c r="BJ12" s="33" t="s">
        <v>89</v>
      </c>
      <c r="BK12" s="32"/>
      <c r="BL12" s="32"/>
      <c r="BM12" s="33" t="s">
        <v>90</v>
      </c>
      <c r="BN12" s="33" t="s">
        <v>91</v>
      </c>
      <c r="BO12" s="33" t="s">
        <v>92</v>
      </c>
      <c r="BP12" s="33" t="s">
        <v>93</v>
      </c>
      <c r="BQ12" s="33" t="s">
        <v>94</v>
      </c>
      <c r="BR12" s="33" t="s">
        <v>95</v>
      </c>
    </row>
    <row r="13">
      <c r="A13" s="14" t="s">
        <v>195</v>
      </c>
      <c r="B13" s="22" t="s">
        <v>196</v>
      </c>
      <c r="C13" s="16" t="s">
        <v>72</v>
      </c>
      <c r="D13" s="16" t="s">
        <v>197</v>
      </c>
      <c r="E13" s="14" t="s">
        <v>72</v>
      </c>
      <c r="F13" s="16" t="s">
        <v>75</v>
      </c>
      <c r="G13" s="16" t="s">
        <v>76</v>
      </c>
      <c r="H13" s="17" t="str">
        <f t="shared" si="1"/>
        <v>CDOS</v>
      </c>
      <c r="I13" s="18"/>
      <c r="J13" s="16" t="s">
        <v>76</v>
      </c>
      <c r="K13" s="17" t="str">
        <f t="shared" si="2"/>
        <v>CDOS</v>
      </c>
      <c r="L13" s="19" t="s">
        <v>77</v>
      </c>
      <c r="M13" s="19" t="s">
        <v>78</v>
      </c>
      <c r="N13" s="20" t="s">
        <v>79</v>
      </c>
      <c r="O13" s="20" t="s">
        <v>79</v>
      </c>
      <c r="P13" s="18"/>
      <c r="Q13" s="16" t="s">
        <v>80</v>
      </c>
      <c r="R13" s="18"/>
      <c r="S13" s="16" t="s">
        <v>81</v>
      </c>
      <c r="T13" s="18"/>
      <c r="U13" s="18"/>
      <c r="V13" s="18"/>
      <c r="W13" s="21"/>
      <c r="X13" s="22" t="s">
        <v>198</v>
      </c>
      <c r="Y13" s="23" t="s">
        <v>199</v>
      </c>
      <c r="Z13" s="23" t="s">
        <v>200</v>
      </c>
      <c r="AA13" s="22" t="s">
        <v>201</v>
      </c>
      <c r="AB13" s="18"/>
      <c r="AC13" s="18"/>
      <c r="AD13" s="18"/>
      <c r="AE13" s="18"/>
      <c r="AF13" s="18"/>
      <c r="AG13" s="18"/>
      <c r="AH13" s="18"/>
      <c r="AI13" s="18"/>
      <c r="AJ13" s="18"/>
      <c r="AK13" s="24" t="str">
        <f t="shared" si="3"/>
        <v>None</v>
      </c>
      <c r="AL13" s="25" t="str">
        <f t="shared" si="9"/>
        <v>None</v>
      </c>
      <c r="AM13" s="26"/>
      <c r="AN13" s="26"/>
      <c r="AO13" s="25" t="s">
        <v>86</v>
      </c>
      <c r="AP13" s="18"/>
      <c r="AQ13" s="18"/>
      <c r="AR13" s="18"/>
      <c r="AS13" s="22" t="s">
        <v>202</v>
      </c>
      <c r="AT13" s="27">
        <v>141460.0</v>
      </c>
      <c r="AU13" s="18"/>
      <c r="AV13" s="18"/>
      <c r="AW13" s="18"/>
      <c r="AX13" s="28">
        <v>42547.0</v>
      </c>
      <c r="AY13" s="29">
        <f t="shared" si="5"/>
        <v>3</v>
      </c>
      <c r="AZ13" s="30" t="str">
        <f>HYPERLINK("https://data.colorado.gov/Legislative/Directory-of-Lobbyists-in-Colorado/bqa5-gr84","bqa5-gr84")</f>
        <v>bqa5-gr84</v>
      </c>
      <c r="BA13" s="30" t="str">
        <f>HYPERLINK("https://data.colorado.gov/resource/4xaw-3ja7.json","4xaw-3ja7")</f>
        <v>4xaw-3ja7</v>
      </c>
      <c r="BB13" s="18"/>
      <c r="BC13" s="18"/>
      <c r="BD13" s="18"/>
      <c r="BE13" s="16" t="s">
        <v>203</v>
      </c>
      <c r="BF13" s="31">
        <f t="shared" si="6"/>
        <v>4</v>
      </c>
      <c r="BG13" s="31" t="str">
        <f t="shared" si="7"/>
        <v>#REF!</v>
      </c>
      <c r="BH13" s="18"/>
      <c r="BI13" s="32"/>
      <c r="BJ13" s="33" t="s">
        <v>89</v>
      </c>
      <c r="BK13" s="32"/>
      <c r="BL13" s="32"/>
      <c r="BM13" s="33" t="s">
        <v>90</v>
      </c>
      <c r="BN13" s="33" t="s">
        <v>91</v>
      </c>
      <c r="BO13" s="33" t="s">
        <v>92</v>
      </c>
      <c r="BP13" s="33" t="s">
        <v>93</v>
      </c>
      <c r="BQ13" s="33" t="s">
        <v>94</v>
      </c>
      <c r="BR13" s="33" t="s">
        <v>95</v>
      </c>
    </row>
    <row r="14">
      <c r="A14" s="14" t="s">
        <v>204</v>
      </c>
      <c r="B14" s="22" t="s">
        <v>205</v>
      </c>
      <c r="C14" s="16" t="s">
        <v>72</v>
      </c>
      <c r="D14" s="16" t="s">
        <v>206</v>
      </c>
      <c r="E14" s="14" t="s">
        <v>74</v>
      </c>
      <c r="F14" s="16" t="s">
        <v>75</v>
      </c>
      <c r="G14" s="16" t="s">
        <v>76</v>
      </c>
      <c r="H14" s="17" t="str">
        <f t="shared" si="1"/>
        <v>CDOS</v>
      </c>
      <c r="I14" s="18"/>
      <c r="J14" s="16" t="s">
        <v>76</v>
      </c>
      <c r="K14" s="17" t="str">
        <f t="shared" si="2"/>
        <v>CDOS</v>
      </c>
      <c r="L14" s="19" t="s">
        <v>77</v>
      </c>
      <c r="M14" s="19" t="s">
        <v>78</v>
      </c>
      <c r="N14" s="20" t="s">
        <v>79</v>
      </c>
      <c r="O14" s="20" t="s">
        <v>79</v>
      </c>
      <c r="P14" s="18"/>
      <c r="Q14" s="16" t="s">
        <v>80</v>
      </c>
      <c r="R14" s="18"/>
      <c r="S14" s="16" t="s">
        <v>81</v>
      </c>
      <c r="T14" s="18"/>
      <c r="U14" s="18"/>
      <c r="V14" s="18"/>
      <c r="W14" s="21"/>
      <c r="X14" s="22" t="s">
        <v>207</v>
      </c>
      <c r="Y14" s="23" t="s">
        <v>208</v>
      </c>
      <c r="Z14" s="23" t="s">
        <v>209</v>
      </c>
      <c r="AA14" s="22" t="s">
        <v>210</v>
      </c>
      <c r="AB14" s="18"/>
      <c r="AC14" s="18"/>
      <c r="AD14" s="18"/>
      <c r="AE14" s="18"/>
      <c r="AF14" s="18"/>
      <c r="AG14" s="18"/>
      <c r="AH14" s="18"/>
      <c r="AI14" s="18"/>
      <c r="AJ14" s="18"/>
      <c r="AK14" s="24" t="str">
        <f t="shared" si="3"/>
        <v>None</v>
      </c>
      <c r="AL14" s="25" t="str">
        <f t="shared" si="9"/>
        <v>None</v>
      </c>
      <c r="AM14" s="26"/>
      <c r="AN14" s="26"/>
      <c r="AO14" s="25" t="s">
        <v>86</v>
      </c>
      <c r="AP14" s="18"/>
      <c r="AQ14" s="18"/>
      <c r="AR14" s="18"/>
      <c r="AS14" s="22" t="s">
        <v>211</v>
      </c>
      <c r="AT14" s="27">
        <v>66266.0</v>
      </c>
      <c r="AU14" s="18"/>
      <c r="AV14" s="18"/>
      <c r="AW14" s="18"/>
      <c r="AX14" s="28">
        <v>42547.0</v>
      </c>
      <c r="AY14" s="29">
        <f t="shared" si="5"/>
        <v>3</v>
      </c>
      <c r="AZ14" s="30" t="str">
        <f>HYPERLINK("https://data.colorado.gov/Legislative/Expenses-for-Lobbyists-in-Colorado/eqsm-7ah7","eqsm-7ah7")</f>
        <v>eqsm-7ah7</v>
      </c>
      <c r="BA14" s="30" t="str">
        <f>HYPERLINK("https://data.colorado.gov/resource/wkgc-9sne.json","wkgc-9sne")</f>
        <v>wkgc-9sne</v>
      </c>
      <c r="BB14" s="18"/>
      <c r="BC14" s="18"/>
      <c r="BD14" s="18"/>
      <c r="BE14" s="16" t="s">
        <v>212</v>
      </c>
      <c r="BF14" s="31">
        <f t="shared" si="6"/>
        <v>4</v>
      </c>
      <c r="BG14" s="31" t="str">
        <f t="shared" si="7"/>
        <v>#REF!</v>
      </c>
      <c r="BH14" s="18"/>
      <c r="BI14" s="32"/>
      <c r="BJ14" s="33" t="s">
        <v>89</v>
      </c>
      <c r="BK14" s="32"/>
      <c r="BL14" s="32"/>
      <c r="BM14" s="33" t="s">
        <v>90</v>
      </c>
      <c r="BN14" s="33" t="s">
        <v>91</v>
      </c>
      <c r="BO14" s="33" t="s">
        <v>92</v>
      </c>
      <c r="BP14" s="33" t="s">
        <v>93</v>
      </c>
      <c r="BQ14" s="33" t="s">
        <v>94</v>
      </c>
      <c r="BR14" s="33" t="s">
        <v>95</v>
      </c>
    </row>
    <row r="15">
      <c r="A15" s="14" t="s">
        <v>213</v>
      </c>
      <c r="B15" s="22" t="s">
        <v>214</v>
      </c>
      <c r="C15" s="16" t="s">
        <v>215</v>
      </c>
      <c r="D15" s="18" t="s">
        <v>216</v>
      </c>
      <c r="E15" s="14" t="s">
        <v>217</v>
      </c>
      <c r="F15" s="16" t="s">
        <v>75</v>
      </c>
      <c r="G15" s="16" t="s">
        <v>218</v>
      </c>
      <c r="H15" s="17" t="str">
        <f t="shared" si="1"/>
        <v>CDA</v>
      </c>
      <c r="I15" s="18"/>
      <c r="J15" s="16" t="s">
        <v>218</v>
      </c>
      <c r="K15" s="17" t="str">
        <f t="shared" si="2"/>
        <v>CDA</v>
      </c>
      <c r="L15" s="37" t="s">
        <v>219</v>
      </c>
      <c r="M15" s="18"/>
      <c r="N15" s="40"/>
      <c r="O15" s="40"/>
      <c r="P15" s="18"/>
      <c r="Q15" s="18"/>
      <c r="R15" s="18"/>
      <c r="S15" s="18"/>
      <c r="T15" s="18"/>
      <c r="U15" s="18"/>
      <c r="V15" s="18"/>
      <c r="W15" s="21"/>
      <c r="X15" s="18"/>
      <c r="Y15" s="34"/>
      <c r="Z15" s="34"/>
      <c r="AA15" s="22" t="s">
        <v>214</v>
      </c>
      <c r="AB15" s="18"/>
      <c r="AC15" s="18"/>
      <c r="AD15" s="18"/>
      <c r="AE15" s="18"/>
      <c r="AF15" s="18"/>
      <c r="AG15" s="18"/>
      <c r="AH15" s="18"/>
      <c r="AI15" s="18"/>
      <c r="AJ15" s="18"/>
      <c r="AK15" s="24" t="str">
        <f t="shared" si="3"/>
        <v>None</v>
      </c>
      <c r="AL15" s="25" t="str">
        <f t="shared" si="9"/>
        <v>None</v>
      </c>
      <c r="AM15" s="26"/>
      <c r="AN15" s="26"/>
      <c r="AO15" s="25" t="s">
        <v>86</v>
      </c>
      <c r="AP15" s="18"/>
      <c r="AQ15" s="18"/>
      <c r="AR15" s="18"/>
      <c r="AS15" s="18"/>
      <c r="AT15" s="18"/>
      <c r="AU15" s="18"/>
      <c r="AV15" s="18"/>
      <c r="AW15" s="18"/>
      <c r="AX15" s="35">
        <v>42879.0</v>
      </c>
      <c r="AY15" s="29">
        <f t="shared" si="5"/>
        <v>4</v>
      </c>
      <c r="AZ15" s="36" t="str">
        <f t="shared" ref="AZ15:BA15" si="10">HYPERLINK("https://data.colorado.gov/Agriculture/Farmers-Markets-in-Colorado-2017/ms6b-y4xc","ms6b-y4xc")</f>
        <v>ms6b-y4xc</v>
      </c>
      <c r="BA15" s="36" t="str">
        <f t="shared" si="10"/>
        <v>ms6b-y4xc</v>
      </c>
      <c r="BB15" s="38"/>
      <c r="BC15" s="38"/>
      <c r="BD15" s="18"/>
      <c r="BE15" s="38"/>
      <c r="BF15" s="31">
        <f t="shared" si="6"/>
        <v>4</v>
      </c>
      <c r="BG15" s="31" t="str">
        <f t="shared" si="7"/>
        <v>#REF!</v>
      </c>
      <c r="BH15" s="18"/>
      <c r="BI15" s="32"/>
      <c r="BJ15" s="32"/>
      <c r="BK15" s="32"/>
      <c r="BL15" s="32"/>
      <c r="BM15" s="32"/>
      <c r="BN15" s="32"/>
      <c r="BO15" s="32"/>
      <c r="BP15" s="32"/>
      <c r="BQ15" s="32"/>
      <c r="BR15" s="32"/>
    </row>
    <row r="16">
      <c r="A16" s="14" t="s">
        <v>220</v>
      </c>
      <c r="B16" s="22" t="s">
        <v>221</v>
      </c>
      <c r="C16" s="16" t="s">
        <v>144</v>
      </c>
      <c r="D16" s="16" t="s">
        <v>222</v>
      </c>
      <c r="E16" s="14" t="s">
        <v>144</v>
      </c>
      <c r="F16" s="16" t="s">
        <v>146</v>
      </c>
      <c r="G16" s="16" t="s">
        <v>147</v>
      </c>
      <c r="H16" s="17" t="str">
        <f t="shared" si="1"/>
        <v>City of Grand Junction</v>
      </c>
      <c r="I16" s="19" t="s">
        <v>148</v>
      </c>
      <c r="J16" s="16" t="s">
        <v>76</v>
      </c>
      <c r="K16" s="17" t="str">
        <f t="shared" si="2"/>
        <v>CDOS</v>
      </c>
      <c r="L16" s="37" t="s">
        <v>149</v>
      </c>
      <c r="M16" s="39" t="s">
        <v>223</v>
      </c>
      <c r="N16" s="20" t="s">
        <v>151</v>
      </c>
      <c r="O16" s="40"/>
      <c r="P16" s="18"/>
      <c r="Q16" s="16" t="s">
        <v>224</v>
      </c>
      <c r="R16" s="18"/>
      <c r="S16" s="16" t="s">
        <v>147</v>
      </c>
      <c r="T16" s="18"/>
      <c r="U16" s="18"/>
      <c r="V16" s="18"/>
      <c r="W16" s="21"/>
      <c r="X16" s="22" t="s">
        <v>225</v>
      </c>
      <c r="Y16" s="34"/>
      <c r="Z16" s="34"/>
      <c r="AA16" s="22" t="s">
        <v>226</v>
      </c>
      <c r="AB16" s="18"/>
      <c r="AC16" s="19" t="s">
        <v>227</v>
      </c>
      <c r="AD16" s="18"/>
      <c r="AE16" s="18"/>
      <c r="AF16" s="18"/>
      <c r="AG16" s="18"/>
      <c r="AH16" s="18"/>
      <c r="AI16" s="18"/>
      <c r="AJ16" s="18"/>
      <c r="AK16" s="24" t="str">
        <f t="shared" si="3"/>
        <v>4th of month</v>
      </c>
      <c r="AL16" s="25" t="s">
        <v>228</v>
      </c>
      <c r="AM16" s="26"/>
      <c r="AN16" s="25" t="s">
        <v>229</v>
      </c>
      <c r="AO16" s="25" t="s">
        <v>230</v>
      </c>
      <c r="AP16" s="27">
        <v>22.0</v>
      </c>
      <c r="AQ16" s="18"/>
      <c r="AR16" s="18"/>
      <c r="AS16" s="22" t="s">
        <v>231</v>
      </c>
      <c r="AT16" s="18"/>
      <c r="AU16" s="18"/>
      <c r="AV16" s="16" t="s">
        <v>232</v>
      </c>
      <c r="AW16" s="18"/>
      <c r="AX16" s="35">
        <v>43794.0</v>
      </c>
      <c r="AY16" s="29">
        <f t="shared" si="5"/>
        <v>7</v>
      </c>
      <c r="AZ16" s="41" t="s">
        <v>233</v>
      </c>
      <c r="BA16" s="41" t="s">
        <v>233</v>
      </c>
      <c r="BB16" s="18"/>
      <c r="BC16" s="18"/>
      <c r="BD16" s="18"/>
      <c r="BE16" s="18"/>
      <c r="BF16" s="31">
        <f t="shared" si="6"/>
        <v>2</v>
      </c>
      <c r="BG16" s="31" t="str">
        <f t="shared" si="7"/>
        <v>#REF!</v>
      </c>
      <c r="BH16" s="18"/>
      <c r="BI16" s="32"/>
      <c r="BJ16" s="32"/>
      <c r="BK16" s="32"/>
      <c r="BL16" s="32"/>
      <c r="BM16" s="32"/>
      <c r="BN16" s="32"/>
      <c r="BO16" s="32"/>
      <c r="BP16" s="32"/>
      <c r="BQ16" s="32"/>
      <c r="BR16" s="32"/>
    </row>
    <row r="17">
      <c r="A17" s="14" t="s">
        <v>234</v>
      </c>
      <c r="B17" s="22" t="s">
        <v>235</v>
      </c>
      <c r="C17" s="16" t="s">
        <v>236</v>
      </c>
      <c r="D17" s="16" t="s">
        <v>237</v>
      </c>
      <c r="E17" s="14" t="s">
        <v>238</v>
      </c>
      <c r="F17" s="16" t="s">
        <v>75</v>
      </c>
      <c r="G17" s="16" t="s">
        <v>239</v>
      </c>
      <c r="H17" s="17" t="str">
        <f t="shared" si="1"/>
        <v>CDOT</v>
      </c>
      <c r="I17" s="30" t="s">
        <v>240</v>
      </c>
      <c r="J17" s="16" t="s">
        <v>239</v>
      </c>
      <c r="K17" s="17" t="str">
        <f t="shared" si="2"/>
        <v>CDOT</v>
      </c>
      <c r="L17" s="19" t="s">
        <v>241</v>
      </c>
      <c r="M17" s="19" t="s">
        <v>242</v>
      </c>
      <c r="N17" s="20" t="s">
        <v>79</v>
      </c>
      <c r="O17" s="20" t="s">
        <v>79</v>
      </c>
      <c r="P17" s="18"/>
      <c r="Q17" s="16" t="s">
        <v>243</v>
      </c>
      <c r="R17" s="18"/>
      <c r="S17" s="16" t="s">
        <v>81</v>
      </c>
      <c r="T17" s="18"/>
      <c r="U17" s="18"/>
      <c r="V17" s="18"/>
      <c r="W17" s="21"/>
      <c r="X17" s="22" t="s">
        <v>244</v>
      </c>
      <c r="Y17" s="23" t="s">
        <v>245</v>
      </c>
      <c r="Z17" s="23" t="s">
        <v>246</v>
      </c>
      <c r="AA17" s="22" t="s">
        <v>247</v>
      </c>
      <c r="AB17" s="18"/>
      <c r="AC17" s="18"/>
      <c r="AD17" s="18"/>
      <c r="AE17" s="18"/>
      <c r="AF17" s="18"/>
      <c r="AG17" s="18"/>
      <c r="AH17" s="18"/>
      <c r="AI17" s="18"/>
      <c r="AJ17" s="16" t="s">
        <v>248</v>
      </c>
      <c r="AK17" s="24" t="str">
        <f t="shared" si="3"/>
        <v>4th of month</v>
      </c>
      <c r="AL17" s="25" t="str">
        <f t="shared" ref="AL17:AL22" si="11">IF(AO17="Static", "None", IF(AO17="Manual - monthly", "Manual", IF(AO17="Automated - weekly", "Automated by Staging Server", IF(AO17="Automated - monthly", "Automated by Staging Server", IF(AO17="Manual - annual", "Manual", IF(AO17="Automated - broken", "Automated by Staging Server", IF(AO17="Automated - daily", "Automated by Staging Server", "")))))))</f>
        <v>Automated by Staging Server</v>
      </c>
      <c r="AM17" s="26"/>
      <c r="AN17" s="26"/>
      <c r="AO17" s="25" t="s">
        <v>230</v>
      </c>
      <c r="AP17" s="27">
        <v>11766.0</v>
      </c>
      <c r="AQ17" s="18"/>
      <c r="AR17" s="18"/>
      <c r="AS17" s="22" t="s">
        <v>249</v>
      </c>
      <c r="AT17" s="27">
        <v>11767.0</v>
      </c>
      <c r="AU17" s="27">
        <v>7.0</v>
      </c>
      <c r="AV17" s="18"/>
      <c r="AW17" s="18"/>
      <c r="AX17" s="35">
        <v>42011.0</v>
      </c>
      <c r="AY17" s="29">
        <f t="shared" si="5"/>
        <v>2</v>
      </c>
      <c r="AZ17" s="30" t="str">
        <f>HYPERLINK("https://data.colorado.gov/Transportation/Colorado-Highway-Mileposts-GPS/trm9-dm4m","trm9-dm4m")</f>
        <v>trm9-dm4m</v>
      </c>
      <c r="BA17" s="30" t="str">
        <f>HYPERLINK("https://dev.socrata.com/foundry/data.colorado.gov/2ivx-wb7h","2ivx-wb7h")</f>
        <v>2ivx-wb7h</v>
      </c>
      <c r="BB17" s="30" t="str">
        <f>HYPERLINK("https://data.colorado.gov/Transportation/Colorado-Highway-Mileposts-GPS/trm9-dm4m","trm9-dm4m")</f>
        <v>trm9-dm4m</v>
      </c>
      <c r="BC17" s="16" t="s">
        <v>115</v>
      </c>
      <c r="BD17" s="22" t="s">
        <v>116</v>
      </c>
      <c r="BE17" s="16" t="s">
        <v>250</v>
      </c>
      <c r="BF17" s="31">
        <f t="shared" si="6"/>
        <v>3</v>
      </c>
      <c r="BG17" s="31" t="str">
        <f t="shared" si="7"/>
        <v>#REF!</v>
      </c>
      <c r="BH17" s="18"/>
      <c r="BI17" s="33" t="s">
        <v>251</v>
      </c>
      <c r="BJ17" s="33" t="s">
        <v>252</v>
      </c>
      <c r="BK17" s="33" t="s">
        <v>253</v>
      </c>
      <c r="BL17" s="33" t="s">
        <v>254</v>
      </c>
      <c r="BM17" s="33" t="s">
        <v>251</v>
      </c>
      <c r="BN17" s="33" t="s">
        <v>252</v>
      </c>
      <c r="BO17" s="33" t="s">
        <v>253</v>
      </c>
      <c r="BP17" s="33" t="s">
        <v>254</v>
      </c>
      <c r="BQ17" s="33" t="s">
        <v>251</v>
      </c>
      <c r="BR17" s="33" t="s">
        <v>254</v>
      </c>
    </row>
    <row r="18">
      <c r="A18" s="14" t="s">
        <v>255</v>
      </c>
      <c r="B18" s="22" t="s">
        <v>256</v>
      </c>
      <c r="C18" s="16" t="s">
        <v>236</v>
      </c>
      <c r="D18" s="16" t="s">
        <v>257</v>
      </c>
      <c r="E18" s="14" t="s">
        <v>238</v>
      </c>
      <c r="F18" s="16" t="s">
        <v>75</v>
      </c>
      <c r="G18" s="16" t="s">
        <v>239</v>
      </c>
      <c r="H18" s="17" t="str">
        <f t="shared" si="1"/>
        <v>CDOT</v>
      </c>
      <c r="I18" s="30" t="s">
        <v>258</v>
      </c>
      <c r="J18" s="16" t="s">
        <v>239</v>
      </c>
      <c r="K18" s="17" t="str">
        <f t="shared" si="2"/>
        <v>CDOT</v>
      </c>
      <c r="L18" s="19" t="s">
        <v>241</v>
      </c>
      <c r="M18" s="19" t="s">
        <v>242</v>
      </c>
      <c r="N18" s="20" t="s">
        <v>79</v>
      </c>
      <c r="O18" s="20" t="s">
        <v>79</v>
      </c>
      <c r="P18" s="18"/>
      <c r="Q18" s="16" t="s">
        <v>259</v>
      </c>
      <c r="R18" s="18"/>
      <c r="S18" s="16" t="s">
        <v>81</v>
      </c>
      <c r="T18" s="18"/>
      <c r="U18" s="18"/>
      <c r="V18" s="18"/>
      <c r="W18" s="21"/>
      <c r="X18" s="22" t="s">
        <v>260</v>
      </c>
      <c r="Y18" s="34"/>
      <c r="Z18" s="34"/>
      <c r="AA18" s="22" t="s">
        <v>261</v>
      </c>
      <c r="AB18" s="18"/>
      <c r="AC18" s="18"/>
      <c r="AD18" s="18"/>
      <c r="AE18" s="18"/>
      <c r="AF18" s="18"/>
      <c r="AG18" s="18"/>
      <c r="AH18" s="18"/>
      <c r="AI18" s="18"/>
      <c r="AJ18" s="16" t="s">
        <v>248</v>
      </c>
      <c r="AK18" s="24" t="str">
        <f t="shared" si="3"/>
        <v>4th of month</v>
      </c>
      <c r="AL18" s="25" t="str">
        <f t="shared" si="11"/>
        <v>Automated by Staging Server</v>
      </c>
      <c r="AM18" s="26"/>
      <c r="AN18" s="26"/>
      <c r="AO18" s="25" t="s">
        <v>230</v>
      </c>
      <c r="AP18" s="27">
        <v>181.0</v>
      </c>
      <c r="AQ18" s="18"/>
      <c r="AR18" s="18"/>
      <c r="AS18" s="22" t="s">
        <v>262</v>
      </c>
      <c r="AT18" s="27">
        <v>291.0</v>
      </c>
      <c r="AU18" s="27">
        <v>2.0</v>
      </c>
      <c r="AV18" s="18"/>
      <c r="AW18" s="18"/>
      <c r="AX18" s="35">
        <v>42013.0</v>
      </c>
      <c r="AY18" s="29">
        <f t="shared" si="5"/>
        <v>2</v>
      </c>
      <c r="AZ18" s="30" t="str">
        <f>HYPERLINK("https://data.colorado.gov/Transportation/Colorado-Highway-Routes/xs2v-uzeg","xs2v-uzeg")</f>
        <v>xs2v-uzeg</v>
      </c>
      <c r="BA18" s="30" t="str">
        <f>HYPERLINK("https://dev.socrata.com/foundry/data.colorado.gov/i7qk-ahka","i7qk-ahka")</f>
        <v>i7qk-ahka</v>
      </c>
      <c r="BB18" s="30" t="str">
        <f>HYPERLINK("https://data.colorado.gov/Transportation/Colorado-Highway-Routes/xs2v-uzeg","xs2v-uzeg")</f>
        <v>xs2v-uzeg</v>
      </c>
      <c r="BC18" s="16" t="s">
        <v>115</v>
      </c>
      <c r="BD18" s="22" t="s">
        <v>116</v>
      </c>
      <c r="BE18" s="16" t="s">
        <v>263</v>
      </c>
      <c r="BF18" s="31">
        <f t="shared" si="6"/>
        <v>3</v>
      </c>
      <c r="BG18" s="31" t="str">
        <f t="shared" si="7"/>
        <v>#REF!</v>
      </c>
      <c r="BH18" s="18"/>
      <c r="BI18" s="33" t="s">
        <v>251</v>
      </c>
      <c r="BJ18" s="33" t="s">
        <v>252</v>
      </c>
      <c r="BK18" s="33" t="s">
        <v>253</v>
      </c>
      <c r="BL18" s="33" t="s">
        <v>254</v>
      </c>
      <c r="BM18" s="33" t="s">
        <v>251</v>
      </c>
      <c r="BN18" s="33" t="s">
        <v>252</v>
      </c>
      <c r="BO18" s="33" t="s">
        <v>253</v>
      </c>
      <c r="BP18" s="33" t="s">
        <v>254</v>
      </c>
      <c r="BQ18" s="33" t="s">
        <v>251</v>
      </c>
      <c r="BR18" s="33" t="s">
        <v>254</v>
      </c>
    </row>
    <row r="19">
      <c r="A19" s="14" t="s">
        <v>264</v>
      </c>
      <c r="B19" s="22" t="s">
        <v>265</v>
      </c>
      <c r="C19" s="16" t="s">
        <v>236</v>
      </c>
      <c r="D19" s="16" t="s">
        <v>266</v>
      </c>
      <c r="E19" s="14" t="s">
        <v>238</v>
      </c>
      <c r="F19" s="16" t="s">
        <v>75</v>
      </c>
      <c r="G19" s="16" t="s">
        <v>239</v>
      </c>
      <c r="H19" s="17" t="str">
        <f t="shared" si="1"/>
        <v>CDOT</v>
      </c>
      <c r="I19" s="30" t="s">
        <v>267</v>
      </c>
      <c r="J19" s="16" t="s">
        <v>239</v>
      </c>
      <c r="K19" s="17" t="str">
        <f t="shared" si="2"/>
        <v>CDOT</v>
      </c>
      <c r="L19" s="19" t="s">
        <v>241</v>
      </c>
      <c r="M19" s="19" t="s">
        <v>242</v>
      </c>
      <c r="N19" s="20" t="s">
        <v>79</v>
      </c>
      <c r="O19" s="20" t="s">
        <v>79</v>
      </c>
      <c r="P19" s="18"/>
      <c r="Q19" s="16" t="s">
        <v>259</v>
      </c>
      <c r="R19" s="18"/>
      <c r="S19" s="16" t="s">
        <v>81</v>
      </c>
      <c r="T19" s="18"/>
      <c r="U19" s="18"/>
      <c r="V19" s="18"/>
      <c r="W19" s="21"/>
      <c r="X19" s="22" t="s">
        <v>268</v>
      </c>
      <c r="Y19" s="34"/>
      <c r="Z19" s="34"/>
      <c r="AA19" s="22" t="s">
        <v>269</v>
      </c>
      <c r="AB19" s="18"/>
      <c r="AC19" s="18"/>
      <c r="AD19" s="18"/>
      <c r="AE19" s="18"/>
      <c r="AF19" s="18"/>
      <c r="AG19" s="18"/>
      <c r="AH19" s="18"/>
      <c r="AI19" s="18"/>
      <c r="AJ19" s="16" t="s">
        <v>248</v>
      </c>
      <c r="AK19" s="24" t="str">
        <f t="shared" si="3"/>
        <v>4th of month</v>
      </c>
      <c r="AL19" s="25" t="str">
        <f t="shared" si="11"/>
        <v>Automated by Staging Server</v>
      </c>
      <c r="AM19" s="26"/>
      <c r="AN19" s="26"/>
      <c r="AO19" s="25" t="s">
        <v>230</v>
      </c>
      <c r="AP19" s="27">
        <v>162814.0</v>
      </c>
      <c r="AQ19" s="18"/>
      <c r="AR19" s="18"/>
      <c r="AS19" s="22" t="s">
        <v>270</v>
      </c>
      <c r="AT19" s="27">
        <v>164361.0</v>
      </c>
      <c r="AU19" s="27">
        <v>42.0</v>
      </c>
      <c r="AV19" s="18"/>
      <c r="AW19" s="18"/>
      <c r="AX19" s="35">
        <v>42017.0</v>
      </c>
      <c r="AY19" s="29">
        <f t="shared" si="5"/>
        <v>2</v>
      </c>
      <c r="AZ19" s="30" t="str">
        <f>HYPERLINK("https://data.colorado.gov/Transportation/Colorado-Local-Roads/qvrk-xsmj","qvrk-xsmj")</f>
        <v>qvrk-xsmj</v>
      </c>
      <c r="BA19" s="30" t="str">
        <f>HYPERLINK("https://dev.socrata.com/foundry/data.colorado.gov/nxhx-5jh3","nxhx-5jh3")</f>
        <v>nxhx-5jh3</v>
      </c>
      <c r="BB19" s="30" t="str">
        <f>HYPERLINK("https://data.colorado.gov/Transportation/Colorado-Local-Roads/qvrk-xsmj","qvrk-xsmj")</f>
        <v>qvrk-xsmj</v>
      </c>
      <c r="BC19" s="16" t="s">
        <v>115</v>
      </c>
      <c r="BD19" s="22" t="s">
        <v>116</v>
      </c>
      <c r="BE19" s="16" t="s">
        <v>271</v>
      </c>
      <c r="BF19" s="31">
        <f t="shared" si="6"/>
        <v>3</v>
      </c>
      <c r="BG19" s="31" t="str">
        <f t="shared" si="7"/>
        <v>#REF!</v>
      </c>
      <c r="BH19" s="18"/>
      <c r="BI19" s="33" t="s">
        <v>251</v>
      </c>
      <c r="BJ19" s="33" t="s">
        <v>252</v>
      </c>
      <c r="BK19" s="33" t="s">
        <v>253</v>
      </c>
      <c r="BL19" s="33" t="s">
        <v>254</v>
      </c>
      <c r="BM19" s="33" t="s">
        <v>251</v>
      </c>
      <c r="BN19" s="33" t="s">
        <v>252</v>
      </c>
      <c r="BO19" s="33" t="s">
        <v>253</v>
      </c>
      <c r="BP19" s="33" t="s">
        <v>254</v>
      </c>
      <c r="BQ19" s="33" t="s">
        <v>251</v>
      </c>
      <c r="BR19" s="33" t="s">
        <v>254</v>
      </c>
    </row>
    <row r="20">
      <c r="A20" s="14" t="s">
        <v>272</v>
      </c>
      <c r="B20" s="22" t="s">
        <v>273</v>
      </c>
      <c r="C20" s="16" t="s">
        <v>274</v>
      </c>
      <c r="D20" s="16" t="s">
        <v>275</v>
      </c>
      <c r="E20" s="14" t="s">
        <v>276</v>
      </c>
      <c r="F20" s="16" t="s">
        <v>75</v>
      </c>
      <c r="G20" s="16" t="s">
        <v>101</v>
      </c>
      <c r="H20" s="17" t="str">
        <f t="shared" si="1"/>
        <v>DOLA</v>
      </c>
      <c r="I20" s="30" t="s">
        <v>277</v>
      </c>
      <c r="J20" s="16" t="s">
        <v>101</v>
      </c>
      <c r="K20" s="17" t="str">
        <f t="shared" si="2"/>
        <v>DOLA</v>
      </c>
      <c r="L20" s="19" t="s">
        <v>103</v>
      </c>
      <c r="M20" s="19" t="s">
        <v>278</v>
      </c>
      <c r="N20" s="20" t="s">
        <v>79</v>
      </c>
      <c r="O20" s="20" t="s">
        <v>79</v>
      </c>
      <c r="P20" s="18"/>
      <c r="Q20" s="16" t="s">
        <v>105</v>
      </c>
      <c r="R20" s="18"/>
      <c r="S20" s="16" t="s">
        <v>81</v>
      </c>
      <c r="T20" s="22" t="s">
        <v>279</v>
      </c>
      <c r="U20" s="22" t="s">
        <v>280</v>
      </c>
      <c r="V20" s="16" t="s">
        <v>281</v>
      </c>
      <c r="W20" s="21"/>
      <c r="X20" s="22" t="s">
        <v>282</v>
      </c>
      <c r="Y20" s="34"/>
      <c r="Z20" s="34"/>
      <c r="AA20" s="22" t="s">
        <v>283</v>
      </c>
      <c r="AB20" s="18"/>
      <c r="AC20" s="19" t="s">
        <v>284</v>
      </c>
      <c r="AD20" s="18"/>
      <c r="AE20" s="18"/>
      <c r="AF20" s="18"/>
      <c r="AG20" s="18"/>
      <c r="AH20" s="18"/>
      <c r="AI20" s="16" t="s">
        <v>285</v>
      </c>
      <c r="AJ20" s="16" t="s">
        <v>286</v>
      </c>
      <c r="AK20" s="24" t="str">
        <f t="shared" si="3"/>
        <v>4th of month</v>
      </c>
      <c r="AL20" s="25" t="str">
        <f t="shared" si="11"/>
        <v>Automated by Staging Server</v>
      </c>
      <c r="AM20" s="26"/>
      <c r="AN20" s="26"/>
      <c r="AO20" s="25" t="s">
        <v>230</v>
      </c>
      <c r="AP20" s="27">
        <v>1299.0</v>
      </c>
      <c r="AQ20" s="18"/>
      <c r="AR20" s="18"/>
      <c r="AS20" s="22" t="s">
        <v>287</v>
      </c>
      <c r="AT20" s="27">
        <v>1300.0</v>
      </c>
      <c r="AU20" s="27">
        <v>14.0</v>
      </c>
      <c r="AV20" s="18"/>
      <c r="AW20" s="18"/>
      <c r="AX20" s="35">
        <v>42374.0</v>
      </c>
      <c r="AY20" s="29">
        <f t="shared" si="5"/>
        <v>3</v>
      </c>
      <c r="AZ20" s="42" t="str">
        <f>HYPERLINK("https://data.colorado.gov/Government/Metropolitan-Districts-of-Colorado/knbf-ggf2","knbf-ggf2")</f>
        <v>knbf-ggf2</v>
      </c>
      <c r="BA20" s="42" t="str">
        <f>HYPERLINK("https://dev.socrata.com/foundry/data.colorado.gov/6mdp-xw2u","6mdp-xw2u")</f>
        <v>6mdp-xw2u</v>
      </c>
      <c r="BB20" s="42" t="str">
        <f>HYPERLINK("https://data.colorado.gov/Government/Metropolitan-Districts-of-Colorado/knbf-ggf2","knbf-ggf2")</f>
        <v>knbf-ggf2</v>
      </c>
      <c r="BC20" s="16" t="s">
        <v>115</v>
      </c>
      <c r="BD20" s="22" t="s">
        <v>116</v>
      </c>
      <c r="BE20" s="43" t="s">
        <v>288</v>
      </c>
      <c r="BF20" s="31">
        <f t="shared" si="6"/>
        <v>3</v>
      </c>
      <c r="BG20" s="31" t="str">
        <f t="shared" si="7"/>
        <v>#REF!</v>
      </c>
      <c r="BH20" s="18"/>
      <c r="BI20" s="33" t="s">
        <v>117</v>
      </c>
      <c r="BJ20" s="33" t="s">
        <v>118</v>
      </c>
      <c r="BK20" s="33" t="s">
        <v>289</v>
      </c>
      <c r="BL20" s="33" t="s">
        <v>120</v>
      </c>
      <c r="BM20" s="33" t="s">
        <v>290</v>
      </c>
      <c r="BN20" s="33" t="s">
        <v>291</v>
      </c>
      <c r="BO20" s="33" t="s">
        <v>292</v>
      </c>
      <c r="BP20" s="33" t="s">
        <v>293</v>
      </c>
      <c r="BQ20" s="32"/>
      <c r="BR20" s="32"/>
    </row>
    <row r="21">
      <c r="A21" s="14" t="s">
        <v>294</v>
      </c>
      <c r="B21" s="22" t="s">
        <v>295</v>
      </c>
      <c r="C21" s="16" t="s">
        <v>72</v>
      </c>
      <c r="D21" s="16" t="s">
        <v>296</v>
      </c>
      <c r="E21" s="14" t="s">
        <v>72</v>
      </c>
      <c r="F21" s="16" t="s">
        <v>75</v>
      </c>
      <c r="G21" s="16" t="s">
        <v>76</v>
      </c>
      <c r="H21" s="17" t="str">
        <f t="shared" si="1"/>
        <v>CDOS</v>
      </c>
      <c r="I21" s="18"/>
      <c r="J21" s="16" t="s">
        <v>76</v>
      </c>
      <c r="K21" s="17" t="str">
        <f t="shared" si="2"/>
        <v>CDOS</v>
      </c>
      <c r="L21" s="19" t="s">
        <v>77</v>
      </c>
      <c r="M21" s="19" t="s">
        <v>78</v>
      </c>
      <c r="N21" s="20" t="s">
        <v>79</v>
      </c>
      <c r="O21" s="20" t="s">
        <v>79</v>
      </c>
      <c r="P21" s="18"/>
      <c r="Q21" s="16" t="s">
        <v>80</v>
      </c>
      <c r="R21" s="18"/>
      <c r="S21" s="16" t="s">
        <v>81</v>
      </c>
      <c r="T21" s="18"/>
      <c r="U21" s="18"/>
      <c r="V21" s="18"/>
      <c r="W21" s="21"/>
      <c r="X21" s="22" t="s">
        <v>297</v>
      </c>
      <c r="Y21" s="23" t="s">
        <v>298</v>
      </c>
      <c r="Z21" s="23" t="s">
        <v>299</v>
      </c>
      <c r="AA21" s="22" t="s">
        <v>300</v>
      </c>
      <c r="AB21" s="18"/>
      <c r="AC21" s="18"/>
      <c r="AD21" s="18"/>
      <c r="AE21" s="18"/>
      <c r="AF21" s="18"/>
      <c r="AG21" s="18"/>
      <c r="AH21" s="18"/>
      <c r="AI21" s="18"/>
      <c r="AJ21" s="18"/>
      <c r="AK21" s="24" t="str">
        <f t="shared" si="3"/>
        <v>None</v>
      </c>
      <c r="AL21" s="25" t="str">
        <f t="shared" si="11"/>
        <v>None</v>
      </c>
      <c r="AM21" s="26"/>
      <c r="AN21" s="26"/>
      <c r="AO21" s="25" t="s">
        <v>86</v>
      </c>
      <c r="AP21" s="18"/>
      <c r="AQ21" s="18"/>
      <c r="AR21" s="18"/>
      <c r="AS21" s="22" t="s">
        <v>301</v>
      </c>
      <c r="AT21" s="27">
        <v>6302.0</v>
      </c>
      <c r="AU21" s="18"/>
      <c r="AV21" s="18"/>
      <c r="AW21" s="18"/>
      <c r="AX21" s="28">
        <v>42547.0</v>
      </c>
      <c r="AY21" s="29">
        <f t="shared" si="5"/>
        <v>3</v>
      </c>
      <c r="AZ21" s="30" t="str">
        <f>HYPERLINK("https://data.colorado.gov/Legislative/Subcontractors-for-Lobbyists-in-Colorado/gcmk-9nwy","gcmk-9nwy")</f>
        <v>gcmk-9nwy</v>
      </c>
      <c r="BA21" s="30" t="str">
        <f>HYPERLINK("https://data.colorado.gov/resource/37vx-jsnr.json","37vx-jsnr")</f>
        <v>37vx-jsnr</v>
      </c>
      <c r="BB21" s="18"/>
      <c r="BC21" s="18"/>
      <c r="BD21" s="18"/>
      <c r="BE21" s="16" t="s">
        <v>302</v>
      </c>
      <c r="BF21" s="31">
        <f t="shared" si="6"/>
        <v>4</v>
      </c>
      <c r="BG21" s="31" t="str">
        <f t="shared" si="7"/>
        <v>#REF!</v>
      </c>
      <c r="BH21" s="18"/>
      <c r="BI21" s="32"/>
      <c r="BJ21" s="33" t="s">
        <v>89</v>
      </c>
      <c r="BK21" s="32"/>
      <c r="BL21" s="32"/>
      <c r="BM21" s="33" t="s">
        <v>90</v>
      </c>
      <c r="BN21" s="33" t="s">
        <v>91</v>
      </c>
      <c r="BO21" s="33" t="s">
        <v>92</v>
      </c>
      <c r="BP21" s="33" t="s">
        <v>93</v>
      </c>
      <c r="BQ21" s="33" t="s">
        <v>94</v>
      </c>
      <c r="BR21" s="33" t="s">
        <v>95</v>
      </c>
    </row>
    <row r="22">
      <c r="A22" s="14" t="s">
        <v>303</v>
      </c>
      <c r="B22" s="16" t="s">
        <v>304</v>
      </c>
      <c r="C22" s="16" t="s">
        <v>305</v>
      </c>
      <c r="D22" s="44" t="s">
        <v>306</v>
      </c>
      <c r="E22" s="14" t="s">
        <v>307</v>
      </c>
      <c r="F22" s="16" t="s">
        <v>75</v>
      </c>
      <c r="G22" s="16" t="s">
        <v>308</v>
      </c>
      <c r="H22" s="17" t="str">
        <f t="shared" si="1"/>
        <v>DPA</v>
      </c>
      <c r="I22" s="45" t="s">
        <v>309</v>
      </c>
      <c r="J22" s="16" t="s">
        <v>308</v>
      </c>
      <c r="K22" s="17" t="str">
        <f t="shared" si="2"/>
        <v>DPA</v>
      </c>
      <c r="L22" s="46" t="s">
        <v>310</v>
      </c>
      <c r="M22" s="45" t="s">
        <v>310</v>
      </c>
      <c r="N22" s="20" t="s">
        <v>311</v>
      </c>
      <c r="O22" s="20" t="s">
        <v>312</v>
      </c>
      <c r="P22" s="18" t="s">
        <v>313</v>
      </c>
      <c r="Q22" s="16" t="s">
        <v>80</v>
      </c>
      <c r="R22" s="18" t="s">
        <v>314</v>
      </c>
      <c r="S22" s="18" t="s">
        <v>81</v>
      </c>
      <c r="T22" s="18" t="s">
        <v>315</v>
      </c>
      <c r="U22" s="18" t="s">
        <v>316</v>
      </c>
      <c r="V22" s="18" t="s">
        <v>317</v>
      </c>
      <c r="W22" s="47">
        <v>43937.0</v>
      </c>
      <c r="X22" s="18" t="s">
        <v>318</v>
      </c>
      <c r="Y22" s="23" t="s">
        <v>319</v>
      </c>
      <c r="Z22" s="23" t="s">
        <v>320</v>
      </c>
      <c r="AA22" s="22" t="s">
        <v>321</v>
      </c>
      <c r="AB22" s="18"/>
      <c r="AC22" s="18"/>
      <c r="AD22" s="18"/>
      <c r="AE22" s="18"/>
      <c r="AF22" s="18"/>
      <c r="AG22" s="18"/>
      <c r="AH22" s="18"/>
      <c r="AI22" s="18"/>
      <c r="AJ22" s="18"/>
      <c r="AK22" s="24" t="str">
        <f t="shared" si="3"/>
        <v>Tuesday after 12AM</v>
      </c>
      <c r="AL22" s="24" t="str">
        <f t="shared" si="11"/>
        <v>Automated by Staging Server</v>
      </c>
      <c r="AM22" s="24" t="s">
        <v>322</v>
      </c>
      <c r="AN22" s="26"/>
      <c r="AO22" s="25" t="s">
        <v>323</v>
      </c>
      <c r="AP22" s="48">
        <v>4.4734744E7</v>
      </c>
      <c r="AQ22" s="18"/>
      <c r="AR22" s="18"/>
      <c r="AS22" s="44" t="s">
        <v>324</v>
      </c>
      <c r="AT22" s="48">
        <v>4.4734744E7</v>
      </c>
      <c r="AU22" s="27">
        <v>28.0</v>
      </c>
      <c r="AV22" s="18" t="s">
        <v>325</v>
      </c>
      <c r="AW22" s="18"/>
      <c r="AX22" s="28">
        <v>43937.0</v>
      </c>
      <c r="AY22" s="29">
        <f t="shared" si="5"/>
        <v>7</v>
      </c>
      <c r="AZ22" s="49" t="str">
        <f t="shared" ref="AZ22:BA22" si="12">HYPERLINK("https://data.colorado.gov/dataset/Colorado-State-Government-Departments-Expenses-and/rifs-n6ib","rifs-n6ib")</f>
        <v>rifs-n6ib</v>
      </c>
      <c r="BA22" s="49" t="str">
        <f t="shared" si="12"/>
        <v>rifs-n6ib</v>
      </c>
      <c r="BB22" s="18"/>
      <c r="BC22" s="18"/>
      <c r="BD22" s="18"/>
      <c r="BE22" s="18"/>
      <c r="BF22" s="31">
        <f t="shared" si="6"/>
        <v>4</v>
      </c>
      <c r="BG22" s="31" t="str">
        <f t="shared" si="7"/>
        <v>#REF!</v>
      </c>
      <c r="BH22" s="18"/>
      <c r="BI22" s="33" t="s">
        <v>326</v>
      </c>
      <c r="BJ22" s="33" t="s">
        <v>327</v>
      </c>
      <c r="BK22" s="33">
        <v>3.038663468E9</v>
      </c>
      <c r="BL22" s="33" t="s">
        <v>328</v>
      </c>
      <c r="BM22" s="32"/>
      <c r="BN22" s="33" t="s">
        <v>329</v>
      </c>
      <c r="BO22" s="32"/>
      <c r="BP22" s="32"/>
      <c r="BQ22" s="32"/>
      <c r="BR22" s="32"/>
    </row>
  </sheetData>
  <dataValidations>
    <dataValidation type="list" allowBlank="1" showErrorMessage="1" sqref="AO1:AO22">
      <formula1>#REF!</formula1>
    </dataValidation>
  </dataValidations>
  <hyperlinks>
    <hyperlink r:id="rId2" ref="L2"/>
    <hyperlink r:id="rId3" ref="M2"/>
    <hyperlink r:id="rId4" ref="I3"/>
    <hyperlink r:id="rId5" ref="L3"/>
    <hyperlink r:id="rId6" ref="M3"/>
    <hyperlink r:id="rId7" ref="L4"/>
    <hyperlink r:id="rId8" ref="M4"/>
    <hyperlink r:id="rId9" ref="I5"/>
    <hyperlink r:id="rId10" ref="L5"/>
    <hyperlink r:id="rId11" ref="AZ5"/>
    <hyperlink r:id="rId12" ref="BA5"/>
    <hyperlink r:id="rId13" ref="I6"/>
    <hyperlink r:id="rId14" ref="L6"/>
    <hyperlink r:id="rId15" ref="M6"/>
    <hyperlink r:id="rId16" ref="AC6"/>
    <hyperlink r:id="rId17" ref="AZ6"/>
    <hyperlink r:id="rId18" ref="BA6"/>
    <hyperlink r:id="rId19" ref="I7"/>
    <hyperlink r:id="rId20" ref="L7"/>
    <hyperlink r:id="rId21" ref="M7"/>
    <hyperlink r:id="rId22" ref="AC7"/>
    <hyperlink r:id="rId23" ref="AZ7"/>
    <hyperlink r:id="rId24" ref="BA7"/>
    <hyperlink r:id="rId25" ref="I8"/>
    <hyperlink r:id="rId26" ref="L8"/>
    <hyperlink r:id="rId27" ref="M8"/>
    <hyperlink r:id="rId28" ref="AC8"/>
    <hyperlink r:id="rId29" ref="AZ8"/>
    <hyperlink r:id="rId30" ref="BA8"/>
    <hyperlink r:id="rId31" ref="I9"/>
    <hyperlink r:id="rId32" ref="L9"/>
    <hyperlink r:id="rId33" ref="M9"/>
    <hyperlink r:id="rId34" ref="AC9"/>
    <hyperlink r:id="rId35" ref="AZ9"/>
    <hyperlink r:id="rId36" ref="BA9"/>
    <hyperlink r:id="rId37" ref="I10"/>
    <hyperlink r:id="rId38" ref="L10"/>
    <hyperlink r:id="rId39" ref="M10"/>
    <hyperlink r:id="rId40" ref="AC10"/>
    <hyperlink r:id="rId41" ref="AZ10"/>
    <hyperlink r:id="rId42" ref="BA10"/>
    <hyperlink r:id="rId43" ref="I11"/>
    <hyperlink r:id="rId44" ref="L11"/>
    <hyperlink r:id="rId45" ref="M11"/>
    <hyperlink r:id="rId46" ref="AC11"/>
    <hyperlink r:id="rId47" ref="AZ11"/>
    <hyperlink r:id="rId48" ref="BA11"/>
    <hyperlink r:id="rId49" ref="L12"/>
    <hyperlink r:id="rId50" ref="M12"/>
    <hyperlink r:id="rId51" ref="AC12"/>
    <hyperlink r:id="rId52" ref="L13"/>
    <hyperlink r:id="rId53" ref="M13"/>
    <hyperlink r:id="rId54" ref="L14"/>
    <hyperlink r:id="rId55" ref="M14"/>
    <hyperlink r:id="rId56" ref="L15"/>
    <hyperlink r:id="rId57" ref="I16"/>
    <hyperlink r:id="rId58" ref="L16"/>
    <hyperlink r:id="rId59" ref="M16"/>
    <hyperlink r:id="rId60" ref="AC16"/>
    <hyperlink r:id="rId61" ref="AZ16"/>
    <hyperlink r:id="rId62" ref="BA16"/>
    <hyperlink r:id="rId63" ref="I17"/>
    <hyperlink r:id="rId64" ref="L17"/>
    <hyperlink r:id="rId65" ref="M17"/>
    <hyperlink r:id="rId66" ref="I18"/>
    <hyperlink r:id="rId67" ref="L18"/>
    <hyperlink r:id="rId68" ref="M18"/>
    <hyperlink r:id="rId69" ref="I19"/>
    <hyperlink r:id="rId70" ref="L19"/>
    <hyperlink r:id="rId71" ref="M19"/>
    <hyperlink r:id="rId72" ref="I20"/>
    <hyperlink r:id="rId73" ref="L20"/>
    <hyperlink r:id="rId74" ref="M20"/>
    <hyperlink r:id="rId75" ref="AC20"/>
    <hyperlink r:id="rId76" ref="L21"/>
    <hyperlink r:id="rId77" ref="M21"/>
    <hyperlink r:id="rId78" ref="I22"/>
    <hyperlink r:id="rId79" ref="L22"/>
    <hyperlink r:id="rId80" ref="M22"/>
  </hyperlinks>
  <drawing r:id="rId81"/>
  <legacyDrawing r:id="rId82"/>
</worksheet>
</file>