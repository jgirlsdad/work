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PPFSR2026/Shared Documents/2026 Update Working Documents/2026 Figures and Tables from Patty/"/>
    </mc:Choice>
  </mc:AlternateContent>
  <xr:revisionPtr revIDLastSave="7" documentId="8_{311C536D-A285-4226-A159-D353ACA2F792}" xr6:coauthVersionLast="47" xr6:coauthVersionMax="47" xr10:uidLastSave="{58E9E907-94FD-4E6E-A653-47B52EC303CF}"/>
  <bookViews>
    <workbookView xWindow="-108" yWindow="-108" windowWidth="23256" windowHeight="12456" xr2:uid="{E6CC8AC8-BDFA-401F-91D9-0C78FCA06C06}"/>
  </bookViews>
  <sheets>
    <sheet name="China Fig 1" sheetId="2" r:id="rId1"/>
    <sheet name="China Fig 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I8" i="2"/>
</calcChain>
</file>

<file path=xl/sharedStrings.xml><?xml version="1.0" encoding="utf-8"?>
<sst xmlns="http://schemas.openxmlformats.org/spreadsheetml/2006/main" count="9" uniqueCount="9">
  <si>
    <t>Coast</t>
  </si>
  <si>
    <t>East</t>
  </si>
  <si>
    <t>Great Lakes</t>
  </si>
  <si>
    <t>Gulf</t>
  </si>
  <si>
    <t>Inland</t>
  </si>
  <si>
    <t>Oconus</t>
  </si>
  <si>
    <t>West</t>
  </si>
  <si>
    <t>all calls</t>
  </si>
  <si>
    <t>vessel calls where the country of Economic benefit is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</si>
</sst>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 yy"/>
    <numFmt numFmtId="165" formatCode="[$-409]mmm\-yy;@"/>
    <numFmt numFmtId="166" formatCode="0.0"/>
    <numFmt numFmtId="167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3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43" fontId="0" fillId="0" borderId="0" xfId="1" applyFont="1"/>
    <xf numFmtId="3" fontId="2" fillId="2" borderId="0" xfId="0" applyNumberFormat="1" applyFont="1" applyFill="1" applyAlignment="1">
      <alignment horizontal="right" vertical="center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'China Fig 1'!$A$2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'China Fig 1'!$C$1:$AF$1</c:f>
              <c:numCache>
                <c:formatCode>[$-409]mmm\-yy;@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 formatCode="m/d/yyyy">
                  <c:v>45748</c:v>
                </c:pt>
                <c:pt idx="27" formatCode="m/d/yyyy">
                  <c:v>45778</c:v>
                </c:pt>
                <c:pt idx="28" formatCode="m/d/yyyy">
                  <c:v>45809</c:v>
                </c:pt>
                <c:pt idx="29" formatCode="m/d/yyyy">
                  <c:v>45839</c:v>
                </c:pt>
              </c:numCache>
            </c:numRef>
          </c:cat>
          <c:val>
            <c:numRef>
              <c:f>'China Fig 1'!$C$2:$AF$2</c:f>
              <c:numCache>
                <c:formatCode>0.0</c:formatCode>
                <c:ptCount val="30"/>
                <c:pt idx="0">
                  <c:v>1807546.4435881444</c:v>
                </c:pt>
                <c:pt idx="1">
                  <c:v>1663011.0567232063</c:v>
                </c:pt>
                <c:pt idx="2">
                  <c:v>1208953.472403784</c:v>
                </c:pt>
                <c:pt idx="3">
                  <c:v>1727012.2468357089</c:v>
                </c:pt>
                <c:pt idx="4">
                  <c:v>1800755.7298167273</c:v>
                </c:pt>
                <c:pt idx="5">
                  <c:v>1777609.2938831165</c:v>
                </c:pt>
                <c:pt idx="6">
                  <c:v>1993547.7645684883</c:v>
                </c:pt>
                <c:pt idx="7">
                  <c:v>1753394.3989666195</c:v>
                </c:pt>
                <c:pt idx="8">
                  <c:v>1798720.0988422588</c:v>
                </c:pt>
                <c:pt idx="9">
                  <c:v>2066581.7161090709</c:v>
                </c:pt>
                <c:pt idx="10">
                  <c:v>1600344.9181135711</c:v>
                </c:pt>
                <c:pt idx="11">
                  <c:v>1732953.5123519863</c:v>
                </c:pt>
                <c:pt idx="12" formatCode="General">
                  <c:v>1903009.5502879629</c:v>
                </c:pt>
                <c:pt idx="13" formatCode="General">
                  <c:v>1714948.4486307455</c:v>
                </c:pt>
                <c:pt idx="14" formatCode="General">
                  <c:v>1556142.5310409328</c:v>
                </c:pt>
                <c:pt idx="15" formatCode="General">
                  <c:v>1899324.7508192298</c:v>
                </c:pt>
                <c:pt idx="16" formatCode="General">
                  <c:v>1777135.7269052707</c:v>
                </c:pt>
                <c:pt idx="17" formatCode="General">
                  <c:v>2206282.3574651121</c:v>
                </c:pt>
                <c:pt idx="18" formatCode="General">
                  <c:v>2089050.0654813205</c:v>
                </c:pt>
                <c:pt idx="19" formatCode="General">
                  <c:v>1975793.2534585337</c:v>
                </c:pt>
                <c:pt idx="20" formatCode="General">
                  <c:v>1968457.6093906672</c:v>
                </c:pt>
                <c:pt idx="21" formatCode="General">
                  <c:v>1762578.609717462</c:v>
                </c:pt>
                <c:pt idx="22" formatCode="General">
                  <c:v>1939512.5397781688</c:v>
                </c:pt>
                <c:pt idx="23" formatCode="General">
                  <c:v>2136191.8719209488</c:v>
                </c:pt>
                <c:pt idx="24" formatCode="General">
                  <c:v>2110816.5159007846</c:v>
                </c:pt>
                <c:pt idx="25" formatCode="General">
                  <c:v>1945114.4524373044</c:v>
                </c:pt>
                <c:pt idx="26" formatCode="General">
                  <c:v>1705835.9593145691</c:v>
                </c:pt>
                <c:pt idx="27" formatCode="General">
                  <c:v>1602637.440865129</c:v>
                </c:pt>
                <c:pt idx="28" formatCode="General">
                  <c:v>1039829.849423166</c:v>
                </c:pt>
                <c:pt idx="29" formatCode="General">
                  <c:v>1759968.6050701691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0-40AD-990B-91F9581F4062}"/>
            </c:ext>
          </c:extLst>
        </c:ser>
        <c:ser>
          <c:idx val="2"/>
          <c:order val="1"/>
          <c:tx>
            <c:strRef>
              <c:f>'China Fig 1'!$A$4</c:f>
              <c:strCache>
                <c:ptCount val="1"/>
                <c:pt idx="0">
                  <c:v>Gulf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'China Fig 1'!$C$1:$AF$1</c:f>
              <c:numCache>
                <c:formatCode>[$-409]mmm\-yy;@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 formatCode="m/d/yyyy">
                  <c:v>45748</c:v>
                </c:pt>
                <c:pt idx="27" formatCode="m/d/yyyy">
                  <c:v>45778</c:v>
                </c:pt>
                <c:pt idx="28" formatCode="m/d/yyyy">
                  <c:v>45809</c:v>
                </c:pt>
                <c:pt idx="29" formatCode="m/d/yyyy">
                  <c:v>45839</c:v>
                </c:pt>
              </c:numCache>
            </c:numRef>
          </c:cat>
          <c:val>
            <c:numRef>
              <c:f>'China Fig 1'!$C$4:$AF$4</c:f>
              <c:numCache>
                <c:formatCode>0.0</c:formatCode>
                <c:ptCount val="30"/>
                <c:pt idx="0">
                  <c:v>948242.13359379908</c:v>
                </c:pt>
                <c:pt idx="1">
                  <c:v>650047.74493610777</c:v>
                </c:pt>
                <c:pt idx="2">
                  <c:v>503580.08645611093</c:v>
                </c:pt>
                <c:pt idx="3">
                  <c:v>615079.79377820855</c:v>
                </c:pt>
                <c:pt idx="4">
                  <c:v>605829.58692169935</c:v>
                </c:pt>
                <c:pt idx="5">
                  <c:v>549463.57853835309</c:v>
                </c:pt>
                <c:pt idx="6">
                  <c:v>652110.62424423324</c:v>
                </c:pt>
                <c:pt idx="7">
                  <c:v>669869.71330352512</c:v>
                </c:pt>
                <c:pt idx="8">
                  <c:v>691395.67312026327</c:v>
                </c:pt>
                <c:pt idx="9">
                  <c:v>813418.20540549885</c:v>
                </c:pt>
                <c:pt idx="10">
                  <c:v>470194.74439951888</c:v>
                </c:pt>
                <c:pt idx="11">
                  <c:v>730851.77944879723</c:v>
                </c:pt>
                <c:pt idx="12" formatCode="General">
                  <c:v>746640.61192885507</c:v>
                </c:pt>
                <c:pt idx="13" formatCode="General">
                  <c:v>824328.36147972976</c:v>
                </c:pt>
                <c:pt idx="14" formatCode="General">
                  <c:v>551898.92633033416</c:v>
                </c:pt>
                <c:pt idx="15" formatCode="General">
                  <c:v>815102.30873491906</c:v>
                </c:pt>
                <c:pt idx="16" formatCode="General">
                  <c:v>703934.98059701279</c:v>
                </c:pt>
                <c:pt idx="17" formatCode="General">
                  <c:v>742259.58385922422</c:v>
                </c:pt>
                <c:pt idx="18" formatCode="General">
                  <c:v>730619.67422064673</c:v>
                </c:pt>
                <c:pt idx="19" formatCode="General">
                  <c:v>855498.49966060556</c:v>
                </c:pt>
                <c:pt idx="20" formatCode="General">
                  <c:v>692057.27002495679</c:v>
                </c:pt>
                <c:pt idx="21" formatCode="General">
                  <c:v>760738.5221065568</c:v>
                </c:pt>
                <c:pt idx="22" formatCode="General">
                  <c:v>630585.45589574054</c:v>
                </c:pt>
                <c:pt idx="23" formatCode="General">
                  <c:v>926054.76316503237</c:v>
                </c:pt>
                <c:pt idx="24" formatCode="General">
                  <c:v>622516.6157073552</c:v>
                </c:pt>
                <c:pt idx="25" formatCode="General">
                  <c:v>726616.06506370753</c:v>
                </c:pt>
                <c:pt idx="26" formatCode="General">
                  <c:v>485611.21897227771</c:v>
                </c:pt>
                <c:pt idx="27" formatCode="General">
                  <c:v>691434.30439247936</c:v>
                </c:pt>
                <c:pt idx="28" formatCode="General">
                  <c:v>530425.70713549294</c:v>
                </c:pt>
                <c:pt idx="29" formatCode="General">
                  <c:v>797692.17117528548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0-40AD-990B-91F9581F4062}"/>
            </c:ext>
          </c:extLst>
        </c:ser>
        <c:ser>
          <c:idx val="5"/>
          <c:order val="2"/>
          <c:tx>
            <c:strRef>
              <c:f>'China Fig 1'!$A$7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'China Fig 1'!$C$1:$AF$1</c:f>
              <c:numCache>
                <c:formatCode>[$-409]mmm\-yy;@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 formatCode="m/d/yyyy">
                  <c:v>45748</c:v>
                </c:pt>
                <c:pt idx="27" formatCode="m/d/yyyy">
                  <c:v>45778</c:v>
                </c:pt>
                <c:pt idx="28" formatCode="m/d/yyyy">
                  <c:v>45809</c:v>
                </c:pt>
                <c:pt idx="29" formatCode="m/d/yyyy">
                  <c:v>45839</c:v>
                </c:pt>
              </c:numCache>
            </c:numRef>
          </c:cat>
          <c:val>
            <c:numRef>
              <c:f>'China Fig 1'!$C$7:$AF$7</c:f>
              <c:numCache>
                <c:formatCode>0.0</c:formatCode>
                <c:ptCount val="30"/>
                <c:pt idx="0">
                  <c:v>3033804.1312746429</c:v>
                </c:pt>
                <c:pt idx="1">
                  <c:v>2343597.9787091515</c:v>
                </c:pt>
                <c:pt idx="2">
                  <c:v>2365199.6901941947</c:v>
                </c:pt>
                <c:pt idx="3">
                  <c:v>2833769.9019265017</c:v>
                </c:pt>
                <c:pt idx="4">
                  <c:v>2984029.7570454841</c:v>
                </c:pt>
                <c:pt idx="5">
                  <c:v>3056754.9896726618</c:v>
                </c:pt>
                <c:pt idx="6">
                  <c:v>2894692.9397527087</c:v>
                </c:pt>
                <c:pt idx="7">
                  <c:v>3165823.5799202258</c:v>
                </c:pt>
                <c:pt idx="8">
                  <c:v>3294262.6841660077</c:v>
                </c:pt>
                <c:pt idx="9">
                  <c:v>3266091.4257819825</c:v>
                </c:pt>
                <c:pt idx="10">
                  <c:v>3128889.8784814049</c:v>
                </c:pt>
                <c:pt idx="11">
                  <c:v>2924315.8214480272</c:v>
                </c:pt>
                <c:pt idx="12" formatCode="General">
                  <c:v>2981638.2111785887</c:v>
                </c:pt>
                <c:pt idx="13" formatCode="General">
                  <c:v>2604176.450062973</c:v>
                </c:pt>
                <c:pt idx="14" formatCode="General">
                  <c:v>3138176.1588732069</c:v>
                </c:pt>
                <c:pt idx="15" formatCode="General">
                  <c:v>3460142.3018017448</c:v>
                </c:pt>
                <c:pt idx="16" formatCode="General">
                  <c:v>3583804.0662375581</c:v>
                </c:pt>
                <c:pt idx="17" formatCode="General">
                  <c:v>4119842.7868483188</c:v>
                </c:pt>
                <c:pt idx="18" formatCode="General">
                  <c:v>3892986.6036613844</c:v>
                </c:pt>
                <c:pt idx="19" formatCode="General">
                  <c:v>3925129.8796084207</c:v>
                </c:pt>
                <c:pt idx="20" formatCode="General">
                  <c:v>3819263.511459765</c:v>
                </c:pt>
                <c:pt idx="21" formatCode="General">
                  <c:v>3716294.8485536529</c:v>
                </c:pt>
                <c:pt idx="22" formatCode="General">
                  <c:v>3763738.3598224968</c:v>
                </c:pt>
                <c:pt idx="23" formatCode="General">
                  <c:v>4316190.3780521927</c:v>
                </c:pt>
                <c:pt idx="24" formatCode="General">
                  <c:v>3438900.2288577822</c:v>
                </c:pt>
                <c:pt idx="25" formatCode="General">
                  <c:v>2738124.6542187058</c:v>
                </c:pt>
                <c:pt idx="26" formatCode="General">
                  <c:v>3127622.0950375367</c:v>
                </c:pt>
                <c:pt idx="27" formatCode="General">
                  <c:v>2245552.3786942172</c:v>
                </c:pt>
                <c:pt idx="28" formatCode="General">
                  <c:v>2568818.9163684091</c:v>
                </c:pt>
                <c:pt idx="29" formatCode="General">
                  <c:v>3649043.6963939094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0-40AD-990B-91F9581F4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075640"/>
        <c:axId val="1805077800"/>
      </c:lineChart>
      <c:dateAx>
        <c:axId val="180507564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805077800"/>
        <c:crosses val="autoZero"/>
        <c:auto val="1"/>
        <c:lblOffset val="100"/>
        <c:baseTimeUnit val="months"/>
      </c:dateAx>
      <c:valAx>
        <c:axId val="180507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80507564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555555555555555E-2"/>
                <c:y val="0.17604818160759786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r>
                    <a:rPr lang="en-US"/>
                    <a:t>Short Tons (millions)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'China Fig 2'!$B$5</c:f>
              <c:strCache>
                <c:ptCount val="1"/>
                <c:pt idx="0">
                  <c:v>vessel calls where the country of Economic benefit is China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'China Fig 2'!$C$3:$L$3</c:f>
              <c:numCache>
                <c:formatCode>mmm\ 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'China Fig 2'!$C$5:$L$5</c:f>
              <c:numCache>
                <c:formatCode>General</c:formatCode>
                <c:ptCount val="10"/>
                <c:pt idx="0">
                  <c:v>199</c:v>
                </c:pt>
                <c:pt idx="1">
                  <c:v>160</c:v>
                </c:pt>
                <c:pt idx="2">
                  <c:v>245</c:v>
                </c:pt>
                <c:pt idx="3">
                  <c:v>144</c:v>
                </c:pt>
                <c:pt idx="4">
                  <c:v>134</c:v>
                </c:pt>
                <c:pt idx="5">
                  <c:v>155</c:v>
                </c:pt>
                <c:pt idx="6">
                  <c:v>176</c:v>
                </c:pt>
                <c:pt idx="7">
                  <c:v>156</c:v>
                </c:pt>
                <c:pt idx="8">
                  <c:v>169</c:v>
                </c:pt>
                <c:pt idx="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7-4561-A69B-0EFDAF549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709664"/>
        <c:axId val="1228707504"/>
      </c:lineChart>
      <c:dateAx>
        <c:axId val="12287096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07504"/>
        <c:crosses val="autoZero"/>
        <c:auto val="1"/>
        <c:lblOffset val="100"/>
        <c:baseTimeUnit val="months"/>
      </c:dateAx>
      <c:valAx>
        <c:axId val="12287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vessel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0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563369</xdr:colOff>
      <xdr:row>10</xdr:row>
      <xdr:rowOff>57637</xdr:rowOff>
    </xdr:from>
    <xdr:to>
      <xdr:col>11</xdr:col>
      <xdr:colOff>631902</xdr:colOff>
      <xdr:row>29</xdr:row>
      <xdr:rowOff>157975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BB673-DD10-4ED9-A7F6-E3A14282A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74296</xdr:colOff>
      <xdr:row>11</xdr:row>
      <xdr:rowOff>952</xdr:rowOff>
    </xdr:from>
    <xdr:to>
      <xdr:col>3</xdr:col>
      <xdr:colOff>609601</xdr:colOff>
      <xdr:row>26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AE8BC-236B-4CEE-80B3-1BFD05F3B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FB04-5B6F-4D8A-B469-D6F6FC40393A}">
  <dimension ref="A1:AF9"/>
  <sheetViews>
    <sheetView tabSelected="1" topLeftCell="A4" zoomScale="82" workbookViewId="0">
      <selection activeCell="B26" sqref="B26"/>
    </sheetView>
  </sheetViews>
  <sheetFormatPr defaultRowHeight="14.4" x14ac:dyDescent="0.3"/>
  <cols>
    <col min="1" max="1" width="25.6640625" bestFit="1" customWidth="1"/>
    <col min="2" max="2" width="15.44140625" bestFit="1" customWidth="1"/>
    <col min="3" max="8" width="11.6640625" bestFit="1" customWidth="1"/>
    <col min="9" max="9" width="18.109375" bestFit="1" customWidth="1"/>
    <col min="10" max="10" width="12.44140625" bestFit="1" customWidth="1"/>
    <col min="11" max="42" width="11.6640625" bestFit="1" customWidth="1"/>
    <col min="43" max="87" width="15.5546875" bestFit="1" customWidth="1"/>
    <col min="88" max="88" width="10.33203125" bestFit="1" customWidth="1"/>
  </cols>
  <sheetData>
    <row r="1" spans="1:32" x14ac:dyDescent="0.3">
      <c r="A1" s="2" t="s">
        <v>0</v>
      </c>
      <c r="B1" s="2"/>
      <c r="C1" s="3">
        <v>44927</v>
      </c>
      <c r="D1" s="3">
        <v>44958</v>
      </c>
      <c r="E1" s="3">
        <v>44986</v>
      </c>
      <c r="F1" s="3">
        <v>45017</v>
      </c>
      <c r="G1" s="3">
        <v>45047</v>
      </c>
      <c r="H1" s="3">
        <v>45078</v>
      </c>
      <c r="I1" s="3">
        <v>45108</v>
      </c>
      <c r="J1" s="3">
        <v>45139</v>
      </c>
      <c r="K1" s="3">
        <v>45170</v>
      </c>
      <c r="L1" s="3">
        <v>45200</v>
      </c>
      <c r="M1" s="3">
        <v>45231</v>
      </c>
      <c r="N1" s="3">
        <v>45261</v>
      </c>
      <c r="O1" s="3">
        <v>45323</v>
      </c>
      <c r="P1" s="3">
        <v>45352</v>
      </c>
      <c r="Q1" s="3">
        <v>45383</v>
      </c>
      <c r="R1" s="3">
        <v>45413</v>
      </c>
      <c r="S1" s="3">
        <v>45444</v>
      </c>
      <c r="T1" s="3">
        <v>45474</v>
      </c>
      <c r="U1" s="3">
        <v>45505</v>
      </c>
      <c r="V1" s="3">
        <v>45536</v>
      </c>
      <c r="W1" s="3">
        <v>45566</v>
      </c>
      <c r="X1" s="3">
        <v>45597</v>
      </c>
      <c r="Y1" s="3">
        <v>45627</v>
      </c>
      <c r="Z1" s="3">
        <v>45658</v>
      </c>
      <c r="AA1" s="3">
        <v>45689</v>
      </c>
      <c r="AB1" s="3">
        <v>45717</v>
      </c>
      <c r="AC1" s="4">
        <v>45748</v>
      </c>
      <c r="AD1" s="4">
        <v>45778</v>
      </c>
      <c r="AE1" s="4">
        <v>45809</v>
      </c>
      <c r="AF1" s="4">
        <v>45839</v>
      </c>
    </row>
    <row r="2" spans="1:32" x14ac:dyDescent="0.3">
      <c r="A2" t="s">
        <v>1</v>
      </c>
      <c r="C2" s="5">
        <v>1807546.4435881444</v>
      </c>
      <c r="D2" s="5">
        <v>1663011.0567232063</v>
      </c>
      <c r="E2" s="5">
        <v>1208953.472403784</v>
      </c>
      <c r="F2" s="5">
        <v>1727012.2468357089</v>
      </c>
      <c r="G2" s="5">
        <v>1800755.7298167273</v>
      </c>
      <c r="H2" s="5">
        <v>1777609.2938831165</v>
      </c>
      <c r="I2" s="5">
        <v>1993547.7645684883</v>
      </c>
      <c r="J2" s="5">
        <v>1753394.3989666195</v>
      </c>
      <c r="K2" s="5">
        <v>1798720.0988422588</v>
      </c>
      <c r="L2" s="5">
        <v>2066581.7161090709</v>
      </c>
      <c r="M2" s="5">
        <v>1600344.9181135711</v>
      </c>
      <c r="N2" s="5">
        <v>1732953.5123519863</v>
      </c>
      <c r="O2">
        <v>1903009.5502879629</v>
      </c>
      <c r="P2">
        <v>1714948.4486307455</v>
      </c>
      <c r="Q2">
        <v>1556142.5310409328</v>
      </c>
      <c r="R2">
        <v>1899324.7508192298</v>
      </c>
      <c r="S2">
        <v>1777135.7269052707</v>
      </c>
      <c r="T2">
        <v>2206282.3574651121</v>
      </c>
      <c r="U2">
        <v>2089050.0654813205</v>
      </c>
      <c r="V2">
        <v>1975793.2534585337</v>
      </c>
      <c r="W2">
        <v>1968457.6093906672</v>
      </c>
      <c r="X2">
        <v>1762578.609717462</v>
      </c>
      <c r="Y2">
        <v>1939512.5397781688</v>
      </c>
      <c r="Z2">
        <v>2136191.8719209488</v>
      </c>
      <c r="AA2">
        <v>2110816.5159007846</v>
      </c>
      <c r="AB2">
        <v>1945114.4524373044</v>
      </c>
      <c r="AC2">
        <v>1705835.9593145691</v>
      </c>
      <c r="AD2">
        <v>1602637.440865129</v>
      </c>
      <c r="AE2">
        <v>1039829.849423166</v>
      </c>
      <c r="AF2">
        <v>1759968.6050701691</v>
      </c>
    </row>
    <row r="3" spans="1:32" x14ac:dyDescent="0.3">
      <c r="A3" t="s">
        <v>2</v>
      </c>
      <c r="C3" s="5">
        <v>12366.251511809069</v>
      </c>
      <c r="D3" s="5">
        <v>9700.4563861643674</v>
      </c>
      <c r="E3" s="5">
        <v>8248.4869453044957</v>
      </c>
      <c r="F3" s="5">
        <v>10116.174531050103</v>
      </c>
      <c r="G3" s="5">
        <v>12320.078488957928</v>
      </c>
      <c r="H3" s="5">
        <v>11122.969539473732</v>
      </c>
      <c r="I3" s="5">
        <v>10786.416958655613</v>
      </c>
      <c r="J3" s="5">
        <v>7899.4207885462065</v>
      </c>
      <c r="K3" s="5">
        <v>7301.7090400907764</v>
      </c>
      <c r="L3" s="5">
        <v>7854.2608009566056</v>
      </c>
      <c r="M3" s="5">
        <v>8063.6107658817746</v>
      </c>
      <c r="N3" s="5">
        <v>8243.6135732791681</v>
      </c>
      <c r="O3">
        <v>9022.5175361474448</v>
      </c>
      <c r="P3">
        <v>8757.6093664160016</v>
      </c>
      <c r="Q3">
        <v>15756.398816836543</v>
      </c>
      <c r="R3">
        <v>8397.0459759494606</v>
      </c>
      <c r="S3">
        <v>10899.22102548843</v>
      </c>
      <c r="T3">
        <v>35158.230926932556</v>
      </c>
      <c r="U3">
        <v>12129.908952270871</v>
      </c>
      <c r="V3">
        <v>5327.7585749356294</v>
      </c>
      <c r="W3">
        <v>12786.283048401458</v>
      </c>
      <c r="X3">
        <v>4891.3564326096648</v>
      </c>
      <c r="Y3">
        <v>27266.007208269486</v>
      </c>
      <c r="Z3">
        <v>5449.4109921976005</v>
      </c>
      <c r="AA3">
        <v>3941.1161294019275</v>
      </c>
      <c r="AB3">
        <v>5401.8591803852069</v>
      </c>
      <c r="AC3">
        <v>30327.206797028208</v>
      </c>
      <c r="AD3">
        <v>30177.332135341341</v>
      </c>
      <c r="AE3">
        <v>14674.620284050203</v>
      </c>
      <c r="AF3">
        <v>7920.9603072009477</v>
      </c>
    </row>
    <row r="4" spans="1:32" x14ac:dyDescent="0.3">
      <c r="A4" t="s">
        <v>3</v>
      </c>
      <c r="C4" s="5">
        <v>948242.13359379908</v>
      </c>
      <c r="D4" s="5">
        <v>650047.74493610777</v>
      </c>
      <c r="E4" s="5">
        <v>503580.08645611093</v>
      </c>
      <c r="F4" s="5">
        <v>615079.79377820855</v>
      </c>
      <c r="G4" s="5">
        <v>605829.58692169935</v>
      </c>
      <c r="H4" s="5">
        <v>549463.57853835309</v>
      </c>
      <c r="I4" s="5">
        <v>652110.62424423324</v>
      </c>
      <c r="J4" s="5">
        <v>669869.71330352512</v>
      </c>
      <c r="K4" s="5">
        <v>691395.67312026327</v>
      </c>
      <c r="L4" s="5">
        <v>813418.20540549885</v>
      </c>
      <c r="M4" s="5">
        <v>470194.74439951888</v>
      </c>
      <c r="N4" s="5">
        <v>730851.77944879723</v>
      </c>
      <c r="O4">
        <v>746640.61192885507</v>
      </c>
      <c r="P4">
        <v>824328.36147972976</v>
      </c>
      <c r="Q4">
        <v>551898.92633033416</v>
      </c>
      <c r="R4">
        <v>815102.30873491906</v>
      </c>
      <c r="S4">
        <v>703934.98059701279</v>
      </c>
      <c r="T4">
        <v>742259.58385922422</v>
      </c>
      <c r="U4">
        <v>730619.67422064673</v>
      </c>
      <c r="V4">
        <v>855498.49966060556</v>
      </c>
      <c r="W4">
        <v>692057.27002495679</v>
      </c>
      <c r="X4">
        <v>760738.5221065568</v>
      </c>
      <c r="Y4">
        <v>630585.45589574054</v>
      </c>
      <c r="Z4">
        <v>926054.76316503237</v>
      </c>
      <c r="AA4">
        <v>622516.6157073552</v>
      </c>
      <c r="AB4">
        <v>726616.06506370753</v>
      </c>
      <c r="AC4">
        <v>485611.21897227771</v>
      </c>
      <c r="AD4">
        <v>691434.30439247936</v>
      </c>
      <c r="AE4">
        <v>530425.70713549294</v>
      </c>
      <c r="AF4">
        <v>797692.17117528548</v>
      </c>
    </row>
    <row r="5" spans="1:32" x14ac:dyDescent="0.3">
      <c r="A5" t="s">
        <v>4</v>
      </c>
      <c r="C5" s="5">
        <v>59.530978563181769</v>
      </c>
      <c r="D5" s="5">
        <v>18.068183864996065</v>
      </c>
      <c r="E5" s="5">
        <v>9.7687905198947664</v>
      </c>
      <c r="F5" s="5">
        <v>13.094500404629873</v>
      </c>
      <c r="G5" s="5">
        <v>6.6183500656113941</v>
      </c>
      <c r="H5" s="5">
        <v>22.368347690104333</v>
      </c>
      <c r="I5" s="5">
        <v>84.527265386600163</v>
      </c>
      <c r="J5" s="5">
        <v>159.89532512776975</v>
      </c>
      <c r="K5" s="5">
        <v>86.753958779760552</v>
      </c>
      <c r="L5" s="5">
        <v>97.552319413126511</v>
      </c>
      <c r="M5" s="5">
        <v>64.787959153271842</v>
      </c>
      <c r="N5" s="5">
        <v>103.3119595018706</v>
      </c>
      <c r="O5">
        <v>181.8888828408075</v>
      </c>
      <c r="P5">
        <v>364.08310928057807</v>
      </c>
      <c r="Q5">
        <v>186.51643673411806</v>
      </c>
      <c r="R5">
        <v>653.54663645065773</v>
      </c>
      <c r="S5">
        <v>542.10614374028978</v>
      </c>
      <c r="T5">
        <v>519.553708032038</v>
      </c>
      <c r="U5">
        <v>341.58578974542434</v>
      </c>
      <c r="V5">
        <v>116.11875348292877</v>
      </c>
      <c r="W5">
        <v>53.561897016665164</v>
      </c>
      <c r="X5">
        <v>259.16837146501678</v>
      </c>
      <c r="Y5">
        <v>204.02794725082401</v>
      </c>
      <c r="Z5">
        <v>87.365748301148685</v>
      </c>
      <c r="AA5">
        <v>49.919820298347368</v>
      </c>
      <c r="AB5">
        <v>101.51626234437154</v>
      </c>
      <c r="AC5">
        <v>29.920037231668477</v>
      </c>
      <c r="AD5">
        <v>88.177192582723237</v>
      </c>
      <c r="AE5">
        <v>72.018410363402296</v>
      </c>
      <c r="AF5">
        <v>102.84124059852419</v>
      </c>
    </row>
    <row r="6" spans="1:32" x14ac:dyDescent="0.3">
      <c r="A6" t="s">
        <v>5</v>
      </c>
      <c r="C6" s="5">
        <v>47752.043889581844</v>
      </c>
      <c r="D6" s="5">
        <v>45002.240692901127</v>
      </c>
      <c r="E6" s="5">
        <v>16292.075107823217</v>
      </c>
      <c r="F6" s="5">
        <v>21494.279040441535</v>
      </c>
      <c r="G6" s="5">
        <v>27064.509093363864</v>
      </c>
      <c r="H6" s="5">
        <v>29265.710154142958</v>
      </c>
      <c r="I6" s="5">
        <v>54758.668655170004</v>
      </c>
      <c r="J6" s="5">
        <v>27674.595525003264</v>
      </c>
      <c r="K6" s="5">
        <v>32721.500821330188</v>
      </c>
      <c r="L6" s="5">
        <v>56432.986659218484</v>
      </c>
      <c r="M6" s="5">
        <v>25116.06859776541</v>
      </c>
      <c r="N6" s="5">
        <v>28236.009966503254</v>
      </c>
      <c r="O6">
        <v>27659.114494303489</v>
      </c>
      <c r="P6">
        <v>54052.823384390089</v>
      </c>
      <c r="Q6">
        <v>21987.807993860144</v>
      </c>
      <c r="R6">
        <v>29335.186294979947</v>
      </c>
      <c r="S6">
        <v>28711.033113642472</v>
      </c>
      <c r="T6">
        <v>49594.897230052942</v>
      </c>
      <c r="U6">
        <v>40411.937616340598</v>
      </c>
      <c r="V6">
        <v>26194.091339007078</v>
      </c>
      <c r="W6">
        <v>62475.197446525017</v>
      </c>
      <c r="X6">
        <v>25492.246400070617</v>
      </c>
      <c r="Y6">
        <v>35776.416129046978</v>
      </c>
      <c r="Z6">
        <v>34533.125338123937</v>
      </c>
      <c r="AA6">
        <v>28350.758531922962</v>
      </c>
      <c r="AB6">
        <v>56614.714732292101</v>
      </c>
      <c r="AC6">
        <v>50807.165288391654</v>
      </c>
      <c r="AD6">
        <v>29339.584320590944</v>
      </c>
      <c r="AE6">
        <v>20134.312229913048</v>
      </c>
      <c r="AF6">
        <v>25608.669326103052</v>
      </c>
    </row>
    <row r="7" spans="1:32" x14ac:dyDescent="0.3">
      <c r="A7" t="s">
        <v>6</v>
      </c>
      <c r="C7" s="5">
        <v>3033804.1312746429</v>
      </c>
      <c r="D7" s="5">
        <v>2343597.9787091515</v>
      </c>
      <c r="E7" s="5">
        <v>2365199.6901941947</v>
      </c>
      <c r="F7" s="5">
        <v>2833769.9019265017</v>
      </c>
      <c r="G7" s="5">
        <v>2984029.7570454841</v>
      </c>
      <c r="H7" s="5">
        <v>3056754.9896726618</v>
      </c>
      <c r="I7" s="5">
        <v>2894692.9397527087</v>
      </c>
      <c r="J7" s="5">
        <v>3165823.5799202258</v>
      </c>
      <c r="K7" s="5">
        <v>3294262.6841660077</v>
      </c>
      <c r="L7" s="5">
        <v>3266091.4257819825</v>
      </c>
      <c r="M7" s="5">
        <v>3128889.8784814049</v>
      </c>
      <c r="N7" s="5">
        <v>2924315.8214480272</v>
      </c>
      <c r="O7">
        <v>2981638.2111785887</v>
      </c>
      <c r="P7">
        <v>2604176.450062973</v>
      </c>
      <c r="Q7">
        <v>3138176.1588732069</v>
      </c>
      <c r="R7">
        <v>3460142.3018017448</v>
      </c>
      <c r="S7">
        <v>3583804.0662375581</v>
      </c>
      <c r="T7">
        <v>4119842.7868483188</v>
      </c>
      <c r="U7">
        <v>3892986.6036613844</v>
      </c>
      <c r="V7">
        <v>3925129.8796084207</v>
      </c>
      <c r="W7">
        <v>3819263.511459765</v>
      </c>
      <c r="X7">
        <v>3716294.8485536529</v>
      </c>
      <c r="Y7">
        <v>3763738.3598224968</v>
      </c>
      <c r="Z7">
        <v>4316190.3780521927</v>
      </c>
      <c r="AA7">
        <v>3438900.2288577822</v>
      </c>
      <c r="AB7">
        <v>2738124.6542187058</v>
      </c>
      <c r="AC7">
        <v>3127622.0950375367</v>
      </c>
      <c r="AD7">
        <v>2245552.3786942172</v>
      </c>
      <c r="AE7">
        <v>2568818.9163684091</v>
      </c>
      <c r="AF7">
        <v>3649043.6963939094</v>
      </c>
    </row>
    <row r="8" spans="1:32" x14ac:dyDescent="0.3">
      <c r="I8" s="6">
        <f>SUM(I2:I7)</f>
        <v>5605980.9414446428</v>
      </c>
    </row>
    <row r="9" spans="1:32" x14ac:dyDescent="0.3">
      <c r="I9" s="7">
        <v>6729882082</v>
      </c>
      <c r="J9" s="8">
        <f>I9/907.1847</f>
        <v>7418425.4672725406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79E3-8453-4D57-A4FD-74B628B95A8A}">
  <dimension ref="B3:L6"/>
  <sheetViews>
    <sheetView workbookViewId="0">
      <selection activeCell="E28" sqref="E28"/>
    </sheetView>
  </sheetViews>
  <sheetFormatPr defaultRowHeight="14.4" x14ac:dyDescent="0.3"/>
  <cols>
    <col min="2" max="2" width="50.109375" bestFit="1" customWidth="1"/>
  </cols>
  <sheetData>
    <row r="3" spans="2:12" x14ac:dyDescent="0.3">
      <c r="C3" s="1">
        <v>45658</v>
      </c>
      <c r="D3" s="1">
        <v>45689</v>
      </c>
      <c r="E3" s="1">
        <v>45717</v>
      </c>
      <c r="F3" s="1">
        <v>45748</v>
      </c>
      <c r="G3" s="1">
        <v>45778</v>
      </c>
      <c r="H3" s="1">
        <v>45809</v>
      </c>
      <c r="I3" s="1">
        <v>45839</v>
      </c>
      <c r="J3" s="1">
        <v>45870</v>
      </c>
      <c r="K3" s="1">
        <v>45901</v>
      </c>
      <c r="L3" s="1">
        <v>45931</v>
      </c>
    </row>
    <row r="4" spans="2:12" x14ac:dyDescent="0.3">
      <c r="B4" t="s">
        <v>7</v>
      </c>
      <c r="C4">
        <v>4667</v>
      </c>
      <c r="D4">
        <v>5368</v>
      </c>
      <c r="E4">
        <v>6197</v>
      </c>
      <c r="F4">
        <v>5253</v>
      </c>
      <c r="G4">
        <v>5685</v>
      </c>
      <c r="H4">
        <v>5868</v>
      </c>
      <c r="I4">
        <v>6230</v>
      </c>
      <c r="J4">
        <v>5979</v>
      </c>
      <c r="K4">
        <v>5766</v>
      </c>
      <c r="L4">
        <v>5796</v>
      </c>
    </row>
    <row r="5" spans="2:12" x14ac:dyDescent="0.3">
      <c r="B5" t="s">
        <v>8</v>
      </c>
      <c r="C5">
        <v>199</v>
      </c>
      <c r="D5">
        <v>160</v>
      </c>
      <c r="E5">
        <v>245</v>
      </c>
      <c r="F5">
        <v>144</v>
      </c>
      <c r="G5">
        <v>134</v>
      </c>
      <c r="H5">
        <v>155</v>
      </c>
      <c r="I5">
        <v>176</v>
      </c>
      <c r="J5">
        <v>156</v>
      </c>
      <c r="K5">
        <v>169</v>
      </c>
      <c r="L5">
        <v>79</v>
      </c>
    </row>
    <row r="6" spans="2:12" x14ac:dyDescent="0.3">
      <c r="C6">
        <v>4.2639811442039856E-2</v>
      </c>
      <c r="D6">
        <v>2.9806259314456036E-2</v>
      </c>
      <c r="E6">
        <v>3.9535258996288528E-2</v>
      </c>
      <c r="F6">
        <v>2.7412906910336949E-2</v>
      </c>
      <c r="G6">
        <v>2.3570800351802989E-2</v>
      </c>
      <c r="H6">
        <v>2.6414451261077027E-2</v>
      </c>
      <c r="I6">
        <v>2.8250401284109151E-2</v>
      </c>
      <c r="J6">
        <v>2.6091319618665329E-2</v>
      </c>
      <c r="K6">
        <v>2.9309746791536594E-2</v>
      </c>
      <c r="L6">
        <v>1.3630089717046238E-2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C1764D-C64D-449E-8B0F-E4762F4D791C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3e47b61d-772c-48ed-b878-4f8e7da8bd06"/>
    <ds:schemaRef ds:uri="http://purl.org/dc/dcmitype/"/>
    <ds:schemaRef ds:uri="ce64293c-1e68-4891-91bb-3c1068e772f8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34E827-BF4B-4F4B-A12D-DE909E3AA4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5EC107-9D3B-4FBF-89A8-E6BE5B1AA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7b61d-772c-48ed-b878-4f8e7da8bd06"/>
    <ds:schemaRef ds:uri="ce64293c-1e68-4891-91bb-3c1068e77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China Fig 1</vt:lpstr>
      <vt:lpstr>China Fig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DiJoseph, Patricia (OST)</dc:creator>
  <cp:keywords/>
  <dc:description/>
  <cp:lastModifiedBy>Ismail, Ahmed</cp:lastModifiedBy>
  <cp:revision/>
  <dcterms:created xsi:type="dcterms:W3CDTF">2025-11-14T14:39:00Z</dcterms:created>
  <dcterms:modified xsi:type="dcterms:W3CDTF">2025-12-02T17:26:16Z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