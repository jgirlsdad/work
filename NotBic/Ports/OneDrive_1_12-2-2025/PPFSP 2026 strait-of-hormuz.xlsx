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wsponlinenam.sharepoint.com/sites/US-PPFSR2026/Shared Documents/2026 Update Working Documents/2026 Figures and Tables from Patty/"/>
    </mc:Choice>
  </mc:AlternateContent>
  <xr:revisionPtr revIDLastSave="249" documentId="8_{CA305EFA-0C13-4B02-B54E-9E9BA8513DDD}" xr6:coauthVersionLast="47" xr6:coauthVersionMax="47" xr10:uidLastSave="{D56EDB2F-7DEA-4F15-98B5-0AF6D96A1E49}"/>
  <bookViews>
    <workbookView xWindow="-108" yWindow="-108" windowWidth="23256" windowHeight="12456" firstSheet="1" activeTab="2" xr2:uid="{D51F65B8-D5BC-4411-A81A-4FDEF94E0A08}"/>
  </bookViews>
  <sheets>
    <sheet name="F2" sheetId="2" r:id="rId1"/>
    <sheet name="F3" sheetId="1" r:id="rId2"/>
    <sheet name="F4" sheetId="4" r:id="rId3"/>
    <sheet name="SaudiPort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4" l="1"/>
  <c r="K6" i="4" s="1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K5" i="4" s="1"/>
  <c r="E25" i="4"/>
  <c r="E24" i="4"/>
  <c r="E23" i="4"/>
  <c r="E22" i="4"/>
  <c r="E21" i="4"/>
  <c r="E20" i="4"/>
  <c r="E19" i="4"/>
  <c r="E18" i="4"/>
  <c r="E17" i="4"/>
  <c r="E16" i="4"/>
  <c r="K4" i="4" s="1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K3" i="4" s="1"/>
  <c r="H6" i="3"/>
  <c r="I5" i="3" s="1"/>
  <c r="H5" i="3"/>
  <c r="I2" i="3"/>
  <c r="H3" i="3"/>
  <c r="I3" i="3" s="1"/>
  <c r="H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2" i="3"/>
  <c r="L5" i="4" l="1"/>
  <c r="M5" i="4" s="1"/>
  <c r="L4" i="4"/>
  <c r="M4" i="4" s="1"/>
  <c r="L3" i="4"/>
  <c r="M3" i="4" s="1"/>
  <c r="I6" i="3"/>
  <c r="W2" i="1" l="1"/>
  <c r="F2" i="2"/>
  <c r="F3" i="2"/>
  <c r="F4" i="2"/>
  <c r="F5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F54" i="2" s="1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F13" i="2" s="1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V8" i="1"/>
  <c r="V6" i="1"/>
  <c r="V4" i="1"/>
  <c r="V2" i="1"/>
  <c r="T8" i="1"/>
  <c r="T6" i="1"/>
  <c r="T4" i="1"/>
  <c r="T2" i="1"/>
  <c r="W4" i="1" l="1"/>
  <c r="U4" i="1"/>
  <c r="U2" i="1"/>
  <c r="F10" i="2"/>
  <c r="F11" i="2"/>
  <c r="F50" i="2"/>
  <c r="F9" i="2"/>
  <c r="F8" i="2"/>
  <c r="F52" i="2"/>
  <c r="F7" i="2"/>
  <c r="F6" i="2"/>
  <c r="F17" i="2"/>
  <c r="F12" i="2"/>
  <c r="F14" i="2"/>
  <c r="F15" i="2"/>
  <c r="F16" i="2"/>
  <c r="F43" i="2"/>
  <c r="F25" i="2"/>
  <c r="F34" i="2"/>
  <c r="F23" i="2"/>
  <c r="F36" i="2"/>
  <c r="F37" i="2"/>
  <c r="F60" i="2"/>
  <c r="F59" i="2"/>
  <c r="F22" i="2"/>
  <c r="F29" i="2"/>
  <c r="F42" i="2"/>
  <c r="F38" i="2"/>
  <c r="F26" i="2"/>
  <c r="F40" i="2"/>
  <c r="F41" i="2"/>
  <c r="F57" i="2"/>
  <c r="F58" i="2"/>
  <c r="F19" i="2"/>
  <c r="F18" i="2"/>
  <c r="F24" i="2"/>
  <c r="F35" i="2"/>
  <c r="F45" i="2"/>
  <c r="F53" i="2"/>
  <c r="F32" i="2"/>
  <c r="F46" i="2"/>
  <c r="F55" i="2"/>
  <c r="F61" i="2"/>
  <c r="U8" i="1"/>
  <c r="U9" i="1" s="1"/>
  <c r="F20" i="2"/>
  <c r="F30" i="2"/>
  <c r="F39" i="2"/>
  <c r="F47" i="2"/>
  <c r="F27" i="2"/>
  <c r="F33" i="2"/>
  <c r="F49" i="2"/>
  <c r="F21" i="2"/>
  <c r="F31" i="2"/>
  <c r="F44" i="2"/>
  <c r="F48" i="2"/>
  <c r="F51" i="2"/>
  <c r="F62" i="2"/>
  <c r="F28" i="2"/>
  <c r="W6" i="1"/>
  <c r="F56" i="2"/>
  <c r="H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2" i="1"/>
  <c r="F3" i="1"/>
  <c r="H3" i="1" s="1"/>
  <c r="F4" i="1"/>
  <c r="F5" i="1"/>
  <c r="H5" i="1" s="1"/>
  <c r="F6" i="1"/>
  <c r="H6" i="1" s="1"/>
  <c r="F7" i="1"/>
  <c r="H7" i="1" s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H30" i="1" s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2" i="1"/>
  <c r="M5" i="2" l="1"/>
  <c r="M2" i="2"/>
  <c r="N2" i="2" s="1"/>
  <c r="O2" i="2" s="1"/>
  <c r="M3" i="2"/>
  <c r="N3" i="2" s="1"/>
  <c r="O3" i="2" s="1"/>
  <c r="M4" i="2"/>
  <c r="N4" i="2" s="1"/>
  <c r="O4" i="2" s="1"/>
  <c r="H38" i="1"/>
  <c r="H10" i="1"/>
  <c r="H40" i="1"/>
  <c r="H12" i="1"/>
  <c r="H29" i="1"/>
  <c r="H39" i="1"/>
  <c r="H11" i="1"/>
  <c r="H37" i="1"/>
  <c r="H9" i="1"/>
  <c r="H23" i="1"/>
  <c r="H46" i="1"/>
  <c r="H33" i="1"/>
  <c r="H18" i="1"/>
  <c r="H43" i="1"/>
  <c r="H15" i="1"/>
  <c r="H32" i="1"/>
  <c r="H4" i="1"/>
  <c r="H35" i="1"/>
  <c r="H34" i="1"/>
  <c r="H42" i="1"/>
  <c r="H14" i="1"/>
  <c r="H31" i="1"/>
  <c r="H41" i="1"/>
  <c r="H13" i="1"/>
  <c r="H17" i="1"/>
  <c r="H26" i="1"/>
  <c r="H44" i="1"/>
  <c r="H16" i="1"/>
  <c r="H8" i="1"/>
  <c r="H36" i="1"/>
  <c r="H21" i="1"/>
  <c r="H20" i="1"/>
  <c r="H28" i="1"/>
  <c r="H27" i="1"/>
  <c r="H45" i="1"/>
  <c r="H25" i="1"/>
  <c r="H24" i="1"/>
  <c r="H22" i="1"/>
  <c r="H2" i="1"/>
  <c r="H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tc={C2DD1549-76E6-4748-BB64-BBDA859233FF}</author>
  </authors>
  <commentList>
    <comment ref="G1" authorId="0" shapeId="0" xr:uid="{C2DD1549-76E6-4748-BB64-BBDA859233FF}">
      <text>
        <t>[Threaded comment]
Your version of Excel allows you to read this threaded comment; however, any edits to it will get removed if the file is opened in a newer version of Excel. Learn more: https://go.microsoft.com/fwlink/?linkid=870924
Comment:
    Sorted by tonnage, smallest to largest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tc={74421FF8-D132-4536-8878-AF52DC655DF1}</author>
  </authors>
  <commentList>
    <comment ref="G2" authorId="0" shapeId="0" xr:uid="{74421FF8-D132-4536-8878-AF52DC655DF1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Considering just tankers</t>
      </text>
    </comment>
  </commentList>
</comments>
</file>

<file path=xl/sharedStrings.xml><?xml version="1.0" encoding="utf-8"?>
<sst xmlns="http://schemas.openxmlformats.org/spreadsheetml/2006/main" count="83" uniqueCount="50">
  <si>
    <t>DateTime</t>
  </si>
  <si>
    <t>Daily Transit Trade Volume (metric tons)</t>
  </si>
  <si>
    <t>Daily transit trade volume (short tons)</t>
  </si>
  <si>
    <t>Date</t>
  </si>
  <si>
    <t>Monthly transit trade volume (short tons)</t>
  </si>
  <si>
    <t>Jan - Sept 2022</t>
  </si>
  <si>
    <t>Jan - Sept 2023</t>
  </si>
  <si>
    <t>Jan - Sept 2024</t>
  </si>
  <si>
    <t>Jan - Sept 2025</t>
  </si>
  <si>
    <t>Number of Cargo Ships</t>
  </si>
  <si>
    <t>Number of Tanker Ships</t>
  </si>
  <si>
    <t>Tankers</t>
  </si>
  <si>
    <t>Cargo ships</t>
  </si>
  <si>
    <t>Total</t>
  </si>
  <si>
    <t>Cargo</t>
  </si>
  <si>
    <t>Month</t>
  </si>
  <si>
    <t>SWT (kg) from Persian Gulf Ports</t>
  </si>
  <si>
    <t>Tonnage (short tons)</t>
  </si>
  <si>
    <t>Raw data is in the file "monthly import tonnage from Gulf Port countries…xlsx".  The data comes from USA Trade Online</t>
  </si>
  <si>
    <t>Year</t>
  </si>
  <si>
    <t>Total Tonnage (Jan - June)</t>
  </si>
  <si>
    <t>% Different than 2025</t>
  </si>
  <si>
    <t>1 - % Different</t>
  </si>
  <si>
    <t>Saudi Arabia data takes into account the Persian Gulf vs Red Sea ports tonnage</t>
  </si>
  <si>
    <t>Port</t>
  </si>
  <si>
    <t>Location</t>
  </si>
  <si>
    <t>Annual Vessel Composition - Percent Tanker</t>
  </si>
  <si>
    <t>Export Tonnage - 1y as of 10/28/25</t>
  </si>
  <si>
    <t>Estimated Tanker Export Tonnage</t>
  </si>
  <si>
    <t>This table was used to find the percentage of tonnage from Red Sea Ports vs Persian Gulf Ports for Saudi Arabia.</t>
  </si>
  <si>
    <t>Jeddah</t>
  </si>
  <si>
    <t>Red Sea</t>
  </si>
  <si>
    <t>Persian Gulf</t>
  </si>
  <si>
    <t>The data source is IMF PortWatch.</t>
  </si>
  <si>
    <t>Dammam</t>
  </si>
  <si>
    <t>King Fahd Port</t>
  </si>
  <si>
    <t>Jubail</t>
  </si>
  <si>
    <t>Shoaiba</t>
  </si>
  <si>
    <t>Rabigh</t>
  </si>
  <si>
    <t>Ras Tanura</t>
  </si>
  <si>
    <t>Kig Abdullah Port</t>
  </si>
  <si>
    <t>Juaymah</t>
  </si>
  <si>
    <t>Yanbu</t>
  </si>
  <si>
    <t>Shuqaiq</t>
  </si>
  <si>
    <t>Duba Bulk Plant Tanker Terminal</t>
  </si>
  <si>
    <t>Ras Al-Khair</t>
  </si>
  <si>
    <t>Duba (Port of Neom)</t>
  </si>
  <si>
    <t>Jazan</t>
  </si>
  <si>
    <t>Ras Al Mishab</t>
  </si>
  <si>
    <t>Ras Al Khafji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</si>
</sst>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6" formatCode="[$-409]mmm\-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9" fontId="0" fillId="0" borderId="0" xfId="43" applyFont="1"/>
    <xf numFmtId="164" fontId="0" fillId="0" borderId="0" xfId="42" applyNumberFormat="1" applyFont="1"/>
    <xf numFmtId="1" fontId="0" fillId="0" borderId="0" xfId="0" applyNumberFormat="1"/>
    <xf numFmtId="166" fontId="0" fillId="0" borderId="0" xfId="0" applyNumberForma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'F2'!$E$18:$E$62</c:f>
              <c:numCache>
                <c:formatCode>[$-409]mmm\-yy;@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'F2'!$F$18:$F$62</c:f>
              <c:numCache>
                <c:formatCode>General</c:formatCode>
                <c:ptCount val="45"/>
                <c:pt idx="0">
                  <c:v>127971081.22735885</c:v>
                </c:pt>
                <c:pt idx="1">
                  <c:v>123882527.83925696</c:v>
                </c:pt>
                <c:pt idx="2">
                  <c:v>139156557.43843257</c:v>
                </c:pt>
                <c:pt idx="3">
                  <c:v>142442876.9290989</c:v>
                </c:pt>
                <c:pt idx="4">
                  <c:v>134372459.8828944</c:v>
                </c:pt>
                <c:pt idx="5">
                  <c:v>136463107.45798242</c:v>
                </c:pt>
                <c:pt idx="6">
                  <c:v>141226251.33961058</c:v>
                </c:pt>
                <c:pt idx="7">
                  <c:v>146970001.37257901</c:v>
                </c:pt>
                <c:pt idx="8">
                  <c:v>138214270.33084586</c:v>
                </c:pt>
                <c:pt idx="9">
                  <c:v>141383735.94056559</c:v>
                </c:pt>
                <c:pt idx="10">
                  <c:v>130937490.1045415</c:v>
                </c:pt>
                <c:pt idx="11">
                  <c:v>125294374.13359369</c:v>
                </c:pt>
                <c:pt idx="12">
                  <c:v>122984414.18811135</c:v>
                </c:pt>
                <c:pt idx="13">
                  <c:v>120295245.70720832</c:v>
                </c:pt>
                <c:pt idx="14">
                  <c:v>131607119.88902541</c:v>
                </c:pt>
                <c:pt idx="15">
                  <c:v>135273319.13651857</c:v>
                </c:pt>
                <c:pt idx="16">
                  <c:v>143378478.32574198</c:v>
                </c:pt>
                <c:pt idx="17">
                  <c:v>143362233.0988372</c:v>
                </c:pt>
                <c:pt idx="18">
                  <c:v>142799261.17868203</c:v>
                </c:pt>
                <c:pt idx="19">
                  <c:v>139658214.40907189</c:v>
                </c:pt>
                <c:pt idx="20">
                  <c:v>134640400.60002834</c:v>
                </c:pt>
                <c:pt idx="21">
                  <c:v>135342064.58321753</c:v>
                </c:pt>
                <c:pt idx="22">
                  <c:v>113164501.65518105</c:v>
                </c:pt>
                <c:pt idx="23">
                  <c:v>117469098.75113715</c:v>
                </c:pt>
                <c:pt idx="24">
                  <c:v>115541839.31468803</c:v>
                </c:pt>
                <c:pt idx="25">
                  <c:v>109890679.51351714</c:v>
                </c:pt>
                <c:pt idx="26">
                  <c:v>139763243.52598414</c:v>
                </c:pt>
                <c:pt idx="27">
                  <c:v>133921257.77226658</c:v>
                </c:pt>
                <c:pt idx="28">
                  <c:v>141001416.09163544</c:v>
                </c:pt>
                <c:pt idx="29">
                  <c:v>132604694.8327942</c:v>
                </c:pt>
                <c:pt idx="30">
                  <c:v>136293767.43705502</c:v>
                </c:pt>
                <c:pt idx="31">
                  <c:v>132928209.85909982</c:v>
                </c:pt>
                <c:pt idx="32">
                  <c:v>134543172.37248993</c:v>
                </c:pt>
                <c:pt idx="33">
                  <c:v>121988864.76695865</c:v>
                </c:pt>
                <c:pt idx="34">
                  <c:v>118033741.72323303</c:v>
                </c:pt>
                <c:pt idx="35">
                  <c:v>106752490.11150773</c:v>
                </c:pt>
                <c:pt idx="36">
                  <c:v>105499141.49247901</c:v>
                </c:pt>
                <c:pt idx="37">
                  <c:v>93372371.278117463</c:v>
                </c:pt>
                <c:pt idx="38">
                  <c:v>127460342.57428432</c:v>
                </c:pt>
                <c:pt idx="39">
                  <c:v>130101654.30037066</c:v>
                </c:pt>
                <c:pt idx="40">
                  <c:v>128345948.9893536</c:v>
                </c:pt>
                <c:pt idx="41">
                  <c:v>126814219.2610908</c:v>
                </c:pt>
                <c:pt idx="42">
                  <c:v>123477554.84052905</c:v>
                </c:pt>
                <c:pt idx="43">
                  <c:v>125616110.46070842</c:v>
                </c:pt>
                <c:pt idx="44">
                  <c:v>103061049.28921343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B5-45F2-8990-1C91D424B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822200"/>
        <c:axId val="1434828320"/>
      </c:lineChart>
      <c:dateAx>
        <c:axId val="1434822200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34828320"/>
        <c:crosses val="autoZero"/>
        <c:auto val="1"/>
        <c:lblOffset val="100"/>
        <c:baseTimeUnit val="months"/>
      </c:dateAx>
      <c:valAx>
        <c:axId val="143482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3482220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5000000000000001E-2"/>
                <c:y val="0.26430555555555557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r>
                    <a:rPr lang="en-US"/>
                    <a:t>Millions of short tons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'F2'!$E$18:$E$62</c:f>
              <c:numCache>
                <c:formatCode>[$-409]mmm\-yy;@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'F2'!$F$18:$F$62</c:f>
              <c:numCache>
                <c:formatCode>General</c:formatCode>
                <c:ptCount val="45"/>
                <c:pt idx="0">
                  <c:v>127971081.22735885</c:v>
                </c:pt>
                <c:pt idx="1">
                  <c:v>123882527.83925696</c:v>
                </c:pt>
                <c:pt idx="2">
                  <c:v>139156557.43843257</c:v>
                </c:pt>
                <c:pt idx="3">
                  <c:v>142442876.9290989</c:v>
                </c:pt>
                <c:pt idx="4">
                  <c:v>134372459.8828944</c:v>
                </c:pt>
                <c:pt idx="5">
                  <c:v>136463107.45798242</c:v>
                </c:pt>
                <c:pt idx="6">
                  <c:v>141226251.33961058</c:v>
                </c:pt>
                <c:pt idx="7">
                  <c:v>146970001.37257901</c:v>
                </c:pt>
                <c:pt idx="8">
                  <c:v>138214270.33084586</c:v>
                </c:pt>
                <c:pt idx="9">
                  <c:v>141383735.94056559</c:v>
                </c:pt>
                <c:pt idx="10">
                  <c:v>130937490.1045415</c:v>
                </c:pt>
                <c:pt idx="11">
                  <c:v>125294374.13359369</c:v>
                </c:pt>
                <c:pt idx="12">
                  <c:v>122984414.18811135</c:v>
                </c:pt>
                <c:pt idx="13">
                  <c:v>120295245.70720832</c:v>
                </c:pt>
                <c:pt idx="14">
                  <c:v>131607119.88902541</c:v>
                </c:pt>
                <c:pt idx="15">
                  <c:v>135273319.13651857</c:v>
                </c:pt>
                <c:pt idx="16">
                  <c:v>143378478.32574198</c:v>
                </c:pt>
                <c:pt idx="17">
                  <c:v>143362233.0988372</c:v>
                </c:pt>
                <c:pt idx="18">
                  <c:v>142799261.17868203</c:v>
                </c:pt>
                <c:pt idx="19">
                  <c:v>139658214.40907189</c:v>
                </c:pt>
                <c:pt idx="20">
                  <c:v>134640400.60002834</c:v>
                </c:pt>
                <c:pt idx="21">
                  <c:v>135342064.58321753</c:v>
                </c:pt>
                <c:pt idx="22">
                  <c:v>113164501.65518105</c:v>
                </c:pt>
                <c:pt idx="23">
                  <c:v>117469098.75113715</c:v>
                </c:pt>
                <c:pt idx="24">
                  <c:v>115541839.31468803</c:v>
                </c:pt>
                <c:pt idx="25">
                  <c:v>109890679.51351714</c:v>
                </c:pt>
                <c:pt idx="26">
                  <c:v>139763243.52598414</c:v>
                </c:pt>
                <c:pt idx="27">
                  <c:v>133921257.77226658</c:v>
                </c:pt>
                <c:pt idx="28">
                  <c:v>141001416.09163544</c:v>
                </c:pt>
                <c:pt idx="29">
                  <c:v>132604694.8327942</c:v>
                </c:pt>
                <c:pt idx="30">
                  <c:v>136293767.43705502</c:v>
                </c:pt>
                <c:pt idx="31">
                  <c:v>132928209.85909982</c:v>
                </c:pt>
                <c:pt idx="32">
                  <c:v>134543172.37248993</c:v>
                </c:pt>
                <c:pt idx="33">
                  <c:v>121988864.76695865</c:v>
                </c:pt>
                <c:pt idx="34">
                  <c:v>118033741.72323303</c:v>
                </c:pt>
                <c:pt idx="35">
                  <c:v>106752490.11150773</c:v>
                </c:pt>
                <c:pt idx="36">
                  <c:v>105499141.49247901</c:v>
                </c:pt>
                <c:pt idx="37">
                  <c:v>93372371.278117463</c:v>
                </c:pt>
                <c:pt idx="38">
                  <c:v>127460342.57428432</c:v>
                </c:pt>
                <c:pt idx="39">
                  <c:v>130101654.30037066</c:v>
                </c:pt>
                <c:pt idx="40">
                  <c:v>128345948.9893536</c:v>
                </c:pt>
                <c:pt idx="41">
                  <c:v>126814219.2610908</c:v>
                </c:pt>
                <c:pt idx="42">
                  <c:v>123477554.84052905</c:v>
                </c:pt>
                <c:pt idx="43">
                  <c:v>125616110.46070842</c:v>
                </c:pt>
                <c:pt idx="44">
                  <c:v>103061049.28921343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9A-4AF3-A20C-44A5F3FCC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822200"/>
        <c:axId val="1434828320"/>
      </c:lineChart>
      <c:dateAx>
        <c:axId val="1434822200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34828320"/>
        <c:crosses val="autoZero"/>
        <c:auto val="1"/>
        <c:lblOffset val="100"/>
        <c:baseTimeUnit val="months"/>
      </c:dateAx>
      <c:valAx>
        <c:axId val="143482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434822200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2.5000000000000001E-2"/>
                <c:y val="0.26430555555555557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alibri" panose="020F0502020204030204" pitchFamily="34" charset="0"/>
                      <a:ea typeface="Calibri" panose="020F0502020204030204" pitchFamily="34" charset="0"/>
                      <a:cs typeface="Calibri" panose="020F0502020204030204" pitchFamily="34" charset="0"/>
                    </a:defRPr>
                  </a:pPr>
                  <a:r>
                    <a:rPr lang="en-US"/>
                    <a:t>Millions of short tons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'F2'!$E$18:$E$62</c:f>
              <c:numCache>
                <c:formatCode>[$-409]mmm\-yy;@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'F2'!$F$18:$F$62</c:f>
              <c:numCache>
                <c:formatCode>General</c:formatCode>
                <c:ptCount val="45"/>
                <c:pt idx="0">
                  <c:v>127971081.22735885</c:v>
                </c:pt>
                <c:pt idx="1">
                  <c:v>123882527.83925696</c:v>
                </c:pt>
                <c:pt idx="2">
                  <c:v>139156557.43843257</c:v>
                </c:pt>
                <c:pt idx="3">
                  <c:v>142442876.9290989</c:v>
                </c:pt>
                <c:pt idx="4">
                  <c:v>134372459.8828944</c:v>
                </c:pt>
                <c:pt idx="5">
                  <c:v>136463107.45798242</c:v>
                </c:pt>
                <c:pt idx="6">
                  <c:v>141226251.33961058</c:v>
                </c:pt>
                <c:pt idx="7">
                  <c:v>146970001.37257901</c:v>
                </c:pt>
                <c:pt idx="8">
                  <c:v>138214270.33084586</c:v>
                </c:pt>
                <c:pt idx="9">
                  <c:v>141383735.94056559</c:v>
                </c:pt>
                <c:pt idx="10">
                  <c:v>130937490.1045415</c:v>
                </c:pt>
                <c:pt idx="11">
                  <c:v>125294374.13359369</c:v>
                </c:pt>
                <c:pt idx="12">
                  <c:v>122984414.18811135</c:v>
                </c:pt>
                <c:pt idx="13">
                  <c:v>120295245.70720832</c:v>
                </c:pt>
                <c:pt idx="14">
                  <c:v>131607119.88902541</c:v>
                </c:pt>
                <c:pt idx="15">
                  <c:v>135273319.13651857</c:v>
                </c:pt>
                <c:pt idx="16">
                  <c:v>143378478.32574198</c:v>
                </c:pt>
                <c:pt idx="17">
                  <c:v>143362233.0988372</c:v>
                </c:pt>
                <c:pt idx="18">
                  <c:v>142799261.17868203</c:v>
                </c:pt>
                <c:pt idx="19">
                  <c:v>139658214.40907189</c:v>
                </c:pt>
                <c:pt idx="20">
                  <c:v>134640400.60002834</c:v>
                </c:pt>
                <c:pt idx="21">
                  <c:v>135342064.58321753</c:v>
                </c:pt>
                <c:pt idx="22">
                  <c:v>113164501.65518105</c:v>
                </c:pt>
                <c:pt idx="23">
                  <c:v>117469098.75113715</c:v>
                </c:pt>
                <c:pt idx="24">
                  <c:v>115541839.31468803</c:v>
                </c:pt>
                <c:pt idx="25">
                  <c:v>109890679.51351714</c:v>
                </c:pt>
                <c:pt idx="26">
                  <c:v>139763243.52598414</c:v>
                </c:pt>
                <c:pt idx="27">
                  <c:v>133921257.77226658</c:v>
                </c:pt>
                <c:pt idx="28">
                  <c:v>141001416.09163544</c:v>
                </c:pt>
                <c:pt idx="29">
                  <c:v>132604694.8327942</c:v>
                </c:pt>
                <c:pt idx="30">
                  <c:v>136293767.43705502</c:v>
                </c:pt>
                <c:pt idx="31">
                  <c:v>132928209.85909982</c:v>
                </c:pt>
                <c:pt idx="32">
                  <c:v>134543172.37248993</c:v>
                </c:pt>
                <c:pt idx="33">
                  <c:v>121988864.76695865</c:v>
                </c:pt>
                <c:pt idx="34">
                  <c:v>118033741.72323303</c:v>
                </c:pt>
                <c:pt idx="35">
                  <c:v>106752490.11150773</c:v>
                </c:pt>
                <c:pt idx="36">
                  <c:v>105499141.49247901</c:v>
                </c:pt>
                <c:pt idx="37">
                  <c:v>93372371.278117463</c:v>
                </c:pt>
                <c:pt idx="38">
                  <c:v>127460342.57428432</c:v>
                </c:pt>
                <c:pt idx="39">
                  <c:v>130101654.30037066</c:v>
                </c:pt>
                <c:pt idx="40">
                  <c:v>128345948.9893536</c:v>
                </c:pt>
                <c:pt idx="41">
                  <c:v>126814219.2610908</c:v>
                </c:pt>
                <c:pt idx="42">
                  <c:v>123477554.84052905</c:v>
                </c:pt>
                <c:pt idx="43">
                  <c:v>125616110.46070842</c:v>
                </c:pt>
                <c:pt idx="44">
                  <c:v>103061049.28921343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D3-4990-B36D-4AD9D89CB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3628176"/>
        <c:axId val="1093631416"/>
      </c:lineChart>
      <c:dateAx>
        <c:axId val="1093628176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31416"/>
        <c:crosses val="autoZero"/>
        <c:auto val="1"/>
        <c:lblOffset val="100"/>
        <c:baseTimeUnit val="months"/>
      </c:dateAx>
      <c:valAx>
        <c:axId val="1093631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(millions)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628176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53707064779814"/>
          <c:y val="4.028196800913942E-2"/>
          <c:w val="0.83708838821490472"/>
          <c:h val="0.78960846330779833"/>
        </c:manualLayout>
      </c:layout>
      <c:lineChart>
        <c:grouping val="standard"/>
        <c:varyColors val="0"/>
        <c:ser>
          <c:idx val="0"/>
          <c:order val="0"/>
          <c:tx>
            <c:strRef>
              <c:f>'F3'!$F$1</c:f>
              <c:strCache>
                <c:ptCount val="1"/>
                <c:pt idx="0">
                  <c:v>Tankers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'F3'!$E$2:$E$46</c:f>
              <c:numCache>
                <c:formatCode>[$-409]mmm\-yy;@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'F3'!$F$2:$F$46</c:f>
              <c:numCache>
                <c:formatCode>General</c:formatCode>
                <c:ptCount val="45"/>
                <c:pt idx="0">
                  <c:v>1715</c:v>
                </c:pt>
                <c:pt idx="1">
                  <c:v>1723</c:v>
                </c:pt>
                <c:pt idx="2">
                  <c:v>1891</c:v>
                </c:pt>
                <c:pt idx="3">
                  <c:v>1950</c:v>
                </c:pt>
                <c:pt idx="4">
                  <c:v>1943</c:v>
                </c:pt>
                <c:pt idx="5">
                  <c:v>1943</c:v>
                </c:pt>
                <c:pt idx="6">
                  <c:v>1964</c:v>
                </c:pt>
                <c:pt idx="7">
                  <c:v>2000</c:v>
                </c:pt>
                <c:pt idx="8">
                  <c:v>1907</c:v>
                </c:pt>
                <c:pt idx="9">
                  <c:v>1972</c:v>
                </c:pt>
                <c:pt idx="10">
                  <c:v>1754</c:v>
                </c:pt>
                <c:pt idx="11">
                  <c:v>1708</c:v>
                </c:pt>
                <c:pt idx="12">
                  <c:v>1626</c:v>
                </c:pt>
                <c:pt idx="13">
                  <c:v>1637</c:v>
                </c:pt>
                <c:pt idx="14">
                  <c:v>1787</c:v>
                </c:pt>
                <c:pt idx="15">
                  <c:v>1840</c:v>
                </c:pt>
                <c:pt idx="16">
                  <c:v>2030</c:v>
                </c:pt>
                <c:pt idx="17">
                  <c:v>1909</c:v>
                </c:pt>
                <c:pt idx="18">
                  <c:v>2001</c:v>
                </c:pt>
                <c:pt idx="19">
                  <c:v>2022</c:v>
                </c:pt>
                <c:pt idx="20">
                  <c:v>1967</c:v>
                </c:pt>
                <c:pt idx="21">
                  <c:v>1918</c:v>
                </c:pt>
                <c:pt idx="22">
                  <c:v>1637</c:v>
                </c:pt>
                <c:pt idx="23">
                  <c:v>1614</c:v>
                </c:pt>
                <c:pt idx="24">
                  <c:v>1627</c:v>
                </c:pt>
                <c:pt idx="25">
                  <c:v>1489</c:v>
                </c:pt>
                <c:pt idx="26">
                  <c:v>1883</c:v>
                </c:pt>
                <c:pt idx="27">
                  <c:v>1904</c:v>
                </c:pt>
                <c:pt idx="28">
                  <c:v>2001</c:v>
                </c:pt>
                <c:pt idx="29">
                  <c:v>1882</c:v>
                </c:pt>
                <c:pt idx="30">
                  <c:v>1982</c:v>
                </c:pt>
                <c:pt idx="31">
                  <c:v>1873</c:v>
                </c:pt>
                <c:pt idx="32">
                  <c:v>1903</c:v>
                </c:pt>
                <c:pt idx="33">
                  <c:v>1755</c:v>
                </c:pt>
                <c:pt idx="34">
                  <c:v>1615</c:v>
                </c:pt>
                <c:pt idx="35">
                  <c:v>1511</c:v>
                </c:pt>
                <c:pt idx="36">
                  <c:v>1537</c:v>
                </c:pt>
                <c:pt idx="37">
                  <c:v>1364</c:v>
                </c:pt>
                <c:pt idx="38">
                  <c:v>1766</c:v>
                </c:pt>
                <c:pt idx="39">
                  <c:v>1813</c:v>
                </c:pt>
                <c:pt idx="40">
                  <c:v>1834</c:v>
                </c:pt>
                <c:pt idx="41">
                  <c:v>1740</c:v>
                </c:pt>
                <c:pt idx="42">
                  <c:v>1661</c:v>
                </c:pt>
                <c:pt idx="43">
                  <c:v>1657</c:v>
                </c:pt>
                <c:pt idx="44">
                  <c:v>1451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2-4BF3-A1F8-DEF800A0603E}"/>
            </c:ext>
          </c:extLst>
        </c:ser>
        <c:ser>
          <c:idx val="1"/>
          <c:order val="1"/>
          <c:tx>
            <c:strRef>
              <c:f>'F3'!$G$1</c:f>
              <c:strCache>
                <c:ptCount val="1"/>
                <c:pt idx="0">
                  <c:v>Cargo ships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'F3'!$E$2:$E$46</c:f>
              <c:numCache>
                <c:formatCode>[$-409]mmm\-yy;@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'F3'!$G$2:$G$46</c:f>
              <c:numCache>
                <c:formatCode>General</c:formatCode>
                <c:ptCount val="45"/>
                <c:pt idx="0">
                  <c:v>953</c:v>
                </c:pt>
                <c:pt idx="1">
                  <c:v>1029</c:v>
                </c:pt>
                <c:pt idx="2">
                  <c:v>1124</c:v>
                </c:pt>
                <c:pt idx="3">
                  <c:v>1152</c:v>
                </c:pt>
                <c:pt idx="4">
                  <c:v>1140</c:v>
                </c:pt>
                <c:pt idx="5">
                  <c:v>1145</c:v>
                </c:pt>
                <c:pt idx="6">
                  <c:v>1060</c:v>
                </c:pt>
                <c:pt idx="7">
                  <c:v>1264</c:v>
                </c:pt>
                <c:pt idx="8">
                  <c:v>1176</c:v>
                </c:pt>
                <c:pt idx="9">
                  <c:v>1206</c:v>
                </c:pt>
                <c:pt idx="10">
                  <c:v>1102</c:v>
                </c:pt>
                <c:pt idx="11">
                  <c:v>1047</c:v>
                </c:pt>
                <c:pt idx="12">
                  <c:v>1024</c:v>
                </c:pt>
                <c:pt idx="13">
                  <c:v>1047</c:v>
                </c:pt>
                <c:pt idx="14">
                  <c:v>1146</c:v>
                </c:pt>
                <c:pt idx="15">
                  <c:v>1197</c:v>
                </c:pt>
                <c:pt idx="16">
                  <c:v>1288</c:v>
                </c:pt>
                <c:pt idx="17">
                  <c:v>1272</c:v>
                </c:pt>
                <c:pt idx="18">
                  <c:v>1222</c:v>
                </c:pt>
                <c:pt idx="19">
                  <c:v>1328</c:v>
                </c:pt>
                <c:pt idx="20">
                  <c:v>1269</c:v>
                </c:pt>
                <c:pt idx="21">
                  <c:v>1250</c:v>
                </c:pt>
                <c:pt idx="22">
                  <c:v>1008</c:v>
                </c:pt>
                <c:pt idx="23">
                  <c:v>1028</c:v>
                </c:pt>
                <c:pt idx="24">
                  <c:v>1006</c:v>
                </c:pt>
                <c:pt idx="25">
                  <c:v>1003</c:v>
                </c:pt>
                <c:pt idx="26">
                  <c:v>1262</c:v>
                </c:pt>
                <c:pt idx="27">
                  <c:v>1261</c:v>
                </c:pt>
                <c:pt idx="28">
                  <c:v>1350</c:v>
                </c:pt>
                <c:pt idx="29">
                  <c:v>1299</c:v>
                </c:pt>
                <c:pt idx="30">
                  <c:v>1321</c:v>
                </c:pt>
                <c:pt idx="31">
                  <c:v>1238</c:v>
                </c:pt>
                <c:pt idx="32">
                  <c:v>1359</c:v>
                </c:pt>
                <c:pt idx="33">
                  <c:v>1329</c:v>
                </c:pt>
                <c:pt idx="34">
                  <c:v>1218</c:v>
                </c:pt>
                <c:pt idx="35">
                  <c:v>1101</c:v>
                </c:pt>
                <c:pt idx="36">
                  <c:v>1108</c:v>
                </c:pt>
                <c:pt idx="37">
                  <c:v>1005</c:v>
                </c:pt>
                <c:pt idx="38">
                  <c:v>1245</c:v>
                </c:pt>
                <c:pt idx="39">
                  <c:v>1412</c:v>
                </c:pt>
                <c:pt idx="40">
                  <c:v>1380</c:v>
                </c:pt>
                <c:pt idx="41">
                  <c:v>1376</c:v>
                </c:pt>
                <c:pt idx="42">
                  <c:v>1283</c:v>
                </c:pt>
                <c:pt idx="43">
                  <c:v>1310</c:v>
                </c:pt>
                <c:pt idx="44">
                  <c:v>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D2-4BF3-A1F8-DEF800A06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045936"/>
        <c:axId val="1093435920"/>
      </c:lineChart>
      <c:dateAx>
        <c:axId val="1003045936"/>
        <c:scaling>
          <c:orientation val="minMax"/>
        </c:scaling>
        <c:delete val="0"/>
        <c:axPos val="b"/>
        <c:numFmt formatCode="mm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3435920"/>
        <c:crosses val="autoZero"/>
        <c:auto val="1"/>
        <c:lblOffset val="100"/>
        <c:baseTimeUnit val="months"/>
      </c:dateAx>
      <c:valAx>
        <c:axId val="109343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transits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4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948502754313424"/>
          <c:y val="0.60665508860447059"/>
          <c:w val="0.13674771504625752"/>
          <c:h val="9.91414623405016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'F3'!$F$1</c:f>
              <c:strCache>
                <c:ptCount val="1"/>
                <c:pt idx="0">
                  <c:v>Tankers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'F3'!$E$2:$E$46</c:f>
              <c:numCache>
                <c:formatCode>[$-409]mmm\-yy;@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'F3'!$F$2:$F$46</c:f>
              <c:numCache>
                <c:formatCode>General</c:formatCode>
                <c:ptCount val="45"/>
                <c:pt idx="0">
                  <c:v>1715</c:v>
                </c:pt>
                <c:pt idx="1">
                  <c:v>1723</c:v>
                </c:pt>
                <c:pt idx="2">
                  <c:v>1891</c:v>
                </c:pt>
                <c:pt idx="3">
                  <c:v>1950</c:v>
                </c:pt>
                <c:pt idx="4">
                  <c:v>1943</c:v>
                </c:pt>
                <c:pt idx="5">
                  <c:v>1943</c:v>
                </c:pt>
                <c:pt idx="6">
                  <c:v>1964</c:v>
                </c:pt>
                <c:pt idx="7">
                  <c:v>2000</c:v>
                </c:pt>
                <c:pt idx="8">
                  <c:v>1907</c:v>
                </c:pt>
                <c:pt idx="9">
                  <c:v>1972</c:v>
                </c:pt>
                <c:pt idx="10">
                  <c:v>1754</c:v>
                </c:pt>
                <c:pt idx="11">
                  <c:v>1708</c:v>
                </c:pt>
                <c:pt idx="12">
                  <c:v>1626</c:v>
                </c:pt>
                <c:pt idx="13">
                  <c:v>1637</c:v>
                </c:pt>
                <c:pt idx="14">
                  <c:v>1787</c:v>
                </c:pt>
                <c:pt idx="15">
                  <c:v>1840</c:v>
                </c:pt>
                <c:pt idx="16">
                  <c:v>2030</c:v>
                </c:pt>
                <c:pt idx="17">
                  <c:v>1909</c:v>
                </c:pt>
                <c:pt idx="18">
                  <c:v>2001</c:v>
                </c:pt>
                <c:pt idx="19">
                  <c:v>2022</c:v>
                </c:pt>
                <c:pt idx="20">
                  <c:v>1967</c:v>
                </c:pt>
                <c:pt idx="21">
                  <c:v>1918</c:v>
                </c:pt>
                <c:pt idx="22">
                  <c:v>1637</c:v>
                </c:pt>
                <c:pt idx="23">
                  <c:v>1614</c:v>
                </c:pt>
                <c:pt idx="24">
                  <c:v>1627</c:v>
                </c:pt>
                <c:pt idx="25">
                  <c:v>1489</c:v>
                </c:pt>
                <c:pt idx="26">
                  <c:v>1883</c:v>
                </c:pt>
                <c:pt idx="27">
                  <c:v>1904</c:v>
                </c:pt>
                <c:pt idx="28">
                  <c:v>2001</c:v>
                </c:pt>
                <c:pt idx="29">
                  <c:v>1882</c:v>
                </c:pt>
                <c:pt idx="30">
                  <c:v>1982</c:v>
                </c:pt>
                <c:pt idx="31">
                  <c:v>1873</c:v>
                </c:pt>
                <c:pt idx="32">
                  <c:v>1903</c:v>
                </c:pt>
                <c:pt idx="33">
                  <c:v>1755</c:v>
                </c:pt>
                <c:pt idx="34">
                  <c:v>1615</c:v>
                </c:pt>
                <c:pt idx="35">
                  <c:v>1511</c:v>
                </c:pt>
                <c:pt idx="36">
                  <c:v>1537</c:v>
                </c:pt>
                <c:pt idx="37">
                  <c:v>1364</c:v>
                </c:pt>
                <c:pt idx="38">
                  <c:v>1766</c:v>
                </c:pt>
                <c:pt idx="39">
                  <c:v>1813</c:v>
                </c:pt>
                <c:pt idx="40">
                  <c:v>1834</c:v>
                </c:pt>
                <c:pt idx="41">
                  <c:v>1740</c:v>
                </c:pt>
                <c:pt idx="42">
                  <c:v>1661</c:v>
                </c:pt>
                <c:pt idx="43">
                  <c:v>1657</c:v>
                </c:pt>
                <c:pt idx="44">
                  <c:v>1451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9B-40E2-897B-36B6598538ED}"/>
            </c:ext>
          </c:extLst>
        </c:ser>
        <c:ser>
          <c:idx val="1"/>
          <c:order val="1"/>
          <c:tx>
            <c:strRef>
              <c:f>'F3'!$G$1</c:f>
              <c:strCache>
                <c:ptCount val="1"/>
                <c:pt idx="0">
                  <c:v>Cargo ships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'F3'!$E$2:$E$46</c:f>
              <c:numCache>
                <c:formatCode>[$-409]mmm\-yy;@</c:formatCode>
                <c:ptCount val="45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</c:numCache>
            </c:numRef>
          </c:cat>
          <c:val>
            <c:numRef>
              <c:f>'F3'!$G$2:$G$46</c:f>
              <c:numCache>
                <c:formatCode>General</c:formatCode>
                <c:ptCount val="45"/>
                <c:pt idx="0">
                  <c:v>953</c:v>
                </c:pt>
                <c:pt idx="1">
                  <c:v>1029</c:v>
                </c:pt>
                <c:pt idx="2">
                  <c:v>1124</c:v>
                </c:pt>
                <c:pt idx="3">
                  <c:v>1152</c:v>
                </c:pt>
                <c:pt idx="4">
                  <c:v>1140</c:v>
                </c:pt>
                <c:pt idx="5">
                  <c:v>1145</c:v>
                </c:pt>
                <c:pt idx="6">
                  <c:v>1060</c:v>
                </c:pt>
                <c:pt idx="7">
                  <c:v>1264</c:v>
                </c:pt>
                <c:pt idx="8">
                  <c:v>1176</c:v>
                </c:pt>
                <c:pt idx="9">
                  <c:v>1206</c:v>
                </c:pt>
                <c:pt idx="10">
                  <c:v>1102</c:v>
                </c:pt>
                <c:pt idx="11">
                  <c:v>1047</c:v>
                </c:pt>
                <c:pt idx="12">
                  <c:v>1024</c:v>
                </c:pt>
                <c:pt idx="13">
                  <c:v>1047</c:v>
                </c:pt>
                <c:pt idx="14">
                  <c:v>1146</c:v>
                </c:pt>
                <c:pt idx="15">
                  <c:v>1197</c:v>
                </c:pt>
                <c:pt idx="16">
                  <c:v>1288</c:v>
                </c:pt>
                <c:pt idx="17">
                  <c:v>1272</c:v>
                </c:pt>
                <c:pt idx="18">
                  <c:v>1222</c:v>
                </c:pt>
                <c:pt idx="19">
                  <c:v>1328</c:v>
                </c:pt>
                <c:pt idx="20">
                  <c:v>1269</c:v>
                </c:pt>
                <c:pt idx="21">
                  <c:v>1250</c:v>
                </c:pt>
                <c:pt idx="22">
                  <c:v>1008</c:v>
                </c:pt>
                <c:pt idx="23">
                  <c:v>1028</c:v>
                </c:pt>
                <c:pt idx="24">
                  <c:v>1006</c:v>
                </c:pt>
                <c:pt idx="25">
                  <c:v>1003</c:v>
                </c:pt>
                <c:pt idx="26">
                  <c:v>1262</c:v>
                </c:pt>
                <c:pt idx="27">
                  <c:v>1261</c:v>
                </c:pt>
                <c:pt idx="28">
                  <c:v>1350</c:v>
                </c:pt>
                <c:pt idx="29">
                  <c:v>1299</c:v>
                </c:pt>
                <c:pt idx="30">
                  <c:v>1321</c:v>
                </c:pt>
                <c:pt idx="31">
                  <c:v>1238</c:v>
                </c:pt>
                <c:pt idx="32">
                  <c:v>1359</c:v>
                </c:pt>
                <c:pt idx="33">
                  <c:v>1329</c:v>
                </c:pt>
                <c:pt idx="34">
                  <c:v>1218</c:v>
                </c:pt>
                <c:pt idx="35">
                  <c:v>1101</c:v>
                </c:pt>
                <c:pt idx="36">
                  <c:v>1108</c:v>
                </c:pt>
                <c:pt idx="37">
                  <c:v>1005</c:v>
                </c:pt>
                <c:pt idx="38">
                  <c:v>1245</c:v>
                </c:pt>
                <c:pt idx="39">
                  <c:v>1412</c:v>
                </c:pt>
                <c:pt idx="40">
                  <c:v>1380</c:v>
                </c:pt>
                <c:pt idx="41">
                  <c:v>1376</c:v>
                </c:pt>
                <c:pt idx="42">
                  <c:v>1283</c:v>
                </c:pt>
                <c:pt idx="43">
                  <c:v>1310</c:v>
                </c:pt>
                <c:pt idx="44">
                  <c:v>1138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9B-40E2-897B-36B659853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8121528"/>
        <c:axId val="1208120088"/>
      </c:lineChart>
      <c:dateAx>
        <c:axId val="1208121528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20088"/>
        <c:crosses val="autoZero"/>
        <c:auto val="1"/>
        <c:lblOffset val="100"/>
        <c:baseTimeUnit val="months"/>
      </c:dateAx>
      <c:valAx>
        <c:axId val="1208120088"/>
        <c:scaling>
          <c:orientation val="minMax"/>
          <c:max val="2150"/>
          <c:min val="7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Transits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121528"/>
        <c:crosses val="autoZero"/>
        <c:crossBetween val="between"/>
        <c:majorUnit val="200"/>
        <c:minorUnit val="4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533539642657946"/>
          <c:y val="0.84920819793332791"/>
          <c:w val="0.11680076513714363"/>
          <c:h val="3.05708617809452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'F4'!$E$1</c:f>
              <c:strCache>
                <c:ptCount val="1"/>
                <c:pt idx="0">
                  <c:v>Tonnage (short tons)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'F4'!$C$2:$C$43</c:f>
              <c:numCache>
                <c:formatCode>[$-409]mmm\-yy;@</c:formatCode>
                <c:ptCount val="42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</c:numCache>
            </c:numRef>
          </c:cat>
          <c:val>
            <c:numRef>
              <c:f>'F4'!$E$2:$E$43</c:f>
              <c:numCache>
                <c:formatCode>0</c:formatCode>
                <c:ptCount val="42"/>
                <c:pt idx="0">
                  <c:v>4463776.3664003592</c:v>
                </c:pt>
                <c:pt idx="1">
                  <c:v>3415017.9957510307</c:v>
                </c:pt>
                <c:pt idx="2">
                  <c:v>3698408.4984017038</c:v>
                </c:pt>
                <c:pt idx="3">
                  <c:v>4639509.8065586863</c:v>
                </c:pt>
                <c:pt idx="4">
                  <c:v>4841778.0676746424</c:v>
                </c:pt>
                <c:pt idx="5">
                  <c:v>5283988.1443326818</c:v>
                </c:pt>
                <c:pt idx="6">
                  <c:v>5765190.9836662812</c:v>
                </c:pt>
                <c:pt idx="7">
                  <c:v>4110187.3805411402</c:v>
                </c:pt>
                <c:pt idx="8">
                  <c:v>4160475.4843087634</c:v>
                </c:pt>
                <c:pt idx="9">
                  <c:v>4432290.1095774649</c:v>
                </c:pt>
                <c:pt idx="10">
                  <c:v>4687753.5213832418</c:v>
                </c:pt>
                <c:pt idx="11">
                  <c:v>4399695.6590537736</c:v>
                </c:pt>
                <c:pt idx="12">
                  <c:v>4353275.0446959697</c:v>
                </c:pt>
                <c:pt idx="13">
                  <c:v>4410835.1514636436</c:v>
                </c:pt>
                <c:pt idx="14">
                  <c:v>5115758.4806710249</c:v>
                </c:pt>
                <c:pt idx="15">
                  <c:v>4263286.0118231708</c:v>
                </c:pt>
                <c:pt idx="16">
                  <c:v>3730365.7047677282</c:v>
                </c:pt>
                <c:pt idx="17">
                  <c:v>4004023.530952407</c:v>
                </c:pt>
                <c:pt idx="18">
                  <c:v>4153706.0597362369</c:v>
                </c:pt>
                <c:pt idx="19">
                  <c:v>3976441.5539084817</c:v>
                </c:pt>
                <c:pt idx="20">
                  <c:v>4275257.9430627525</c:v>
                </c:pt>
                <c:pt idx="21">
                  <c:v>3802121.9032022916</c:v>
                </c:pt>
                <c:pt idx="22">
                  <c:v>3198569.4916151036</c:v>
                </c:pt>
                <c:pt idx="23">
                  <c:v>3454303.7297145776</c:v>
                </c:pt>
                <c:pt idx="24">
                  <c:v>3233760.9927614522</c:v>
                </c:pt>
                <c:pt idx="25">
                  <c:v>2837593.7901399792</c:v>
                </c:pt>
                <c:pt idx="26">
                  <c:v>3485302.7501566107</c:v>
                </c:pt>
                <c:pt idx="27">
                  <c:v>4402665.5963554056</c:v>
                </c:pt>
                <c:pt idx="28">
                  <c:v>4299118.3755744556</c:v>
                </c:pt>
                <c:pt idx="29">
                  <c:v>4018727.8679413358</c:v>
                </c:pt>
                <c:pt idx="30">
                  <c:v>3477204.4554653531</c:v>
                </c:pt>
                <c:pt idx="31">
                  <c:v>3618999.5304153608</c:v>
                </c:pt>
                <c:pt idx="32">
                  <c:v>3965565.7920597647</c:v>
                </c:pt>
                <c:pt idx="33">
                  <c:v>3290536.2944061994</c:v>
                </c:pt>
                <c:pt idx="34">
                  <c:v>3434922.2224647305</c:v>
                </c:pt>
                <c:pt idx="35">
                  <c:v>2988681.7731163232</c:v>
                </c:pt>
                <c:pt idx="36">
                  <c:v>3758656.6008002562</c:v>
                </c:pt>
                <c:pt idx="37">
                  <c:v>3103271.5290833279</c:v>
                </c:pt>
                <c:pt idx="38">
                  <c:v>3693453.0940281511</c:v>
                </c:pt>
                <c:pt idx="39">
                  <c:v>3033215.7614210201</c:v>
                </c:pt>
                <c:pt idx="40">
                  <c:v>3346093.4266417851</c:v>
                </c:pt>
                <c:pt idx="41">
                  <c:v>3135779.0554999439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A-41E6-8CE4-86473E646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824392"/>
        <c:axId val="1265821872"/>
      </c:lineChart>
      <c:dateAx>
        <c:axId val="1265824392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821872"/>
        <c:crosses val="autoZero"/>
        <c:auto val="1"/>
        <c:lblOffset val="100"/>
        <c:baseTimeUnit val="months"/>
      </c:dateAx>
      <c:valAx>
        <c:axId val="1265821872"/>
        <c:scaling>
          <c:orientation val="minMax"/>
          <c:min val="2000001.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Imports (millions of short tons)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824392"/>
        <c:crosses val="autoZero"/>
        <c:crossBetween val="between"/>
        <c:dispUnits>
          <c:builtInUnit val="million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179070</xdr:colOff>
      <xdr:row>0</xdr:row>
      <xdr:rowOff>171449</xdr:rowOff>
    </xdr:from>
    <xdr:to>
      <xdr:col>23</xdr:col>
      <xdr:colOff>609600</xdr:colOff>
      <xdr:row>21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83EF3-693A-4828-8CA9-E0A8B5B4B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163286</xdr:colOff>
      <xdr:row>19</xdr:row>
      <xdr:rowOff>32656</xdr:rowOff>
    </xdr:from>
    <xdr:to>
      <xdr:col>20</xdr:col>
      <xdr:colOff>103959</xdr:colOff>
      <xdr:row>39</xdr:row>
      <xdr:rowOff>141513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A4173C-40BA-498B-A43A-9AA462B7D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598715</xdr:colOff>
      <xdr:row>36</xdr:row>
      <xdr:rowOff>179614</xdr:rowOff>
    </xdr:from>
    <xdr:to>
      <xdr:col>15</xdr:col>
      <xdr:colOff>381000</xdr:colOff>
      <xdr:row>62</xdr:row>
      <xdr:rowOff>130628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0F2A3F-92BE-4995-1AC3-11279A1D7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426720</xdr:colOff>
      <xdr:row>0</xdr:row>
      <xdr:rowOff>66675</xdr:rowOff>
    </xdr:from>
    <xdr:to>
      <xdr:col>34</xdr:col>
      <xdr:colOff>121920</xdr:colOff>
      <xdr:row>24</xdr:row>
      <xdr:rowOff>46673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E82C26-EE1D-F11D-800B-5BD8CD05A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6926</xdr:colOff>
      <xdr:row>6</xdr:row>
      <xdr:rowOff>69272</xdr:rowOff>
    </xdr:from>
    <xdr:to>
      <xdr:col>34</xdr:col>
      <xdr:colOff>193964</xdr:colOff>
      <xdr:row>45</xdr:row>
      <xdr:rowOff>55419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B25ED5-2288-734A-42B8-2EDA0918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467994</xdr:colOff>
      <xdr:row>9</xdr:row>
      <xdr:rowOff>137476</xdr:rowOff>
    </xdr:from>
    <xdr:to>
      <xdr:col>28</xdr:col>
      <xdr:colOff>327024</xdr:colOff>
      <xdr:row>28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7AEC91-E4A0-4301-9A16-0E9CB1070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Joseph, Patricia (OST)" id="{BF69ADF0-3D2F-45DF-BFD8-3AAE97B46713}" userId="S::patricia.dijoseph@ad.dot.gov::8591aec8-dcbd-4968-b4ce-1859ad9fe89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0-30T13:49:40.76" personId="{BF69ADF0-3D2F-45DF-BFD8-3AAE97B46713}" id="{C2DD1549-76E6-4748-BB64-BBDA859233FF}">
    <text>Sorted by tonnage, smallest to largest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2" dT="2025-10-30T13:54:25.88" personId="{BF69ADF0-3D2F-45DF-BFD8-3AAE97B46713}" id="{74421FF8-D132-4536-8878-AF52DC655DF1}">
    <text>Considering just tankers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F676C-A6D5-4B92-BCCB-1019CF2EAC8C}">
  <dimension ref="A1:O2485"/>
  <sheetViews>
    <sheetView topLeftCell="A25" zoomScale="70" zoomScaleNormal="70" workbookViewId="0">
      <selection activeCell="K30" sqref="K30"/>
    </sheetView>
  </sheetViews>
  <sheetFormatPr defaultRowHeight="14.4" x14ac:dyDescent="0.3"/>
  <cols>
    <col min="1" max="1" width="13.88671875" bestFit="1" customWidth="1"/>
    <col min="2" max="2" width="23" bestFit="1" customWidth="1"/>
    <col min="5" max="5" width="10.5546875" customWidth="1"/>
    <col min="6" max="6" width="11.6640625" bestFit="1" customWidth="1"/>
    <col min="9" max="9" width="9" bestFit="1" customWidth="1"/>
    <col min="10" max="10" width="32.44140625" bestFit="1" customWidth="1"/>
    <col min="13" max="13" width="16" customWidth="1"/>
  </cols>
  <sheetData>
    <row r="1" spans="1:15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I1" t="s">
        <v>3</v>
      </c>
      <c r="J1" t="s">
        <v>4</v>
      </c>
    </row>
    <row r="2" spans="1:15" x14ac:dyDescent="0.3">
      <c r="A2" s="1">
        <v>43466</v>
      </c>
      <c r="B2">
        <v>3893199.9507884602</v>
      </c>
      <c r="C2">
        <f>B2*1.102</f>
        <v>4290306.3457688838</v>
      </c>
      <c r="E2" s="2">
        <v>44075</v>
      </c>
      <c r="F2">
        <f t="shared" ref="F2:F5" si="0">SUMIFS(C:C,A:A,"&gt;="&amp;E2,A:A,"&lt;"&amp;E3)</f>
        <v>117113273.89156853</v>
      </c>
      <c r="I2" s="2">
        <v>45689</v>
      </c>
      <c r="J2">
        <v>93372371.278117463</v>
      </c>
      <c r="L2" t="s">
        <v>5</v>
      </c>
      <c r="M2">
        <f>SUM(F18:F26)</f>
        <v>1230699133.8180594</v>
      </c>
      <c r="N2">
        <f>M5/M2</f>
        <v>0.86434479659218333</v>
      </c>
      <c r="O2" s="3">
        <f>1-N2</f>
        <v>0.13565520340781667</v>
      </c>
    </row>
    <row r="3" spans="1:15" x14ac:dyDescent="0.3">
      <c r="A3" s="1">
        <v>43467</v>
      </c>
      <c r="B3">
        <v>2752853.9589964598</v>
      </c>
      <c r="C3">
        <f t="shared" ref="C3:C66" si="1">B3*1.102</f>
        <v>3033645.0628140988</v>
      </c>
      <c r="E3" s="2">
        <v>44105</v>
      </c>
      <c r="F3">
        <f t="shared" si="0"/>
        <v>119227635.13041718</v>
      </c>
      <c r="I3" s="2">
        <v>45901</v>
      </c>
      <c r="J3">
        <v>103061049.28921343</v>
      </c>
      <c r="L3" t="s">
        <v>6</v>
      </c>
      <c r="M3">
        <f>SUM(F30:F38)</f>
        <v>1213998686.5332251</v>
      </c>
      <c r="N3">
        <f>M5/M3</f>
        <v>0.87623520872486038</v>
      </c>
      <c r="O3" s="3">
        <f t="shared" ref="O3:O4" si="2">1-N3</f>
        <v>0.12376479127513962</v>
      </c>
    </row>
    <row r="4" spans="1:15" x14ac:dyDescent="0.3">
      <c r="A4" s="1">
        <v>43468</v>
      </c>
      <c r="B4">
        <v>4781876.1023614202</v>
      </c>
      <c r="C4">
        <f t="shared" si="1"/>
        <v>5269627.4648022857</v>
      </c>
      <c r="E4" s="2">
        <v>44136</v>
      </c>
      <c r="F4">
        <f t="shared" si="0"/>
        <v>88237618.523385078</v>
      </c>
      <c r="I4" s="2">
        <v>45658</v>
      </c>
      <c r="J4">
        <v>105499141.49247901</v>
      </c>
      <c r="L4" t="s">
        <v>7</v>
      </c>
      <c r="M4">
        <f>SUM(F42:F50)</f>
        <v>1176488280.7195301</v>
      </c>
      <c r="N4">
        <f>M5/M4</f>
        <v>0.90417253611363424</v>
      </c>
      <c r="O4" s="3">
        <f t="shared" si="2"/>
        <v>9.582746388636576E-2</v>
      </c>
    </row>
    <row r="5" spans="1:15" x14ac:dyDescent="0.3">
      <c r="A5" s="1">
        <v>43469</v>
      </c>
      <c r="B5">
        <v>2183449.8290182599</v>
      </c>
      <c r="C5">
        <f t="shared" si="1"/>
        <v>2406161.7115781228</v>
      </c>
      <c r="E5" s="2">
        <v>44166</v>
      </c>
      <c r="F5">
        <f t="shared" si="0"/>
        <v>89455675.469293624</v>
      </c>
      <c r="I5" s="2">
        <v>45627</v>
      </c>
      <c r="J5">
        <v>106752490.11150773</v>
      </c>
      <c r="L5" t="s">
        <v>8</v>
      </c>
      <c r="M5">
        <f>SUM(F54:F62)</f>
        <v>1063748392.4861468</v>
      </c>
    </row>
    <row r="6" spans="1:15" x14ac:dyDescent="0.3">
      <c r="A6" s="1">
        <v>43470</v>
      </c>
      <c r="B6">
        <v>2660653.8395305602</v>
      </c>
      <c r="C6">
        <f t="shared" si="1"/>
        <v>2932040.5311626778</v>
      </c>
      <c r="E6" s="2">
        <v>44197</v>
      </c>
      <c r="F6">
        <f t="shared" ref="F6:F17" si="3">SUMIFS(C:C,A:A,"&gt;="&amp;E6,A:A,"&lt;"&amp;E7)</f>
        <v>97040250.163155377</v>
      </c>
      <c r="I6" s="2">
        <v>45323</v>
      </c>
      <c r="J6">
        <v>109890679.51351714</v>
      </c>
    </row>
    <row r="7" spans="1:15" x14ac:dyDescent="0.3">
      <c r="A7" s="1">
        <v>43471</v>
      </c>
      <c r="B7">
        <v>3452351.5492574498</v>
      </c>
      <c r="C7">
        <f t="shared" si="1"/>
        <v>3804491.4072817098</v>
      </c>
      <c r="E7" s="2">
        <v>44228</v>
      </c>
      <c r="F7">
        <f t="shared" si="3"/>
        <v>97183973.271133885</v>
      </c>
      <c r="I7" s="2">
        <v>45231</v>
      </c>
      <c r="J7">
        <v>113164501.65518105</v>
      </c>
    </row>
    <row r="8" spans="1:15" x14ac:dyDescent="0.3">
      <c r="A8" s="1">
        <v>43472</v>
      </c>
      <c r="B8">
        <v>3469750.86426479</v>
      </c>
      <c r="C8">
        <f t="shared" si="1"/>
        <v>3823665.4524197988</v>
      </c>
      <c r="E8" s="2">
        <v>44256</v>
      </c>
      <c r="F8">
        <f t="shared" si="3"/>
        <v>116333539.07156968</v>
      </c>
      <c r="I8" s="2">
        <v>45292</v>
      </c>
      <c r="J8">
        <v>115541839.31468803</v>
      </c>
    </row>
    <row r="9" spans="1:15" x14ac:dyDescent="0.3">
      <c r="A9" s="1">
        <v>43473</v>
      </c>
      <c r="B9">
        <v>1337638.7041086799</v>
      </c>
      <c r="C9">
        <f t="shared" si="1"/>
        <v>1474077.8519277654</v>
      </c>
      <c r="E9" s="2">
        <v>44287</v>
      </c>
      <c r="F9">
        <f t="shared" si="3"/>
        <v>126678241.03181444</v>
      </c>
      <c r="I9" s="2">
        <v>45261</v>
      </c>
      <c r="J9">
        <v>117469098.75113715</v>
      </c>
    </row>
    <row r="10" spans="1:15" x14ac:dyDescent="0.3">
      <c r="A10" s="1">
        <v>43474</v>
      </c>
      <c r="B10">
        <v>3965754.8158391798</v>
      </c>
      <c r="C10">
        <f t="shared" si="1"/>
        <v>4370261.8070547767</v>
      </c>
      <c r="E10" s="2">
        <v>44317</v>
      </c>
      <c r="F10">
        <f t="shared" si="3"/>
        <v>125197811.81459033</v>
      </c>
      <c r="I10" s="2">
        <v>45597</v>
      </c>
      <c r="J10">
        <v>118033741.72323303</v>
      </c>
    </row>
    <row r="11" spans="1:15" x14ac:dyDescent="0.3">
      <c r="A11" s="1">
        <v>43475</v>
      </c>
      <c r="B11">
        <v>2059485.0899555001</v>
      </c>
      <c r="C11">
        <f t="shared" si="1"/>
        <v>2269552.5691309613</v>
      </c>
      <c r="E11" s="2">
        <v>44348</v>
      </c>
      <c r="F11">
        <f t="shared" si="3"/>
        <v>127973636.5311918</v>
      </c>
      <c r="I11" s="2">
        <v>44958</v>
      </c>
      <c r="J11">
        <v>120295245.70720832</v>
      </c>
    </row>
    <row r="12" spans="1:15" x14ac:dyDescent="0.3">
      <c r="A12" s="1">
        <v>43476</v>
      </c>
      <c r="B12">
        <v>2208389.7160468199</v>
      </c>
      <c r="C12">
        <f t="shared" si="1"/>
        <v>2433645.4670835957</v>
      </c>
      <c r="E12" s="2">
        <v>44378</v>
      </c>
      <c r="F12">
        <f t="shared" si="3"/>
        <v>126158767.50749703</v>
      </c>
      <c r="I12" s="2">
        <v>45566</v>
      </c>
      <c r="J12">
        <v>121988864.76695865</v>
      </c>
    </row>
    <row r="13" spans="1:15" x14ac:dyDescent="0.3">
      <c r="A13" s="1">
        <v>43477</v>
      </c>
      <c r="B13">
        <v>1520788.7639496301</v>
      </c>
      <c r="C13">
        <f t="shared" si="1"/>
        <v>1675909.2178724925</v>
      </c>
      <c r="E13" s="2">
        <v>44409</v>
      </c>
      <c r="F13">
        <f t="shared" si="3"/>
        <v>124563552.5028041</v>
      </c>
      <c r="I13" s="2">
        <v>44927</v>
      </c>
      <c r="J13">
        <v>122984414.18811135</v>
      </c>
    </row>
    <row r="14" spans="1:15" x14ac:dyDescent="0.3">
      <c r="A14" s="1">
        <v>43478</v>
      </c>
      <c r="B14">
        <v>4272502.02228803</v>
      </c>
      <c r="C14">
        <f t="shared" si="1"/>
        <v>4708297.2285614097</v>
      </c>
      <c r="E14" s="2">
        <v>44440</v>
      </c>
      <c r="F14">
        <f t="shared" si="3"/>
        <v>125360085.26206113</v>
      </c>
      <c r="I14" s="2">
        <v>45839</v>
      </c>
      <c r="J14">
        <v>123477554.84052905</v>
      </c>
    </row>
    <row r="15" spans="1:15" x14ac:dyDescent="0.3">
      <c r="A15" s="1">
        <v>43479</v>
      </c>
      <c r="B15">
        <v>3472017.7811422199</v>
      </c>
      <c r="C15">
        <f t="shared" si="1"/>
        <v>3826163.5948187266</v>
      </c>
      <c r="E15" s="2">
        <v>44470</v>
      </c>
      <c r="F15">
        <f t="shared" si="3"/>
        <v>131300895.26572889</v>
      </c>
      <c r="I15" s="2">
        <v>44593</v>
      </c>
      <c r="J15">
        <v>123882527.83925696</v>
      </c>
    </row>
    <row r="16" spans="1:15" x14ac:dyDescent="0.3">
      <c r="A16" s="1">
        <v>43480</v>
      </c>
      <c r="B16">
        <v>2372926.4001349802</v>
      </c>
      <c r="C16">
        <f t="shared" si="1"/>
        <v>2614964.8929487485</v>
      </c>
      <c r="E16" s="2">
        <v>44501</v>
      </c>
      <c r="F16">
        <f t="shared" si="3"/>
        <v>123630461.03520401</v>
      </c>
      <c r="I16" s="2">
        <v>44896</v>
      </c>
      <c r="J16">
        <v>125294374.13359369</v>
      </c>
    </row>
    <row r="17" spans="1:10" x14ac:dyDescent="0.3">
      <c r="A17" s="1">
        <v>43481</v>
      </c>
      <c r="B17">
        <v>4612545.1650642296</v>
      </c>
      <c r="C17">
        <f t="shared" si="1"/>
        <v>5083024.7719007814</v>
      </c>
      <c r="E17" s="2">
        <v>44531</v>
      </c>
      <c r="F17">
        <f t="shared" si="3"/>
        <v>125761798.26626015</v>
      </c>
      <c r="I17" s="2">
        <v>45870</v>
      </c>
      <c r="J17">
        <v>125616110.46070842</v>
      </c>
    </row>
    <row r="18" spans="1:10" x14ac:dyDescent="0.3">
      <c r="A18" s="1">
        <v>43482</v>
      </c>
      <c r="B18">
        <v>3643799.8091247799</v>
      </c>
      <c r="C18">
        <f t="shared" si="1"/>
        <v>4015467.3896555076</v>
      </c>
      <c r="E18" s="6">
        <v>44562</v>
      </c>
      <c r="F18">
        <f>SUMIFS(C:C,A:A,"&gt;="&amp;E18,A:A,"&lt;"&amp;E19)</f>
        <v>127971081.22735885</v>
      </c>
      <c r="I18" s="2">
        <v>45809</v>
      </c>
      <c r="J18">
        <v>126814219.2610908</v>
      </c>
    </row>
    <row r="19" spans="1:10" x14ac:dyDescent="0.3">
      <c r="A19" s="1">
        <v>43483</v>
      </c>
      <c r="B19">
        <v>2870332.8650539098</v>
      </c>
      <c r="C19">
        <f t="shared" si="1"/>
        <v>3163106.8172894088</v>
      </c>
      <c r="E19" s="6">
        <v>44593</v>
      </c>
      <c r="F19">
        <f t="shared" ref="F19:F62" si="4">SUMIFS(C:C,A:A,"&gt;="&amp;E19,A:A,"&lt;"&amp;E20)</f>
        <v>123882527.83925696</v>
      </c>
      <c r="I19" s="2">
        <v>45717</v>
      </c>
      <c r="J19">
        <v>127460342.57428432</v>
      </c>
    </row>
    <row r="20" spans="1:10" x14ac:dyDescent="0.3">
      <c r="A20" s="1">
        <v>43484</v>
      </c>
      <c r="B20">
        <v>2110159.4845467298</v>
      </c>
      <c r="C20">
        <f t="shared" si="1"/>
        <v>2325395.7519704965</v>
      </c>
      <c r="E20" s="6">
        <v>44621</v>
      </c>
      <c r="F20">
        <f t="shared" si="4"/>
        <v>139156557.43843257</v>
      </c>
      <c r="I20" s="2">
        <v>44562</v>
      </c>
      <c r="J20">
        <v>127971081.22735885</v>
      </c>
    </row>
    <row r="21" spans="1:10" x14ac:dyDescent="0.3">
      <c r="A21" s="1">
        <v>43485</v>
      </c>
      <c r="B21">
        <v>2692002.1207503402</v>
      </c>
      <c r="C21">
        <f t="shared" si="1"/>
        <v>2966586.3370668753</v>
      </c>
      <c r="E21" s="6">
        <v>44652</v>
      </c>
      <c r="F21">
        <f t="shared" si="4"/>
        <v>142442876.9290989</v>
      </c>
      <c r="I21" s="2">
        <v>45778</v>
      </c>
      <c r="J21">
        <v>128345948.9893536</v>
      </c>
    </row>
    <row r="22" spans="1:10" x14ac:dyDescent="0.3">
      <c r="A22" s="1">
        <v>43486</v>
      </c>
      <c r="B22">
        <v>1478611.9265735799</v>
      </c>
      <c r="C22">
        <f t="shared" si="1"/>
        <v>1629430.3430840853</v>
      </c>
      <c r="E22" s="6">
        <v>44682</v>
      </c>
      <c r="F22">
        <f t="shared" si="4"/>
        <v>134372459.8828944</v>
      </c>
      <c r="I22" s="2">
        <v>45748</v>
      </c>
      <c r="J22">
        <v>130101654.30037066</v>
      </c>
    </row>
    <row r="23" spans="1:10" x14ac:dyDescent="0.3">
      <c r="A23" s="1">
        <v>43487</v>
      </c>
      <c r="B23">
        <v>3412727.4913671101</v>
      </c>
      <c r="C23">
        <f t="shared" si="1"/>
        <v>3760825.6954865558</v>
      </c>
      <c r="E23" s="6">
        <v>44713</v>
      </c>
      <c r="F23">
        <f t="shared" si="4"/>
        <v>136463107.45798242</v>
      </c>
      <c r="I23" s="2">
        <v>44866</v>
      </c>
      <c r="J23">
        <v>130937490.1045415</v>
      </c>
    </row>
    <row r="24" spans="1:10" x14ac:dyDescent="0.3">
      <c r="A24" s="1">
        <v>43488</v>
      </c>
      <c r="B24">
        <v>2641695.7757912902</v>
      </c>
      <c r="C24">
        <f t="shared" si="1"/>
        <v>2911148.7449220018</v>
      </c>
      <c r="E24" s="6">
        <v>44743</v>
      </c>
      <c r="F24">
        <f t="shared" si="4"/>
        <v>141226251.33961058</v>
      </c>
      <c r="I24" s="2">
        <v>44986</v>
      </c>
      <c r="J24">
        <v>131607119.88902541</v>
      </c>
    </row>
    <row r="25" spans="1:10" x14ac:dyDescent="0.3">
      <c r="A25" s="1">
        <v>43489</v>
      </c>
      <c r="B25">
        <v>3676355.4659074498</v>
      </c>
      <c r="C25">
        <f t="shared" si="1"/>
        <v>4051343.72343001</v>
      </c>
      <c r="E25" s="6">
        <v>44774</v>
      </c>
      <c r="F25">
        <f t="shared" si="4"/>
        <v>146970001.37257901</v>
      </c>
      <c r="I25" s="2">
        <v>45444</v>
      </c>
      <c r="J25">
        <v>132604694.8327942</v>
      </c>
    </row>
    <row r="26" spans="1:10" x14ac:dyDescent="0.3">
      <c r="A26" s="1">
        <v>43490</v>
      </c>
      <c r="B26">
        <v>3183844.9387865299</v>
      </c>
      <c r="C26">
        <f t="shared" si="1"/>
        <v>3508597.1225427561</v>
      </c>
      <c r="E26" s="6">
        <v>44805</v>
      </c>
      <c r="F26">
        <f t="shared" si="4"/>
        <v>138214270.33084586</v>
      </c>
      <c r="I26" s="2">
        <v>45505</v>
      </c>
      <c r="J26">
        <v>132928209.85909982</v>
      </c>
    </row>
    <row r="27" spans="1:10" x14ac:dyDescent="0.3">
      <c r="A27" s="1">
        <v>43491</v>
      </c>
      <c r="B27">
        <v>3801968.0893466901</v>
      </c>
      <c r="C27">
        <f t="shared" si="1"/>
        <v>4189768.8344600527</v>
      </c>
      <c r="E27" s="6">
        <v>44835</v>
      </c>
      <c r="F27">
        <f t="shared" si="4"/>
        <v>141383735.94056559</v>
      </c>
      <c r="I27" s="2">
        <v>45383</v>
      </c>
      <c r="J27">
        <v>133921257.77226658</v>
      </c>
    </row>
    <row r="28" spans="1:10" x14ac:dyDescent="0.3">
      <c r="A28" s="1">
        <v>43492</v>
      </c>
      <c r="B28">
        <v>4223324.9279259499</v>
      </c>
      <c r="C28">
        <f t="shared" si="1"/>
        <v>4654104.0705743972</v>
      </c>
      <c r="E28" s="6">
        <v>44866</v>
      </c>
      <c r="F28">
        <f t="shared" si="4"/>
        <v>130937490.1045415</v>
      </c>
      <c r="I28" s="2">
        <v>44682</v>
      </c>
      <c r="J28">
        <v>134372459.8828944</v>
      </c>
    </row>
    <row r="29" spans="1:10" x14ac:dyDescent="0.3">
      <c r="A29" s="1">
        <v>43493</v>
      </c>
      <c r="B29">
        <v>3335474.2984478199</v>
      </c>
      <c r="C29">
        <f t="shared" si="1"/>
        <v>3675692.6768894978</v>
      </c>
      <c r="E29" s="6">
        <v>44896</v>
      </c>
      <c r="F29">
        <f t="shared" si="4"/>
        <v>125294374.13359369</v>
      </c>
      <c r="I29" s="2">
        <v>45536</v>
      </c>
      <c r="J29">
        <v>134543172.37248993</v>
      </c>
    </row>
    <row r="30" spans="1:10" x14ac:dyDescent="0.3">
      <c r="A30" s="1">
        <v>43494</v>
      </c>
      <c r="B30">
        <v>4792079.5509165796</v>
      </c>
      <c r="C30">
        <f t="shared" si="1"/>
        <v>5280871.6651100712</v>
      </c>
      <c r="E30" s="6">
        <v>44927</v>
      </c>
      <c r="F30">
        <f t="shared" si="4"/>
        <v>122984414.18811135</v>
      </c>
      <c r="I30" s="2">
        <v>45170</v>
      </c>
      <c r="J30">
        <v>134640400.60002834</v>
      </c>
    </row>
    <row r="31" spans="1:10" x14ac:dyDescent="0.3">
      <c r="A31" s="1">
        <v>43495</v>
      </c>
      <c r="B31">
        <v>2281878.0113595398</v>
      </c>
      <c r="C31">
        <f t="shared" si="1"/>
        <v>2514629.568518213</v>
      </c>
      <c r="E31" s="6">
        <v>44958</v>
      </c>
      <c r="F31">
        <f t="shared" si="4"/>
        <v>120295245.70720832</v>
      </c>
      <c r="I31" s="2">
        <v>45017</v>
      </c>
      <c r="J31">
        <v>135273319.13651857</v>
      </c>
    </row>
    <row r="32" spans="1:10" x14ac:dyDescent="0.3">
      <c r="A32" s="1">
        <v>43496</v>
      </c>
      <c r="B32">
        <v>3273143.7334709698</v>
      </c>
      <c r="C32">
        <f t="shared" si="1"/>
        <v>3607004.3942850092</v>
      </c>
      <c r="E32" s="6">
        <v>44986</v>
      </c>
      <c r="F32">
        <f t="shared" si="4"/>
        <v>131607119.88902541</v>
      </c>
      <c r="I32" s="2">
        <v>45200</v>
      </c>
      <c r="J32">
        <v>135342064.58321753</v>
      </c>
    </row>
    <row r="33" spans="1:10" x14ac:dyDescent="0.3">
      <c r="A33" s="1">
        <v>43497</v>
      </c>
      <c r="B33">
        <v>2799049.6859454601</v>
      </c>
      <c r="C33">
        <f t="shared" si="1"/>
        <v>3084552.7539118971</v>
      </c>
      <c r="E33" s="6">
        <v>45017</v>
      </c>
      <c r="F33">
        <f t="shared" si="4"/>
        <v>135273319.13651857</v>
      </c>
      <c r="I33" s="2">
        <v>45474</v>
      </c>
      <c r="J33">
        <v>136293767.43705502</v>
      </c>
    </row>
    <row r="34" spans="1:10" x14ac:dyDescent="0.3">
      <c r="A34" s="1">
        <v>43498</v>
      </c>
      <c r="B34">
        <v>3919552.7284066901</v>
      </c>
      <c r="C34">
        <f t="shared" si="1"/>
        <v>4319347.1067041727</v>
      </c>
      <c r="E34" s="6">
        <v>45047</v>
      </c>
      <c r="F34">
        <f t="shared" si="4"/>
        <v>143378478.32574198</v>
      </c>
      <c r="I34" s="2">
        <v>44713</v>
      </c>
      <c r="J34">
        <v>136463107.45798242</v>
      </c>
    </row>
    <row r="35" spans="1:10" x14ac:dyDescent="0.3">
      <c r="A35" s="1">
        <v>43499</v>
      </c>
      <c r="B35">
        <v>3070014.4643635</v>
      </c>
      <c r="C35">
        <f t="shared" si="1"/>
        <v>3383155.9397285772</v>
      </c>
      <c r="E35" s="6">
        <v>45078</v>
      </c>
      <c r="F35">
        <f t="shared" si="4"/>
        <v>143362233.0988372</v>
      </c>
      <c r="I35" s="2">
        <v>44805</v>
      </c>
      <c r="J35">
        <v>138214270.33084586</v>
      </c>
    </row>
    <row r="36" spans="1:10" x14ac:dyDescent="0.3">
      <c r="A36" s="1">
        <v>43500</v>
      </c>
      <c r="B36">
        <v>2286602.1246191999</v>
      </c>
      <c r="C36">
        <f t="shared" si="1"/>
        <v>2519835.5413303585</v>
      </c>
      <c r="E36" s="6">
        <v>45108</v>
      </c>
      <c r="F36">
        <f t="shared" si="4"/>
        <v>142799261.17868203</v>
      </c>
      <c r="I36" s="2">
        <v>44621</v>
      </c>
      <c r="J36">
        <v>139156557.43843257</v>
      </c>
    </row>
    <row r="37" spans="1:10" x14ac:dyDescent="0.3">
      <c r="A37" s="1">
        <v>43501</v>
      </c>
      <c r="B37">
        <v>1425728.39923192</v>
      </c>
      <c r="C37">
        <f t="shared" si="1"/>
        <v>1571152.6959535759</v>
      </c>
      <c r="E37" s="6">
        <v>45139</v>
      </c>
      <c r="F37">
        <f t="shared" si="4"/>
        <v>139658214.40907189</v>
      </c>
      <c r="I37" s="2">
        <v>45139</v>
      </c>
      <c r="J37">
        <v>139658214.40907189</v>
      </c>
    </row>
    <row r="38" spans="1:10" x14ac:dyDescent="0.3">
      <c r="A38" s="1">
        <v>43502</v>
      </c>
      <c r="B38">
        <v>2463793.3950840398</v>
      </c>
      <c r="C38">
        <f t="shared" si="1"/>
        <v>2715100.321382612</v>
      </c>
      <c r="E38" s="6">
        <v>45170</v>
      </c>
      <c r="F38">
        <f t="shared" si="4"/>
        <v>134640400.60002834</v>
      </c>
      <c r="I38" s="2">
        <v>45352</v>
      </c>
      <c r="J38">
        <v>139763243.52598414</v>
      </c>
    </row>
    <row r="39" spans="1:10" x14ac:dyDescent="0.3">
      <c r="A39" s="1">
        <v>43503</v>
      </c>
      <c r="B39">
        <v>2819239.6909695701</v>
      </c>
      <c r="C39">
        <f t="shared" si="1"/>
        <v>3106802.1394484662</v>
      </c>
      <c r="E39" s="6">
        <v>45200</v>
      </c>
      <c r="F39">
        <f t="shared" si="4"/>
        <v>135342064.58321753</v>
      </c>
      <c r="I39" s="2">
        <v>45413</v>
      </c>
      <c r="J39">
        <v>141001416.09163544</v>
      </c>
    </row>
    <row r="40" spans="1:10" x14ac:dyDescent="0.3">
      <c r="A40" s="1">
        <v>43504</v>
      </c>
      <c r="B40">
        <v>3196022.0282706199</v>
      </c>
      <c r="C40">
        <f t="shared" si="1"/>
        <v>3522016.2751542237</v>
      </c>
      <c r="E40" s="6">
        <v>45231</v>
      </c>
      <c r="F40">
        <f t="shared" si="4"/>
        <v>113164501.65518105</v>
      </c>
      <c r="I40" s="2">
        <v>44743</v>
      </c>
      <c r="J40">
        <v>141226251.33961058</v>
      </c>
    </row>
    <row r="41" spans="1:10" x14ac:dyDescent="0.3">
      <c r="A41" s="1">
        <v>43505</v>
      </c>
      <c r="B41">
        <v>3045470.5080837999</v>
      </c>
      <c r="C41">
        <f t="shared" si="1"/>
        <v>3356108.4999083476</v>
      </c>
      <c r="E41" s="6">
        <v>45261</v>
      </c>
      <c r="F41">
        <f t="shared" si="4"/>
        <v>117469098.75113715</v>
      </c>
      <c r="I41" s="2">
        <v>44835</v>
      </c>
      <c r="J41">
        <v>141383735.94056559</v>
      </c>
    </row>
    <row r="42" spans="1:10" x14ac:dyDescent="0.3">
      <c r="A42" s="1">
        <v>43506</v>
      </c>
      <c r="B42">
        <v>4176695.0780584901</v>
      </c>
      <c r="C42">
        <f t="shared" si="1"/>
        <v>4602717.9760204563</v>
      </c>
      <c r="E42" s="6">
        <v>45292</v>
      </c>
      <c r="F42">
        <f t="shared" si="4"/>
        <v>115541839.31468803</v>
      </c>
      <c r="I42" s="2">
        <v>44652</v>
      </c>
      <c r="J42">
        <v>142442876.9290989</v>
      </c>
    </row>
    <row r="43" spans="1:10" x14ac:dyDescent="0.3">
      <c r="A43" s="1">
        <v>43507</v>
      </c>
      <c r="B43">
        <v>2403328.5018941402</v>
      </c>
      <c r="C43">
        <f t="shared" si="1"/>
        <v>2648468.0090873428</v>
      </c>
      <c r="E43" s="6">
        <v>45323</v>
      </c>
      <c r="F43">
        <f t="shared" si="4"/>
        <v>109890679.51351714</v>
      </c>
      <c r="I43" s="2">
        <v>45108</v>
      </c>
      <c r="J43">
        <v>142799261.17868203</v>
      </c>
    </row>
    <row r="44" spans="1:10" x14ac:dyDescent="0.3">
      <c r="A44" s="1">
        <v>43508</v>
      </c>
      <c r="B44">
        <v>2135795.6358124302</v>
      </c>
      <c r="C44">
        <f t="shared" si="1"/>
        <v>2353646.7906652982</v>
      </c>
      <c r="E44" s="6">
        <v>45352</v>
      </c>
      <c r="F44">
        <f t="shared" si="4"/>
        <v>139763243.52598414</v>
      </c>
      <c r="I44" s="2">
        <v>45078</v>
      </c>
      <c r="J44">
        <v>143362233.0988372</v>
      </c>
    </row>
    <row r="45" spans="1:10" x14ac:dyDescent="0.3">
      <c r="A45" s="1">
        <v>43509</v>
      </c>
      <c r="B45">
        <v>2252256.35662738</v>
      </c>
      <c r="C45">
        <f t="shared" si="1"/>
        <v>2481986.5050033731</v>
      </c>
      <c r="E45" s="6">
        <v>45383</v>
      </c>
      <c r="F45">
        <f t="shared" si="4"/>
        <v>133921257.77226658</v>
      </c>
      <c r="I45" s="2">
        <v>45047</v>
      </c>
      <c r="J45">
        <v>143378478.32574198</v>
      </c>
    </row>
    <row r="46" spans="1:10" x14ac:dyDescent="0.3">
      <c r="A46" s="1">
        <v>43510</v>
      </c>
      <c r="B46">
        <v>1974550.0299521701</v>
      </c>
      <c r="C46">
        <f t="shared" si="1"/>
        <v>2175954.1330072917</v>
      </c>
      <c r="E46" s="6">
        <v>45413</v>
      </c>
      <c r="F46">
        <f t="shared" si="4"/>
        <v>141001416.09163544</v>
      </c>
      <c r="I46" s="2">
        <v>44774</v>
      </c>
      <c r="J46">
        <v>146970001.37257901</v>
      </c>
    </row>
    <row r="47" spans="1:10" x14ac:dyDescent="0.3">
      <c r="A47" s="1">
        <v>43511</v>
      </c>
      <c r="B47">
        <v>3317476.7908990099</v>
      </c>
      <c r="C47">
        <f t="shared" si="1"/>
        <v>3655859.4235707093</v>
      </c>
      <c r="E47" s="6">
        <v>45444</v>
      </c>
      <c r="F47">
        <f t="shared" si="4"/>
        <v>132604694.8327942</v>
      </c>
      <c r="I47" s="2">
        <v>45931</v>
      </c>
    </row>
    <row r="48" spans="1:10" x14ac:dyDescent="0.3">
      <c r="A48" s="1">
        <v>43512</v>
      </c>
      <c r="B48">
        <v>4095485.5139995199</v>
      </c>
      <c r="C48">
        <f t="shared" si="1"/>
        <v>4513225.0364274709</v>
      </c>
      <c r="E48" s="6">
        <v>45474</v>
      </c>
      <c r="F48">
        <f t="shared" si="4"/>
        <v>136293767.43705502</v>
      </c>
      <c r="I48" s="2"/>
    </row>
    <row r="49" spans="1:9" x14ac:dyDescent="0.3">
      <c r="A49" s="1">
        <v>43513</v>
      </c>
      <c r="B49">
        <v>2976761.7581758099</v>
      </c>
      <c r="C49">
        <f t="shared" si="1"/>
        <v>3280391.4575097426</v>
      </c>
      <c r="E49" s="6">
        <v>45505</v>
      </c>
      <c r="F49">
        <f t="shared" si="4"/>
        <v>132928209.85909982</v>
      </c>
      <c r="I49" s="2"/>
    </row>
    <row r="50" spans="1:9" x14ac:dyDescent="0.3">
      <c r="A50" s="1">
        <v>43514</v>
      </c>
      <c r="B50">
        <v>1771495.6321112299</v>
      </c>
      <c r="C50">
        <f t="shared" si="1"/>
        <v>1952188.1865865756</v>
      </c>
      <c r="E50" s="6">
        <v>45536</v>
      </c>
      <c r="F50">
        <f t="shared" si="4"/>
        <v>134543172.37248993</v>
      </c>
      <c r="I50" s="2"/>
    </row>
    <row r="51" spans="1:9" x14ac:dyDescent="0.3">
      <c r="A51" s="1">
        <v>43515</v>
      </c>
      <c r="B51">
        <v>2286440.2371804202</v>
      </c>
      <c r="C51">
        <f t="shared" si="1"/>
        <v>2519657.1413728232</v>
      </c>
      <c r="E51" s="6">
        <v>45566</v>
      </c>
      <c r="F51">
        <f t="shared" si="4"/>
        <v>121988864.76695865</v>
      </c>
      <c r="I51" s="2"/>
    </row>
    <row r="52" spans="1:9" x14ac:dyDescent="0.3">
      <c r="A52" s="1">
        <v>43516</v>
      </c>
      <c r="B52">
        <v>2937471.1629202301</v>
      </c>
      <c r="C52">
        <f t="shared" si="1"/>
        <v>3237093.2215380939</v>
      </c>
      <c r="E52" s="6">
        <v>45597</v>
      </c>
      <c r="F52">
        <f t="shared" si="4"/>
        <v>118033741.72323303</v>
      </c>
      <c r="I52" s="2"/>
    </row>
    <row r="53" spans="1:9" x14ac:dyDescent="0.3">
      <c r="A53" s="1">
        <v>43517</v>
      </c>
      <c r="B53">
        <v>1546703.57928481</v>
      </c>
      <c r="C53">
        <f t="shared" si="1"/>
        <v>1704467.3443718608</v>
      </c>
      <c r="E53" s="6">
        <v>45627</v>
      </c>
      <c r="F53">
        <f t="shared" si="4"/>
        <v>106752490.11150773</v>
      </c>
      <c r="I53" s="2"/>
    </row>
    <row r="54" spans="1:9" x14ac:dyDescent="0.3">
      <c r="A54" s="1">
        <v>43518</v>
      </c>
      <c r="B54">
        <v>2994722.2837498202</v>
      </c>
      <c r="C54">
        <f t="shared" si="1"/>
        <v>3300183.9566923021</v>
      </c>
      <c r="E54" s="6">
        <v>45658</v>
      </c>
      <c r="F54">
        <f t="shared" si="4"/>
        <v>105499141.49247901</v>
      </c>
      <c r="I54" s="2"/>
    </row>
    <row r="55" spans="1:9" x14ac:dyDescent="0.3">
      <c r="A55" s="1">
        <v>43519</v>
      </c>
      <c r="B55">
        <v>3642878.9908656599</v>
      </c>
      <c r="C55">
        <f t="shared" si="1"/>
        <v>4014452.6479339576</v>
      </c>
      <c r="E55" s="6">
        <v>45689</v>
      </c>
      <c r="F55">
        <f t="shared" si="4"/>
        <v>93372371.278117463</v>
      </c>
      <c r="I55" s="2"/>
    </row>
    <row r="56" spans="1:9" x14ac:dyDescent="0.3">
      <c r="A56" s="1">
        <v>43520</v>
      </c>
      <c r="B56">
        <v>3701724.4369550101</v>
      </c>
      <c r="C56">
        <f t="shared" si="1"/>
        <v>4079300.3295244216</v>
      </c>
      <c r="E56" s="6">
        <v>45717</v>
      </c>
      <c r="F56">
        <f t="shared" si="4"/>
        <v>127460342.57428432</v>
      </c>
      <c r="I56" s="2"/>
    </row>
    <row r="57" spans="1:9" x14ac:dyDescent="0.3">
      <c r="A57" s="1">
        <v>43521</v>
      </c>
      <c r="B57">
        <v>3809721.7971618799</v>
      </c>
      <c r="C57">
        <f t="shared" si="1"/>
        <v>4198313.4204723919</v>
      </c>
      <c r="E57" s="6">
        <v>45748</v>
      </c>
      <c r="F57">
        <f t="shared" si="4"/>
        <v>130101654.30037066</v>
      </c>
      <c r="I57" s="2"/>
    </row>
    <row r="58" spans="1:9" x14ac:dyDescent="0.3">
      <c r="A58" s="1">
        <v>43522</v>
      </c>
      <c r="B58">
        <v>2118980.7152557098</v>
      </c>
      <c r="C58">
        <f t="shared" si="1"/>
        <v>2335116.7482117922</v>
      </c>
      <c r="E58" s="6">
        <v>45778</v>
      </c>
      <c r="F58">
        <f t="shared" si="4"/>
        <v>128345948.9893536</v>
      </c>
    </row>
    <row r="59" spans="1:9" x14ac:dyDescent="0.3">
      <c r="A59" s="1">
        <v>43523</v>
      </c>
      <c r="B59">
        <v>2530637.1378431702</v>
      </c>
      <c r="C59">
        <f t="shared" si="1"/>
        <v>2788762.1259031738</v>
      </c>
      <c r="E59" s="6">
        <v>45809</v>
      </c>
      <c r="F59">
        <f t="shared" si="4"/>
        <v>126814219.2610908</v>
      </c>
    </row>
    <row r="60" spans="1:9" x14ac:dyDescent="0.3">
      <c r="A60" s="1">
        <v>43524</v>
      </c>
      <c r="B60">
        <v>2775305.9369086698</v>
      </c>
      <c r="C60">
        <f t="shared" si="1"/>
        <v>3058387.1424733545</v>
      </c>
      <c r="E60" s="6">
        <v>45839</v>
      </c>
      <c r="F60">
        <f t="shared" si="4"/>
        <v>123477554.84052905</v>
      </c>
    </row>
    <row r="61" spans="1:9" x14ac:dyDescent="0.3">
      <c r="A61" s="1">
        <v>43525</v>
      </c>
      <c r="B61">
        <v>3985718.44293724</v>
      </c>
      <c r="C61">
        <f t="shared" si="1"/>
        <v>4392261.7241168385</v>
      </c>
      <c r="E61" s="6">
        <v>45870</v>
      </c>
      <c r="F61">
        <f t="shared" si="4"/>
        <v>125616110.46070842</v>
      </c>
    </row>
    <row r="62" spans="1:9" x14ac:dyDescent="0.3">
      <c r="A62" s="1">
        <v>43526</v>
      </c>
      <c r="B62">
        <v>2586104.9519696399</v>
      </c>
      <c r="C62">
        <f t="shared" si="1"/>
        <v>2849887.6570705432</v>
      </c>
      <c r="E62" s="6">
        <v>45901</v>
      </c>
      <c r="F62">
        <f t="shared" si="4"/>
        <v>103061049.28921343</v>
      </c>
    </row>
    <row r="63" spans="1:9" x14ac:dyDescent="0.3">
      <c r="A63" s="1">
        <v>43527</v>
      </c>
      <c r="B63">
        <v>1968650.75743695</v>
      </c>
      <c r="C63">
        <f t="shared" si="1"/>
        <v>2169453.1346955192</v>
      </c>
      <c r="E63" s="2">
        <v>45931</v>
      </c>
    </row>
    <row r="64" spans="1:9" x14ac:dyDescent="0.3">
      <c r="A64" s="1">
        <v>43528</v>
      </c>
      <c r="B64">
        <v>2733466.9764327998</v>
      </c>
      <c r="C64">
        <f t="shared" si="1"/>
        <v>3012280.6080289455</v>
      </c>
      <c r="E64" s="2"/>
    </row>
    <row r="65" spans="1:5" x14ac:dyDescent="0.3">
      <c r="A65" s="1">
        <v>43529</v>
      </c>
      <c r="B65">
        <v>3124238.5835912498</v>
      </c>
      <c r="C65">
        <f t="shared" si="1"/>
        <v>3442910.9191175574</v>
      </c>
      <c r="E65" s="2"/>
    </row>
    <row r="66" spans="1:5" x14ac:dyDescent="0.3">
      <c r="A66" s="1">
        <v>43530</v>
      </c>
      <c r="B66">
        <v>2898927.9220110402</v>
      </c>
      <c r="C66">
        <f t="shared" si="1"/>
        <v>3194618.5700561665</v>
      </c>
      <c r="E66" s="2"/>
    </row>
    <row r="67" spans="1:5" x14ac:dyDescent="0.3">
      <c r="A67" s="1">
        <v>43531</v>
      </c>
      <c r="B67">
        <v>2919979.71924055</v>
      </c>
      <c r="C67">
        <f t="shared" ref="C67:C130" si="5">B67*1.102</f>
        <v>3217817.6506030862</v>
      </c>
      <c r="E67" s="2"/>
    </row>
    <row r="68" spans="1:5" x14ac:dyDescent="0.3">
      <c r="A68" s="1">
        <v>43532</v>
      </c>
      <c r="B68">
        <v>2463965.2112404802</v>
      </c>
      <c r="C68">
        <f t="shared" si="5"/>
        <v>2715289.6627870095</v>
      </c>
      <c r="E68" s="2"/>
    </row>
    <row r="69" spans="1:5" x14ac:dyDescent="0.3">
      <c r="A69" s="1">
        <v>43533</v>
      </c>
      <c r="B69">
        <v>4629457.55779099</v>
      </c>
      <c r="C69">
        <f t="shared" si="5"/>
        <v>5101662.2286856715</v>
      </c>
      <c r="E69" s="2"/>
    </row>
    <row r="70" spans="1:5" x14ac:dyDescent="0.3">
      <c r="A70" s="1">
        <v>43534</v>
      </c>
      <c r="B70">
        <v>1756092.9485788201</v>
      </c>
      <c r="C70">
        <f t="shared" si="5"/>
        <v>1935214.4293338598</v>
      </c>
      <c r="E70" s="2"/>
    </row>
    <row r="71" spans="1:5" x14ac:dyDescent="0.3">
      <c r="A71" s="1">
        <v>43535</v>
      </c>
      <c r="B71">
        <v>1606669.3490237</v>
      </c>
      <c r="C71">
        <f t="shared" si="5"/>
        <v>1770549.6226241176</v>
      </c>
      <c r="E71" s="2"/>
    </row>
    <row r="72" spans="1:5" x14ac:dyDescent="0.3">
      <c r="A72" s="1">
        <v>43536</v>
      </c>
      <c r="B72">
        <v>3958190.7746335599</v>
      </c>
      <c r="C72">
        <f t="shared" si="5"/>
        <v>4361926.2336461833</v>
      </c>
      <c r="E72" s="2"/>
    </row>
    <row r="73" spans="1:5" x14ac:dyDescent="0.3">
      <c r="A73" s="1">
        <v>43537</v>
      </c>
      <c r="B73">
        <v>3797058.1930852002</v>
      </c>
      <c r="C73">
        <f t="shared" si="5"/>
        <v>4184358.1287798909</v>
      </c>
      <c r="E73" s="2"/>
    </row>
    <row r="74" spans="1:5" x14ac:dyDescent="0.3">
      <c r="A74" s="1">
        <v>43538</v>
      </c>
      <c r="B74">
        <v>2439528.4860846498</v>
      </c>
      <c r="C74">
        <f t="shared" si="5"/>
        <v>2688360.3916652845</v>
      </c>
    </row>
    <row r="75" spans="1:5" x14ac:dyDescent="0.3">
      <c r="A75" s="1">
        <v>43539</v>
      </c>
      <c r="B75">
        <v>3689891.2407558402</v>
      </c>
      <c r="C75">
        <f t="shared" si="5"/>
        <v>4066260.1473129364</v>
      </c>
    </row>
    <row r="76" spans="1:5" x14ac:dyDescent="0.3">
      <c r="A76" s="1">
        <v>43540</v>
      </c>
      <c r="B76">
        <v>2509393.26155086</v>
      </c>
      <c r="C76">
        <f t="shared" si="5"/>
        <v>2765351.3742290479</v>
      </c>
    </row>
    <row r="77" spans="1:5" x14ac:dyDescent="0.3">
      <c r="A77" s="1">
        <v>43541</v>
      </c>
      <c r="B77">
        <v>2092395.8751733201</v>
      </c>
      <c r="C77">
        <f t="shared" si="5"/>
        <v>2305820.2544409991</v>
      </c>
    </row>
    <row r="78" spans="1:5" x14ac:dyDescent="0.3">
      <c r="A78" s="1">
        <v>43542</v>
      </c>
      <c r="B78">
        <v>2329435.1056245998</v>
      </c>
      <c r="C78">
        <f t="shared" si="5"/>
        <v>2567037.4863983095</v>
      </c>
    </row>
    <row r="79" spans="1:5" x14ac:dyDescent="0.3">
      <c r="A79" s="1">
        <v>43543</v>
      </c>
      <c r="B79">
        <v>2913429.6951035298</v>
      </c>
      <c r="C79">
        <f t="shared" si="5"/>
        <v>3210599.5240040901</v>
      </c>
    </row>
    <row r="80" spans="1:5" x14ac:dyDescent="0.3">
      <c r="A80" s="1">
        <v>43544</v>
      </c>
      <c r="B80">
        <v>2744813.2442534501</v>
      </c>
      <c r="C80">
        <f t="shared" si="5"/>
        <v>3024784.1951673022</v>
      </c>
    </row>
    <row r="81" spans="1:3" x14ac:dyDescent="0.3">
      <c r="A81" s="1">
        <v>43545</v>
      </c>
      <c r="B81">
        <v>2781030.4858375201</v>
      </c>
      <c r="C81">
        <f t="shared" si="5"/>
        <v>3064695.5953929476</v>
      </c>
    </row>
    <row r="82" spans="1:3" x14ac:dyDescent="0.3">
      <c r="A82" s="1">
        <v>43546</v>
      </c>
      <c r="B82">
        <v>3449961.9401723598</v>
      </c>
      <c r="C82">
        <f t="shared" si="5"/>
        <v>3801858.0580699407</v>
      </c>
    </row>
    <row r="83" spans="1:3" x14ac:dyDescent="0.3">
      <c r="A83" s="1">
        <v>43547</v>
      </c>
      <c r="B83">
        <v>4032801.1210918101</v>
      </c>
      <c r="C83">
        <f t="shared" si="5"/>
        <v>4444146.8354431754</v>
      </c>
    </row>
    <row r="84" spans="1:3" x14ac:dyDescent="0.3">
      <c r="A84" s="1">
        <v>43548</v>
      </c>
      <c r="B84">
        <v>1611047.2949969401</v>
      </c>
      <c r="C84">
        <f t="shared" si="5"/>
        <v>1775374.1190866281</v>
      </c>
    </row>
    <row r="85" spans="1:3" x14ac:dyDescent="0.3">
      <c r="A85" s="1">
        <v>43549</v>
      </c>
      <c r="B85">
        <v>1903860.2944251599</v>
      </c>
      <c r="C85">
        <f t="shared" si="5"/>
        <v>2098054.0444565266</v>
      </c>
    </row>
    <row r="86" spans="1:3" x14ac:dyDescent="0.3">
      <c r="A86" s="1">
        <v>43550</v>
      </c>
      <c r="B86">
        <v>2591585.80923993</v>
      </c>
      <c r="C86">
        <f t="shared" si="5"/>
        <v>2855927.5617824029</v>
      </c>
    </row>
    <row r="87" spans="1:3" x14ac:dyDescent="0.3">
      <c r="A87" s="1">
        <v>43551</v>
      </c>
      <c r="B87">
        <v>1424993.4456512099</v>
      </c>
      <c r="C87">
        <f t="shared" si="5"/>
        <v>1570342.7771076334</v>
      </c>
    </row>
    <row r="88" spans="1:3" x14ac:dyDescent="0.3">
      <c r="A88" s="1">
        <v>43552</v>
      </c>
      <c r="B88">
        <v>4231958.3578319997</v>
      </c>
      <c r="C88">
        <f t="shared" si="5"/>
        <v>4663618.1103308639</v>
      </c>
    </row>
    <row r="89" spans="1:3" x14ac:dyDescent="0.3">
      <c r="A89" s="1">
        <v>43553</v>
      </c>
      <c r="B89">
        <v>3577061.6295692199</v>
      </c>
      <c r="C89">
        <f t="shared" si="5"/>
        <v>3941921.9157852805</v>
      </c>
    </row>
    <row r="90" spans="1:3" x14ac:dyDescent="0.3">
      <c r="A90" s="1">
        <v>43554</v>
      </c>
      <c r="B90">
        <v>4377842.4364731004</v>
      </c>
      <c r="C90">
        <f t="shared" si="5"/>
        <v>4824382.3649933571</v>
      </c>
    </row>
    <row r="91" spans="1:3" x14ac:dyDescent="0.3">
      <c r="A91" s="1">
        <v>43555</v>
      </c>
      <c r="B91">
        <v>3898619.50139092</v>
      </c>
      <c r="C91">
        <f t="shared" si="5"/>
        <v>4296278.6905327942</v>
      </c>
    </row>
    <row r="92" spans="1:3" x14ac:dyDescent="0.3">
      <c r="A92" s="1">
        <v>43556</v>
      </c>
      <c r="B92">
        <v>2613772.8516107299</v>
      </c>
      <c r="C92">
        <f t="shared" si="5"/>
        <v>2880377.6824750248</v>
      </c>
    </row>
    <row r="93" spans="1:3" x14ac:dyDescent="0.3">
      <c r="A93" s="1">
        <v>43557</v>
      </c>
      <c r="B93">
        <v>2730397.8455182002</v>
      </c>
      <c r="C93">
        <f t="shared" si="5"/>
        <v>3008898.4257610571</v>
      </c>
    </row>
    <row r="94" spans="1:3" x14ac:dyDescent="0.3">
      <c r="A94" s="1">
        <v>43558</v>
      </c>
      <c r="B94">
        <v>2580853.7272845199</v>
      </c>
      <c r="C94">
        <f t="shared" si="5"/>
        <v>2844100.8074675412</v>
      </c>
    </row>
    <row r="95" spans="1:3" x14ac:dyDescent="0.3">
      <c r="A95" s="1">
        <v>43559</v>
      </c>
      <c r="B95">
        <v>1459677.1659007401</v>
      </c>
      <c r="C95">
        <f t="shared" si="5"/>
        <v>1608564.2368226156</v>
      </c>
    </row>
    <row r="96" spans="1:3" x14ac:dyDescent="0.3">
      <c r="A96" s="1">
        <v>43560</v>
      </c>
      <c r="B96">
        <v>3595546.8940039999</v>
      </c>
      <c r="C96">
        <f t="shared" si="5"/>
        <v>3962292.6771924081</v>
      </c>
    </row>
    <row r="97" spans="1:3" x14ac:dyDescent="0.3">
      <c r="A97" s="1">
        <v>43561</v>
      </c>
      <c r="B97">
        <v>3281199.5929516801</v>
      </c>
      <c r="C97">
        <f t="shared" si="5"/>
        <v>3615881.951432752</v>
      </c>
    </row>
    <row r="98" spans="1:3" x14ac:dyDescent="0.3">
      <c r="A98" s="1">
        <v>43562</v>
      </c>
      <c r="B98">
        <v>3206613.9502850599</v>
      </c>
      <c r="C98">
        <f t="shared" si="5"/>
        <v>3533688.5732141361</v>
      </c>
    </row>
    <row r="99" spans="1:3" x14ac:dyDescent="0.3">
      <c r="A99" s="1">
        <v>43563</v>
      </c>
      <c r="B99">
        <v>2027931.2782747301</v>
      </c>
      <c r="C99">
        <f t="shared" si="5"/>
        <v>2234780.2686587526</v>
      </c>
    </row>
    <row r="100" spans="1:3" x14ac:dyDescent="0.3">
      <c r="A100" s="1">
        <v>43564</v>
      </c>
      <c r="B100">
        <v>3780935.5310545601</v>
      </c>
      <c r="C100">
        <f t="shared" si="5"/>
        <v>4166590.9552221256</v>
      </c>
    </row>
    <row r="101" spans="1:3" x14ac:dyDescent="0.3">
      <c r="A101" s="1">
        <v>43565</v>
      </c>
      <c r="B101">
        <v>3162951.54582312</v>
      </c>
      <c r="C101">
        <f t="shared" si="5"/>
        <v>3485572.6034970786</v>
      </c>
    </row>
    <row r="102" spans="1:3" x14ac:dyDescent="0.3">
      <c r="A102" s="1">
        <v>43566</v>
      </c>
      <c r="B102">
        <v>3560228.8346831799</v>
      </c>
      <c r="C102">
        <f t="shared" si="5"/>
        <v>3923372.1758208647</v>
      </c>
    </row>
    <row r="103" spans="1:3" x14ac:dyDescent="0.3">
      <c r="A103" s="1">
        <v>43567</v>
      </c>
      <c r="B103">
        <v>3263597.0566356401</v>
      </c>
      <c r="C103">
        <f t="shared" si="5"/>
        <v>3596483.9564124756</v>
      </c>
    </row>
    <row r="104" spans="1:3" x14ac:dyDescent="0.3">
      <c r="A104" s="1">
        <v>43568</v>
      </c>
      <c r="B104">
        <v>1894105.85902608</v>
      </c>
      <c r="C104">
        <f t="shared" si="5"/>
        <v>2087304.6566467404</v>
      </c>
    </row>
    <row r="105" spans="1:3" x14ac:dyDescent="0.3">
      <c r="A105" s="1">
        <v>43569</v>
      </c>
      <c r="B105">
        <v>2372021.8447125098</v>
      </c>
      <c r="C105">
        <f t="shared" si="5"/>
        <v>2613968.0728731859</v>
      </c>
    </row>
    <row r="106" spans="1:3" x14ac:dyDescent="0.3">
      <c r="A106" s="1">
        <v>43570</v>
      </c>
      <c r="B106">
        <v>3345469.4460165598</v>
      </c>
      <c r="C106">
        <f t="shared" si="5"/>
        <v>3686707.3295102492</v>
      </c>
    </row>
    <row r="107" spans="1:3" x14ac:dyDescent="0.3">
      <c r="A107" s="1">
        <v>43571</v>
      </c>
      <c r="B107">
        <v>4024140.0657220902</v>
      </c>
      <c r="C107">
        <f t="shared" si="5"/>
        <v>4434602.3524257438</v>
      </c>
    </row>
    <row r="108" spans="1:3" x14ac:dyDescent="0.3">
      <c r="A108" s="1">
        <v>43572</v>
      </c>
      <c r="B108">
        <v>4721583.3394655697</v>
      </c>
      <c r="C108">
        <f t="shared" si="5"/>
        <v>5203184.8400910581</v>
      </c>
    </row>
    <row r="109" spans="1:3" x14ac:dyDescent="0.3">
      <c r="A109" s="1">
        <v>43573</v>
      </c>
      <c r="B109">
        <v>4266472.4442633605</v>
      </c>
      <c r="C109">
        <f t="shared" si="5"/>
        <v>4701652.6335782232</v>
      </c>
    </row>
    <row r="110" spans="1:3" x14ac:dyDescent="0.3">
      <c r="A110" s="1">
        <v>43574</v>
      </c>
      <c r="B110">
        <v>4380246.1511211405</v>
      </c>
      <c r="C110">
        <f t="shared" si="5"/>
        <v>4827031.2585354969</v>
      </c>
    </row>
    <row r="111" spans="1:3" x14ac:dyDescent="0.3">
      <c r="A111" s="1">
        <v>43575</v>
      </c>
      <c r="B111">
        <v>4339318.2990020299</v>
      </c>
      <c r="C111">
        <f t="shared" si="5"/>
        <v>4781928.7655002372</v>
      </c>
    </row>
    <row r="112" spans="1:3" x14ac:dyDescent="0.3">
      <c r="A112" s="1">
        <v>43576</v>
      </c>
      <c r="B112">
        <v>3613539.17853264</v>
      </c>
      <c r="C112">
        <f t="shared" si="5"/>
        <v>3982120.1747429697</v>
      </c>
    </row>
    <row r="113" spans="1:3" x14ac:dyDescent="0.3">
      <c r="A113" s="1">
        <v>43577</v>
      </c>
      <c r="B113">
        <v>4770308.5672563799</v>
      </c>
      <c r="C113">
        <f t="shared" si="5"/>
        <v>5256880.041116531</v>
      </c>
    </row>
    <row r="114" spans="1:3" x14ac:dyDescent="0.3">
      <c r="A114" s="1">
        <v>43578</v>
      </c>
      <c r="B114">
        <v>4166154.3921349202</v>
      </c>
      <c r="C114">
        <f t="shared" si="5"/>
        <v>4591102.1401326824</v>
      </c>
    </row>
    <row r="115" spans="1:3" x14ac:dyDescent="0.3">
      <c r="A115" s="1">
        <v>43579</v>
      </c>
      <c r="B115">
        <v>2453404.3832217101</v>
      </c>
      <c r="C115">
        <f t="shared" si="5"/>
        <v>2703651.630310325</v>
      </c>
    </row>
    <row r="116" spans="1:3" x14ac:dyDescent="0.3">
      <c r="A116" s="1">
        <v>43580</v>
      </c>
      <c r="B116">
        <v>2356236.0744340899</v>
      </c>
      <c r="C116">
        <f t="shared" si="5"/>
        <v>2596572.1540263672</v>
      </c>
    </row>
    <row r="117" spans="1:3" x14ac:dyDescent="0.3">
      <c r="A117" s="1">
        <v>43581</v>
      </c>
      <c r="B117">
        <v>2889481.9832091699</v>
      </c>
      <c r="C117">
        <f t="shared" si="5"/>
        <v>3184209.1454965053</v>
      </c>
    </row>
    <row r="118" spans="1:3" x14ac:dyDescent="0.3">
      <c r="A118" s="1">
        <v>43582</v>
      </c>
      <c r="B118">
        <v>3911741.4486136301</v>
      </c>
      <c r="C118">
        <f t="shared" si="5"/>
        <v>4310739.0763722211</v>
      </c>
    </row>
    <row r="119" spans="1:3" x14ac:dyDescent="0.3">
      <c r="A119" s="1">
        <v>43583</v>
      </c>
      <c r="B119">
        <v>4475330.9748846702</v>
      </c>
      <c r="C119">
        <f t="shared" si="5"/>
        <v>4931814.7343229074</v>
      </c>
    </row>
    <row r="120" spans="1:3" x14ac:dyDescent="0.3">
      <c r="A120" s="1">
        <v>43584</v>
      </c>
      <c r="B120">
        <v>4049242.7242424702</v>
      </c>
      <c r="C120">
        <f t="shared" si="5"/>
        <v>4462265.4821152026</v>
      </c>
    </row>
    <row r="121" spans="1:3" x14ac:dyDescent="0.3">
      <c r="A121" s="1">
        <v>43585</v>
      </c>
      <c r="B121">
        <v>3162871.9821914802</v>
      </c>
      <c r="C121">
        <f t="shared" si="5"/>
        <v>3485484.9243750116</v>
      </c>
    </row>
    <row r="122" spans="1:3" x14ac:dyDescent="0.3">
      <c r="A122" s="1">
        <v>43586</v>
      </c>
      <c r="B122">
        <v>2995487.5779199898</v>
      </c>
      <c r="C122">
        <f t="shared" si="5"/>
        <v>3301027.3108678292</v>
      </c>
    </row>
    <row r="123" spans="1:3" x14ac:dyDescent="0.3">
      <c r="A123" s="1">
        <v>43587</v>
      </c>
      <c r="B123">
        <v>3801126.1803045599</v>
      </c>
      <c r="C123">
        <f t="shared" si="5"/>
        <v>4188841.0506956251</v>
      </c>
    </row>
    <row r="124" spans="1:3" x14ac:dyDescent="0.3">
      <c r="A124" s="1">
        <v>43588</v>
      </c>
      <c r="B124">
        <v>5009156.1911770804</v>
      </c>
      <c r="C124">
        <f t="shared" si="5"/>
        <v>5520090.1226771427</v>
      </c>
    </row>
    <row r="125" spans="1:3" x14ac:dyDescent="0.3">
      <c r="A125" s="1">
        <v>43589</v>
      </c>
      <c r="B125">
        <v>5180833.0840936601</v>
      </c>
      <c r="C125">
        <f t="shared" si="5"/>
        <v>5709278.0586712137</v>
      </c>
    </row>
    <row r="126" spans="1:3" x14ac:dyDescent="0.3">
      <c r="A126" s="1">
        <v>43590</v>
      </c>
      <c r="B126">
        <v>3481300.8663208098</v>
      </c>
      <c r="C126">
        <f t="shared" si="5"/>
        <v>3836393.5546855326</v>
      </c>
    </row>
    <row r="127" spans="1:3" x14ac:dyDescent="0.3">
      <c r="A127" s="1">
        <v>43591</v>
      </c>
      <c r="B127">
        <v>3198723.06917775</v>
      </c>
      <c r="C127">
        <f t="shared" si="5"/>
        <v>3524992.8222338809</v>
      </c>
    </row>
    <row r="128" spans="1:3" x14ac:dyDescent="0.3">
      <c r="A128" s="1">
        <v>43592</v>
      </c>
      <c r="B128">
        <v>2734732.8770294902</v>
      </c>
      <c r="C128">
        <f t="shared" si="5"/>
        <v>3013675.6304864986</v>
      </c>
    </row>
    <row r="129" spans="1:3" x14ac:dyDescent="0.3">
      <c r="A129" s="1">
        <v>43593</v>
      </c>
      <c r="B129">
        <v>4085041.9535788302</v>
      </c>
      <c r="C129">
        <f t="shared" si="5"/>
        <v>4501716.2328438712</v>
      </c>
    </row>
    <row r="130" spans="1:3" x14ac:dyDescent="0.3">
      <c r="A130" s="1">
        <v>43594</v>
      </c>
      <c r="B130">
        <v>3535531.7102120901</v>
      </c>
      <c r="C130">
        <f t="shared" si="5"/>
        <v>3896155.9446537234</v>
      </c>
    </row>
    <row r="131" spans="1:3" x14ac:dyDescent="0.3">
      <c r="A131" s="1">
        <v>43595</v>
      </c>
      <c r="B131">
        <v>3144897.79511888</v>
      </c>
      <c r="C131">
        <f t="shared" ref="C131:C194" si="6">B131*1.102</f>
        <v>3465677.3702210062</v>
      </c>
    </row>
    <row r="132" spans="1:3" x14ac:dyDescent="0.3">
      <c r="A132" s="1">
        <v>43596</v>
      </c>
      <c r="B132">
        <v>3966964.5892163902</v>
      </c>
      <c r="C132">
        <f t="shared" si="6"/>
        <v>4371594.9773164624</v>
      </c>
    </row>
    <row r="133" spans="1:3" x14ac:dyDescent="0.3">
      <c r="A133" s="1">
        <v>43597</v>
      </c>
      <c r="B133">
        <v>3802311.8746145</v>
      </c>
      <c r="C133">
        <f t="shared" si="6"/>
        <v>4190147.6858251793</v>
      </c>
    </row>
    <row r="134" spans="1:3" x14ac:dyDescent="0.3">
      <c r="A134" s="1">
        <v>43598</v>
      </c>
      <c r="B134">
        <v>3019461.9572292301</v>
      </c>
      <c r="C134">
        <f t="shared" si="6"/>
        <v>3327447.0768666118</v>
      </c>
    </row>
    <row r="135" spans="1:3" x14ac:dyDescent="0.3">
      <c r="A135" s="1">
        <v>43599</v>
      </c>
      <c r="B135">
        <v>4121805.6609859699</v>
      </c>
      <c r="C135">
        <f t="shared" si="6"/>
        <v>4542229.8384065395</v>
      </c>
    </row>
    <row r="136" spans="1:3" x14ac:dyDescent="0.3">
      <c r="A136" s="1">
        <v>43600</v>
      </c>
      <c r="B136">
        <v>4657389.0523625296</v>
      </c>
      <c r="C136">
        <f t="shared" si="6"/>
        <v>5132442.7357035084</v>
      </c>
    </row>
    <row r="137" spans="1:3" x14ac:dyDescent="0.3">
      <c r="A137" s="1">
        <v>43601</v>
      </c>
      <c r="B137">
        <v>3930486.1470576702</v>
      </c>
      <c r="C137">
        <f t="shared" si="6"/>
        <v>4331395.7340575531</v>
      </c>
    </row>
    <row r="138" spans="1:3" x14ac:dyDescent="0.3">
      <c r="A138" s="1">
        <v>43602</v>
      </c>
      <c r="B138">
        <v>3998569.1846205499</v>
      </c>
      <c r="C138">
        <f t="shared" si="6"/>
        <v>4406423.2414518464</v>
      </c>
    </row>
    <row r="139" spans="1:3" x14ac:dyDescent="0.3">
      <c r="A139" s="1">
        <v>43603</v>
      </c>
      <c r="B139">
        <v>3513959.7078873101</v>
      </c>
      <c r="C139">
        <f t="shared" si="6"/>
        <v>3872383.5980918161</v>
      </c>
    </row>
    <row r="140" spans="1:3" x14ac:dyDescent="0.3">
      <c r="A140" s="1">
        <v>43604</v>
      </c>
      <c r="B140">
        <v>3751591.65747</v>
      </c>
      <c r="C140">
        <f t="shared" si="6"/>
        <v>4134254.0065319403</v>
      </c>
    </row>
    <row r="141" spans="1:3" x14ac:dyDescent="0.3">
      <c r="A141" s="1">
        <v>43605</v>
      </c>
      <c r="B141">
        <v>3674398.4755209899</v>
      </c>
      <c r="C141">
        <f t="shared" si="6"/>
        <v>4049187.1200241311</v>
      </c>
    </row>
    <row r="142" spans="1:3" x14ac:dyDescent="0.3">
      <c r="A142" s="1">
        <v>43606</v>
      </c>
      <c r="B142">
        <v>4621828.8169851899</v>
      </c>
      <c r="C142">
        <f t="shared" si="6"/>
        <v>5093255.3563176794</v>
      </c>
    </row>
    <row r="143" spans="1:3" x14ac:dyDescent="0.3">
      <c r="A143" s="1">
        <v>43607</v>
      </c>
      <c r="B143">
        <v>2754118.0940314098</v>
      </c>
      <c r="C143">
        <f t="shared" si="6"/>
        <v>3035038.1396226138</v>
      </c>
    </row>
    <row r="144" spans="1:3" x14ac:dyDescent="0.3">
      <c r="A144" s="1">
        <v>43608</v>
      </c>
      <c r="B144">
        <v>2710083.0079633002</v>
      </c>
      <c r="C144">
        <f t="shared" si="6"/>
        <v>2986511.4747755569</v>
      </c>
    </row>
    <row r="145" spans="1:3" x14ac:dyDescent="0.3">
      <c r="A145" s="1">
        <v>43609</v>
      </c>
      <c r="B145">
        <v>3681906.0392005001</v>
      </c>
      <c r="C145">
        <f t="shared" si="6"/>
        <v>4057460.4551989515</v>
      </c>
    </row>
    <row r="146" spans="1:3" x14ac:dyDescent="0.3">
      <c r="A146" s="1">
        <v>43610</v>
      </c>
      <c r="B146">
        <v>4751611.1067378595</v>
      </c>
      <c r="C146">
        <f t="shared" si="6"/>
        <v>5236275.4396251217</v>
      </c>
    </row>
    <row r="147" spans="1:3" x14ac:dyDescent="0.3">
      <c r="A147" s="1">
        <v>43611</v>
      </c>
      <c r="B147">
        <v>4580143.0894613098</v>
      </c>
      <c r="C147">
        <f t="shared" si="6"/>
        <v>5047317.6845863638</v>
      </c>
    </row>
    <row r="148" spans="1:3" x14ac:dyDescent="0.3">
      <c r="A148" s="1">
        <v>43612</v>
      </c>
      <c r="B148">
        <v>4643074.20998058</v>
      </c>
      <c r="C148">
        <f t="shared" si="6"/>
        <v>5116667.7793985996</v>
      </c>
    </row>
    <row r="149" spans="1:3" x14ac:dyDescent="0.3">
      <c r="A149" s="1">
        <v>43613</v>
      </c>
      <c r="B149">
        <v>3343183.3086304399</v>
      </c>
      <c r="C149">
        <f t="shared" si="6"/>
        <v>3684188.006110745</v>
      </c>
    </row>
    <row r="150" spans="1:3" x14ac:dyDescent="0.3">
      <c r="A150" s="1">
        <v>43614</v>
      </c>
      <c r="B150">
        <v>3348835.6518851998</v>
      </c>
      <c r="C150">
        <f t="shared" si="6"/>
        <v>3690416.8883774905</v>
      </c>
    </row>
    <row r="151" spans="1:3" x14ac:dyDescent="0.3">
      <c r="A151" s="1">
        <v>43615</v>
      </c>
      <c r="B151">
        <v>3931861.2739023999</v>
      </c>
      <c r="C151">
        <f t="shared" si="6"/>
        <v>4332911.1238404447</v>
      </c>
    </row>
    <row r="152" spans="1:3" x14ac:dyDescent="0.3">
      <c r="A152" s="1">
        <v>43616</v>
      </c>
      <c r="B152">
        <v>3409595.3952112198</v>
      </c>
      <c r="C152">
        <f t="shared" si="6"/>
        <v>3757374.1255227644</v>
      </c>
    </row>
    <row r="153" spans="1:3" x14ac:dyDescent="0.3">
      <c r="A153" s="1">
        <v>43617</v>
      </c>
      <c r="B153">
        <v>3418655.6596678402</v>
      </c>
      <c r="C153">
        <f t="shared" si="6"/>
        <v>3767358.5369539601</v>
      </c>
    </row>
    <row r="154" spans="1:3" x14ac:dyDescent="0.3">
      <c r="A154" s="1">
        <v>43618</v>
      </c>
      <c r="B154">
        <v>4383290.36938594</v>
      </c>
      <c r="C154">
        <f t="shared" si="6"/>
        <v>4830385.9870633064</v>
      </c>
    </row>
    <row r="155" spans="1:3" x14ac:dyDescent="0.3">
      <c r="A155" s="1">
        <v>43619</v>
      </c>
      <c r="B155">
        <v>5085378.1935274396</v>
      </c>
      <c r="C155">
        <f t="shared" si="6"/>
        <v>5604086.7692672387</v>
      </c>
    </row>
    <row r="156" spans="1:3" x14ac:dyDescent="0.3">
      <c r="A156" s="1">
        <v>43620</v>
      </c>
      <c r="B156">
        <v>3952420.5037910198</v>
      </c>
      <c r="C156">
        <f t="shared" si="6"/>
        <v>4355567.3951777043</v>
      </c>
    </row>
    <row r="157" spans="1:3" x14ac:dyDescent="0.3">
      <c r="A157" s="1">
        <v>43621</v>
      </c>
      <c r="B157">
        <v>3639374.77117712</v>
      </c>
      <c r="C157">
        <f t="shared" si="6"/>
        <v>4010590.9978371868</v>
      </c>
    </row>
    <row r="158" spans="1:3" x14ac:dyDescent="0.3">
      <c r="A158" s="1">
        <v>43622</v>
      </c>
      <c r="B158">
        <v>2047813.7316433799</v>
      </c>
      <c r="C158">
        <f t="shared" si="6"/>
        <v>2256690.7322710049</v>
      </c>
    </row>
    <row r="159" spans="1:3" x14ac:dyDescent="0.3">
      <c r="A159" s="1">
        <v>43623</v>
      </c>
      <c r="B159">
        <v>5204578.1251862999</v>
      </c>
      <c r="C159">
        <f t="shared" si="6"/>
        <v>5735445.0939553026</v>
      </c>
    </row>
    <row r="160" spans="1:3" x14ac:dyDescent="0.3">
      <c r="A160" s="1">
        <v>43624</v>
      </c>
      <c r="B160">
        <v>4604636.6904627904</v>
      </c>
      <c r="C160">
        <f t="shared" si="6"/>
        <v>5074309.6328899954</v>
      </c>
    </row>
    <row r="161" spans="1:3" x14ac:dyDescent="0.3">
      <c r="A161" s="1">
        <v>43625</v>
      </c>
      <c r="B161">
        <v>2413976.6281274999</v>
      </c>
      <c r="C161">
        <f t="shared" si="6"/>
        <v>2660202.2441965053</v>
      </c>
    </row>
    <row r="162" spans="1:3" x14ac:dyDescent="0.3">
      <c r="A162" s="1">
        <v>43626</v>
      </c>
      <c r="B162">
        <v>4828398.18036344</v>
      </c>
      <c r="C162">
        <f t="shared" si="6"/>
        <v>5320894.7947605113</v>
      </c>
    </row>
    <row r="163" spans="1:3" x14ac:dyDescent="0.3">
      <c r="A163" s="1">
        <v>43627</v>
      </c>
      <c r="B163">
        <v>4351457.5512605896</v>
      </c>
      <c r="C163">
        <f t="shared" si="6"/>
        <v>4795306.2214891706</v>
      </c>
    </row>
    <row r="164" spans="1:3" x14ac:dyDescent="0.3">
      <c r="A164" s="1">
        <v>43628</v>
      </c>
      <c r="B164">
        <v>3115291.9131628498</v>
      </c>
      <c r="C164">
        <f t="shared" si="6"/>
        <v>3433051.6883054608</v>
      </c>
    </row>
    <row r="165" spans="1:3" x14ac:dyDescent="0.3">
      <c r="A165" s="1">
        <v>43629</v>
      </c>
      <c r="B165">
        <v>3452715.0710875299</v>
      </c>
      <c r="C165">
        <f t="shared" si="6"/>
        <v>3804892.0083384584</v>
      </c>
    </row>
    <row r="166" spans="1:3" x14ac:dyDescent="0.3">
      <c r="A166" s="1">
        <v>43630</v>
      </c>
      <c r="B166">
        <v>3582190.73591351</v>
      </c>
      <c r="C166">
        <f t="shared" si="6"/>
        <v>3947574.1909766882</v>
      </c>
    </row>
    <row r="167" spans="1:3" x14ac:dyDescent="0.3">
      <c r="A167" s="1">
        <v>43631</v>
      </c>
      <c r="B167">
        <v>4339257.7682502205</v>
      </c>
      <c r="C167">
        <f t="shared" si="6"/>
        <v>4781862.0606117435</v>
      </c>
    </row>
    <row r="168" spans="1:3" x14ac:dyDescent="0.3">
      <c r="A168" s="1">
        <v>43632</v>
      </c>
      <c r="B168">
        <v>5203950.46205898</v>
      </c>
      <c r="C168">
        <f t="shared" si="6"/>
        <v>5734753.4091889961</v>
      </c>
    </row>
    <row r="169" spans="1:3" x14ac:dyDescent="0.3">
      <c r="A169" s="1">
        <v>43633</v>
      </c>
      <c r="B169">
        <v>3580695.3668616698</v>
      </c>
      <c r="C169">
        <f t="shared" si="6"/>
        <v>3945926.2942815605</v>
      </c>
    </row>
    <row r="170" spans="1:3" x14ac:dyDescent="0.3">
      <c r="A170" s="1">
        <v>43634</v>
      </c>
      <c r="B170">
        <v>4380283.3345687604</v>
      </c>
      <c r="C170">
        <f t="shared" si="6"/>
        <v>4827072.2346947743</v>
      </c>
    </row>
    <row r="171" spans="1:3" x14ac:dyDescent="0.3">
      <c r="A171" s="1">
        <v>43635</v>
      </c>
      <c r="B171">
        <v>2904520.99932541</v>
      </c>
      <c r="C171">
        <f t="shared" si="6"/>
        <v>3200782.141256602</v>
      </c>
    </row>
    <row r="172" spans="1:3" x14ac:dyDescent="0.3">
      <c r="A172" s="1">
        <v>43636</v>
      </c>
      <c r="B172">
        <v>2248556.9868472102</v>
      </c>
      <c r="C172">
        <f t="shared" si="6"/>
        <v>2477909.7995056259</v>
      </c>
    </row>
    <row r="173" spans="1:3" x14ac:dyDescent="0.3">
      <c r="A173" s="1">
        <v>43637</v>
      </c>
      <c r="B173">
        <v>4352313.7543363199</v>
      </c>
      <c r="C173">
        <f t="shared" si="6"/>
        <v>4796249.7572786249</v>
      </c>
    </row>
    <row r="174" spans="1:3" x14ac:dyDescent="0.3">
      <c r="A174" s="1">
        <v>43638</v>
      </c>
      <c r="B174">
        <v>2708659.1101139798</v>
      </c>
      <c r="C174">
        <f t="shared" si="6"/>
        <v>2984942.339345606</v>
      </c>
    </row>
    <row r="175" spans="1:3" x14ac:dyDescent="0.3">
      <c r="A175" s="1">
        <v>43639</v>
      </c>
      <c r="B175">
        <v>3263919.46035492</v>
      </c>
      <c r="C175">
        <f t="shared" si="6"/>
        <v>3596839.2453111219</v>
      </c>
    </row>
    <row r="176" spans="1:3" x14ac:dyDescent="0.3">
      <c r="A176" s="1">
        <v>43640</v>
      </c>
      <c r="B176">
        <v>3939591.0693298001</v>
      </c>
      <c r="C176">
        <f t="shared" si="6"/>
        <v>4341429.3584014401</v>
      </c>
    </row>
    <row r="177" spans="1:3" x14ac:dyDescent="0.3">
      <c r="A177" s="1">
        <v>43641</v>
      </c>
      <c r="B177">
        <v>4683792.33243699</v>
      </c>
      <c r="C177">
        <f t="shared" si="6"/>
        <v>5161539.150345563</v>
      </c>
    </row>
    <row r="178" spans="1:3" x14ac:dyDescent="0.3">
      <c r="A178" s="1">
        <v>43642</v>
      </c>
      <c r="B178">
        <v>4253710.2916821502</v>
      </c>
      <c r="C178">
        <f t="shared" si="6"/>
        <v>4687588.7414337303</v>
      </c>
    </row>
    <row r="179" spans="1:3" x14ac:dyDescent="0.3">
      <c r="A179" s="1">
        <v>43643</v>
      </c>
      <c r="B179">
        <v>2749116.4999011098</v>
      </c>
      <c r="C179">
        <f t="shared" si="6"/>
        <v>3029526.3828910231</v>
      </c>
    </row>
    <row r="180" spans="1:3" x14ac:dyDescent="0.3">
      <c r="A180" s="1">
        <v>43644</v>
      </c>
      <c r="B180">
        <v>4473507.6424618596</v>
      </c>
      <c r="C180">
        <f t="shared" si="6"/>
        <v>4929805.4219929697</v>
      </c>
    </row>
    <row r="181" spans="1:3" x14ac:dyDescent="0.3">
      <c r="A181" s="1">
        <v>43645</v>
      </c>
      <c r="B181">
        <v>3116195.1507737301</v>
      </c>
      <c r="C181">
        <f t="shared" si="6"/>
        <v>3434047.0561526511</v>
      </c>
    </row>
    <row r="182" spans="1:3" x14ac:dyDescent="0.3">
      <c r="A182" s="1">
        <v>43646</v>
      </c>
      <c r="B182">
        <v>4263563.2925074203</v>
      </c>
      <c r="C182">
        <f t="shared" si="6"/>
        <v>4698446.7483431771</v>
      </c>
    </row>
    <row r="183" spans="1:3" x14ac:dyDescent="0.3">
      <c r="A183" s="1">
        <v>43647</v>
      </c>
      <c r="B183">
        <v>4064355.9264114299</v>
      </c>
      <c r="C183">
        <f t="shared" si="6"/>
        <v>4478920.2309053959</v>
      </c>
    </row>
    <row r="184" spans="1:3" x14ac:dyDescent="0.3">
      <c r="A184" s="1">
        <v>43648</v>
      </c>
      <c r="B184">
        <v>2537263.86406093</v>
      </c>
      <c r="C184">
        <f t="shared" si="6"/>
        <v>2796064.7781951451</v>
      </c>
    </row>
    <row r="185" spans="1:3" x14ac:dyDescent="0.3">
      <c r="A185" s="1">
        <v>43649</v>
      </c>
      <c r="B185">
        <v>3941934.6955913301</v>
      </c>
      <c r="C185">
        <f t="shared" si="6"/>
        <v>4344012.034541646</v>
      </c>
    </row>
    <row r="186" spans="1:3" x14ac:dyDescent="0.3">
      <c r="A186" s="1">
        <v>43650</v>
      </c>
      <c r="B186">
        <v>5076584.4432731001</v>
      </c>
      <c r="C186">
        <f t="shared" si="6"/>
        <v>5594396.0564869568</v>
      </c>
    </row>
    <row r="187" spans="1:3" x14ac:dyDescent="0.3">
      <c r="A187" s="1">
        <v>43651</v>
      </c>
      <c r="B187">
        <v>5277596.1994108297</v>
      </c>
      <c r="C187">
        <f t="shared" si="6"/>
        <v>5815911.0117507344</v>
      </c>
    </row>
    <row r="188" spans="1:3" x14ac:dyDescent="0.3">
      <c r="A188" s="1">
        <v>43652</v>
      </c>
      <c r="B188">
        <v>2532096.4533417299</v>
      </c>
      <c r="C188">
        <f t="shared" si="6"/>
        <v>2790370.2915825867</v>
      </c>
    </row>
    <row r="189" spans="1:3" x14ac:dyDescent="0.3">
      <c r="A189" s="1">
        <v>43653</v>
      </c>
      <c r="B189">
        <v>3186361.9733734801</v>
      </c>
      <c r="C189">
        <f t="shared" si="6"/>
        <v>3511370.8946575755</v>
      </c>
    </row>
    <row r="190" spans="1:3" x14ac:dyDescent="0.3">
      <c r="A190" s="1">
        <v>43654</v>
      </c>
      <c r="B190">
        <v>2425126.7090451298</v>
      </c>
      <c r="C190">
        <f t="shared" si="6"/>
        <v>2672489.6333677331</v>
      </c>
    </row>
    <row r="191" spans="1:3" x14ac:dyDescent="0.3">
      <c r="A191" s="1">
        <v>43655</v>
      </c>
      <c r="B191">
        <v>3035469.0882273102</v>
      </c>
      <c r="C191">
        <f t="shared" si="6"/>
        <v>3345086.9352264963</v>
      </c>
    </row>
    <row r="192" spans="1:3" x14ac:dyDescent="0.3">
      <c r="A192" s="1">
        <v>43656</v>
      </c>
      <c r="B192">
        <v>4391420.79084488</v>
      </c>
      <c r="C192">
        <f t="shared" si="6"/>
        <v>4839345.7115110578</v>
      </c>
    </row>
    <row r="193" spans="1:3" x14ac:dyDescent="0.3">
      <c r="A193" s="1">
        <v>43657</v>
      </c>
      <c r="B193">
        <v>3031182.5366824302</v>
      </c>
      <c r="C193">
        <f t="shared" si="6"/>
        <v>3340363.1554240384</v>
      </c>
    </row>
    <row r="194" spans="1:3" x14ac:dyDescent="0.3">
      <c r="A194" s="1">
        <v>43658</v>
      </c>
      <c r="B194">
        <v>4343571.7342779096</v>
      </c>
      <c r="C194">
        <f t="shared" si="6"/>
        <v>4786616.051174257</v>
      </c>
    </row>
    <row r="195" spans="1:3" x14ac:dyDescent="0.3">
      <c r="A195" s="1">
        <v>43659</v>
      </c>
      <c r="B195">
        <v>4432473.30539589</v>
      </c>
      <c r="C195">
        <f t="shared" ref="C195:C258" si="7">B195*1.102</f>
        <v>4884585.5825462714</v>
      </c>
    </row>
    <row r="196" spans="1:3" x14ac:dyDescent="0.3">
      <c r="A196" s="1">
        <v>43660</v>
      </c>
      <c r="B196">
        <v>3237625.1586312102</v>
      </c>
      <c r="C196">
        <f t="shared" si="7"/>
        <v>3567862.9248115937</v>
      </c>
    </row>
    <row r="197" spans="1:3" x14ac:dyDescent="0.3">
      <c r="A197" s="1">
        <v>43661</v>
      </c>
      <c r="B197">
        <v>3468189.7333605099</v>
      </c>
      <c r="C197">
        <f t="shared" si="7"/>
        <v>3821945.0861632824</v>
      </c>
    </row>
    <row r="198" spans="1:3" x14ac:dyDescent="0.3">
      <c r="A198" s="1">
        <v>43662</v>
      </c>
      <c r="B198">
        <v>3553788.7171012498</v>
      </c>
      <c r="C198">
        <f t="shared" si="7"/>
        <v>3916275.1662455779</v>
      </c>
    </row>
    <row r="199" spans="1:3" x14ac:dyDescent="0.3">
      <c r="A199" s="1">
        <v>43663</v>
      </c>
      <c r="B199">
        <v>3241317.6294728299</v>
      </c>
      <c r="C199">
        <f t="shared" si="7"/>
        <v>3571932.0276790587</v>
      </c>
    </row>
    <row r="200" spans="1:3" x14ac:dyDescent="0.3">
      <c r="A200" s="1">
        <v>43664</v>
      </c>
      <c r="B200">
        <v>2581032.5966281299</v>
      </c>
      <c r="C200">
        <f t="shared" si="7"/>
        <v>2844297.9214841994</v>
      </c>
    </row>
    <row r="201" spans="1:3" x14ac:dyDescent="0.3">
      <c r="A201" s="1">
        <v>43665</v>
      </c>
      <c r="B201">
        <v>3137203.8396632201</v>
      </c>
      <c r="C201">
        <f t="shared" si="7"/>
        <v>3457198.631308869</v>
      </c>
    </row>
    <row r="202" spans="1:3" x14ac:dyDescent="0.3">
      <c r="A202" s="1">
        <v>43666</v>
      </c>
      <c r="B202">
        <v>3778290.8144167401</v>
      </c>
      <c r="C202">
        <f t="shared" si="7"/>
        <v>4163676.4774872479</v>
      </c>
    </row>
    <row r="203" spans="1:3" x14ac:dyDescent="0.3">
      <c r="A203" s="1">
        <v>43667</v>
      </c>
      <c r="B203">
        <v>3108639.7493920601</v>
      </c>
      <c r="C203">
        <f t="shared" si="7"/>
        <v>3425721.0038300506</v>
      </c>
    </row>
    <row r="204" spans="1:3" x14ac:dyDescent="0.3">
      <c r="A204" s="1">
        <v>43668</v>
      </c>
      <c r="B204">
        <v>3903002.7755208001</v>
      </c>
      <c r="C204">
        <f t="shared" si="7"/>
        <v>4301109.0586239221</v>
      </c>
    </row>
    <row r="205" spans="1:3" x14ac:dyDescent="0.3">
      <c r="A205" s="1">
        <v>43669</v>
      </c>
      <c r="B205">
        <v>4092066.0788927302</v>
      </c>
      <c r="C205">
        <f t="shared" si="7"/>
        <v>4509456.8189397892</v>
      </c>
    </row>
    <row r="206" spans="1:3" x14ac:dyDescent="0.3">
      <c r="A206" s="1">
        <v>43670</v>
      </c>
      <c r="B206">
        <v>3601195.6287985598</v>
      </c>
      <c r="C206">
        <f t="shared" si="7"/>
        <v>3968517.5829360131</v>
      </c>
    </row>
    <row r="207" spans="1:3" x14ac:dyDescent="0.3">
      <c r="A207" s="1">
        <v>43671</v>
      </c>
      <c r="B207">
        <v>3224719.88834392</v>
      </c>
      <c r="C207">
        <f t="shared" si="7"/>
        <v>3553641.3169550002</v>
      </c>
    </row>
    <row r="208" spans="1:3" x14ac:dyDescent="0.3">
      <c r="A208" s="1">
        <v>43672</v>
      </c>
      <c r="B208">
        <v>4397295.5014026603</v>
      </c>
      <c r="C208">
        <f t="shared" si="7"/>
        <v>4845819.6425457317</v>
      </c>
    </row>
    <row r="209" spans="1:3" x14ac:dyDescent="0.3">
      <c r="A209" s="1">
        <v>43673</v>
      </c>
      <c r="B209">
        <v>2133597.5034936601</v>
      </c>
      <c r="C209">
        <f t="shared" si="7"/>
        <v>2351224.4488500138</v>
      </c>
    </row>
    <row r="210" spans="1:3" x14ac:dyDescent="0.3">
      <c r="A210" s="1">
        <v>43674</v>
      </c>
      <c r="B210">
        <v>3078908.8787396802</v>
      </c>
      <c r="C210">
        <f t="shared" si="7"/>
        <v>3392957.5843711277</v>
      </c>
    </row>
    <row r="211" spans="1:3" x14ac:dyDescent="0.3">
      <c r="A211" s="1">
        <v>43675</v>
      </c>
      <c r="B211">
        <v>3684977.00145406</v>
      </c>
      <c r="C211">
        <f t="shared" si="7"/>
        <v>4060844.6556023746</v>
      </c>
    </row>
    <row r="212" spans="1:3" x14ac:dyDescent="0.3">
      <c r="A212" s="1">
        <v>43676</v>
      </c>
      <c r="B212">
        <v>3807220.3626774098</v>
      </c>
      <c r="C212">
        <f t="shared" si="7"/>
        <v>4195556.8396705063</v>
      </c>
    </row>
    <row r="213" spans="1:3" x14ac:dyDescent="0.3">
      <c r="A213" s="1">
        <v>43677</v>
      </c>
      <c r="B213">
        <v>4049712.4871883299</v>
      </c>
      <c r="C213">
        <f t="shared" si="7"/>
        <v>4462783.1608815398</v>
      </c>
    </row>
    <row r="214" spans="1:3" x14ac:dyDescent="0.3">
      <c r="A214" s="1">
        <v>43678</v>
      </c>
      <c r="B214">
        <v>3614355.5148743698</v>
      </c>
      <c r="C214">
        <f t="shared" si="7"/>
        <v>3983019.7773915557</v>
      </c>
    </row>
    <row r="215" spans="1:3" x14ac:dyDescent="0.3">
      <c r="A215" s="1">
        <v>43679</v>
      </c>
      <c r="B215">
        <v>2908749.7108366899</v>
      </c>
      <c r="C215">
        <f t="shared" si="7"/>
        <v>3205442.1813420327</v>
      </c>
    </row>
    <row r="216" spans="1:3" x14ac:dyDescent="0.3">
      <c r="A216" s="1">
        <v>43680</v>
      </c>
      <c r="B216">
        <v>4036693.8029943402</v>
      </c>
      <c r="C216">
        <f t="shared" si="7"/>
        <v>4448436.5708997631</v>
      </c>
    </row>
    <row r="217" spans="1:3" x14ac:dyDescent="0.3">
      <c r="A217" s="1">
        <v>43681</v>
      </c>
      <c r="B217">
        <v>3535944.1976993699</v>
      </c>
      <c r="C217">
        <f t="shared" si="7"/>
        <v>3896610.5058647059</v>
      </c>
    </row>
    <row r="218" spans="1:3" x14ac:dyDescent="0.3">
      <c r="A218" s="1">
        <v>43682</v>
      </c>
      <c r="B218">
        <v>2639862.0996220401</v>
      </c>
      <c r="C218">
        <f t="shared" si="7"/>
        <v>2909128.0337834884</v>
      </c>
    </row>
    <row r="219" spans="1:3" x14ac:dyDescent="0.3">
      <c r="A219" s="1">
        <v>43683</v>
      </c>
      <c r="B219">
        <v>3863072.3174203099</v>
      </c>
      <c r="C219">
        <f t="shared" si="7"/>
        <v>4257105.6937971823</v>
      </c>
    </row>
    <row r="220" spans="1:3" x14ac:dyDescent="0.3">
      <c r="A220" s="1">
        <v>43684</v>
      </c>
      <c r="B220">
        <v>3447792.5936365202</v>
      </c>
      <c r="C220">
        <f t="shared" si="7"/>
        <v>3799467.4381874455</v>
      </c>
    </row>
    <row r="221" spans="1:3" x14ac:dyDescent="0.3">
      <c r="A221" s="1">
        <v>43685</v>
      </c>
      <c r="B221">
        <v>3346668.01660774</v>
      </c>
      <c r="C221">
        <f t="shared" si="7"/>
        <v>3688028.1543017295</v>
      </c>
    </row>
    <row r="222" spans="1:3" x14ac:dyDescent="0.3">
      <c r="A222" s="1">
        <v>43686</v>
      </c>
      <c r="B222">
        <v>4872390.9295414798</v>
      </c>
      <c r="C222">
        <f t="shared" si="7"/>
        <v>5369374.8043547114</v>
      </c>
    </row>
    <row r="223" spans="1:3" x14ac:dyDescent="0.3">
      <c r="A223" s="1">
        <v>43687</v>
      </c>
      <c r="B223">
        <v>4546569.0160488999</v>
      </c>
      <c r="C223">
        <f t="shared" si="7"/>
        <v>5010319.055685888</v>
      </c>
    </row>
    <row r="224" spans="1:3" x14ac:dyDescent="0.3">
      <c r="A224" s="1">
        <v>43688</v>
      </c>
      <c r="B224">
        <v>3392035.9129324802</v>
      </c>
      <c r="C224">
        <f t="shared" si="7"/>
        <v>3738023.5760515933</v>
      </c>
    </row>
    <row r="225" spans="1:3" x14ac:dyDescent="0.3">
      <c r="A225" s="1">
        <v>43689</v>
      </c>
      <c r="B225">
        <v>3270659.6305182502</v>
      </c>
      <c r="C225">
        <f t="shared" si="7"/>
        <v>3604266.9128311118</v>
      </c>
    </row>
    <row r="226" spans="1:3" x14ac:dyDescent="0.3">
      <c r="A226" s="1">
        <v>43690</v>
      </c>
      <c r="B226">
        <v>3254544.22827033</v>
      </c>
      <c r="C226">
        <f t="shared" si="7"/>
        <v>3586507.7395539042</v>
      </c>
    </row>
    <row r="227" spans="1:3" x14ac:dyDescent="0.3">
      <c r="A227" s="1">
        <v>43691</v>
      </c>
      <c r="B227">
        <v>3247741.6121830801</v>
      </c>
      <c r="C227">
        <f t="shared" si="7"/>
        <v>3579011.2566257543</v>
      </c>
    </row>
    <row r="228" spans="1:3" x14ac:dyDescent="0.3">
      <c r="A228" s="1">
        <v>43692</v>
      </c>
      <c r="B228">
        <v>4368367.5232403101</v>
      </c>
      <c r="C228">
        <f t="shared" si="7"/>
        <v>4813941.0106108226</v>
      </c>
    </row>
    <row r="229" spans="1:3" x14ac:dyDescent="0.3">
      <c r="A229" s="1">
        <v>43693</v>
      </c>
      <c r="B229">
        <v>3259063.7636003001</v>
      </c>
      <c r="C229">
        <f t="shared" si="7"/>
        <v>3591488.2674875311</v>
      </c>
    </row>
    <row r="230" spans="1:3" x14ac:dyDescent="0.3">
      <c r="A230" s="1">
        <v>43694</v>
      </c>
      <c r="B230">
        <v>4350351.9205239899</v>
      </c>
      <c r="C230">
        <f t="shared" si="7"/>
        <v>4794087.816417437</v>
      </c>
    </row>
    <row r="231" spans="1:3" x14ac:dyDescent="0.3">
      <c r="A231" s="1">
        <v>43695</v>
      </c>
      <c r="B231">
        <v>3360112.21369786</v>
      </c>
      <c r="C231">
        <f t="shared" si="7"/>
        <v>3702843.6594950422</v>
      </c>
    </row>
    <row r="232" spans="1:3" x14ac:dyDescent="0.3">
      <c r="A232" s="1">
        <v>43696</v>
      </c>
      <c r="B232">
        <v>4001489.9023708501</v>
      </c>
      <c r="C232">
        <f t="shared" si="7"/>
        <v>4409641.8724126769</v>
      </c>
    </row>
    <row r="233" spans="1:3" x14ac:dyDescent="0.3">
      <c r="A233" s="1">
        <v>43697</v>
      </c>
      <c r="B233">
        <v>3820685.90170334</v>
      </c>
      <c r="C233">
        <f t="shared" si="7"/>
        <v>4210395.8636770807</v>
      </c>
    </row>
    <row r="234" spans="1:3" x14ac:dyDescent="0.3">
      <c r="A234" s="1">
        <v>43698</v>
      </c>
      <c r="B234">
        <v>3058728.61755173</v>
      </c>
      <c r="C234">
        <f t="shared" si="7"/>
        <v>3370718.9365420067</v>
      </c>
    </row>
    <row r="235" spans="1:3" x14ac:dyDescent="0.3">
      <c r="A235" s="1">
        <v>43699</v>
      </c>
      <c r="B235">
        <v>3068036.81428133</v>
      </c>
      <c r="C235">
        <f t="shared" si="7"/>
        <v>3380976.569338026</v>
      </c>
    </row>
    <row r="236" spans="1:3" x14ac:dyDescent="0.3">
      <c r="A236" s="1">
        <v>43700</v>
      </c>
      <c r="B236">
        <v>3432859.8565391898</v>
      </c>
      <c r="C236">
        <f t="shared" si="7"/>
        <v>3783011.5619061873</v>
      </c>
    </row>
    <row r="237" spans="1:3" x14ac:dyDescent="0.3">
      <c r="A237" s="1">
        <v>43701</v>
      </c>
      <c r="B237">
        <v>3883394.5048188199</v>
      </c>
      <c r="C237">
        <f t="shared" si="7"/>
        <v>4279500.7443103399</v>
      </c>
    </row>
    <row r="238" spans="1:3" x14ac:dyDescent="0.3">
      <c r="A238" s="1">
        <v>43702</v>
      </c>
      <c r="B238">
        <v>4313464.5045403102</v>
      </c>
      <c r="C238">
        <f t="shared" si="7"/>
        <v>4753437.8840034222</v>
      </c>
    </row>
    <row r="239" spans="1:3" x14ac:dyDescent="0.3">
      <c r="A239" s="1">
        <v>43703</v>
      </c>
      <c r="B239">
        <v>2974073.7492910698</v>
      </c>
      <c r="C239">
        <f t="shared" si="7"/>
        <v>3277429.2717187591</v>
      </c>
    </row>
    <row r="240" spans="1:3" x14ac:dyDescent="0.3">
      <c r="A240" s="1">
        <v>43704</v>
      </c>
      <c r="B240">
        <v>3554895.4309150302</v>
      </c>
      <c r="C240">
        <f t="shared" si="7"/>
        <v>3917494.7648683637</v>
      </c>
    </row>
    <row r="241" spans="1:3" x14ac:dyDescent="0.3">
      <c r="A241" s="1">
        <v>43705</v>
      </c>
      <c r="B241">
        <v>4314019.8009069599</v>
      </c>
      <c r="C241">
        <f t="shared" si="7"/>
        <v>4754049.8205994703</v>
      </c>
    </row>
    <row r="242" spans="1:3" x14ac:dyDescent="0.3">
      <c r="A242" s="1">
        <v>43706</v>
      </c>
      <c r="B242">
        <v>4371042.8765968401</v>
      </c>
      <c r="C242">
        <f t="shared" si="7"/>
        <v>4816889.2500097184</v>
      </c>
    </row>
    <row r="243" spans="1:3" x14ac:dyDescent="0.3">
      <c r="A243" s="1">
        <v>43707</v>
      </c>
      <c r="B243">
        <v>3684948.8727801</v>
      </c>
      <c r="C243">
        <f t="shared" si="7"/>
        <v>4060813.6578036705</v>
      </c>
    </row>
    <row r="244" spans="1:3" x14ac:dyDescent="0.3">
      <c r="A244" s="1">
        <v>43708</v>
      </c>
      <c r="B244">
        <v>3097969.5772260702</v>
      </c>
      <c r="C244">
        <f t="shared" si="7"/>
        <v>3413962.4741031295</v>
      </c>
    </row>
    <row r="245" spans="1:3" x14ac:dyDescent="0.3">
      <c r="A245" s="1">
        <v>43709</v>
      </c>
      <c r="B245">
        <v>2913365.4505063999</v>
      </c>
      <c r="C245">
        <f t="shared" si="7"/>
        <v>3210528.7264580531</v>
      </c>
    </row>
    <row r="246" spans="1:3" x14ac:dyDescent="0.3">
      <c r="A246" s="1">
        <v>43710</v>
      </c>
      <c r="B246">
        <v>4937616.73438597</v>
      </c>
      <c r="C246">
        <f t="shared" si="7"/>
        <v>5441253.6412933394</v>
      </c>
    </row>
    <row r="247" spans="1:3" x14ac:dyDescent="0.3">
      <c r="A247" s="1">
        <v>43711</v>
      </c>
      <c r="B247">
        <v>4251228.7959687496</v>
      </c>
      <c r="C247">
        <f t="shared" si="7"/>
        <v>4684854.1331575625</v>
      </c>
    </row>
    <row r="248" spans="1:3" x14ac:dyDescent="0.3">
      <c r="A248" s="1">
        <v>43712</v>
      </c>
      <c r="B248">
        <v>4677456.5619655801</v>
      </c>
      <c r="C248">
        <f t="shared" si="7"/>
        <v>5154557.1312860698</v>
      </c>
    </row>
    <row r="249" spans="1:3" x14ac:dyDescent="0.3">
      <c r="A249" s="1">
        <v>43713</v>
      </c>
      <c r="B249">
        <v>3709392.6977240299</v>
      </c>
      <c r="C249">
        <f t="shared" si="7"/>
        <v>4087750.7528918814</v>
      </c>
    </row>
    <row r="250" spans="1:3" x14ac:dyDescent="0.3">
      <c r="A250" s="1">
        <v>43714</v>
      </c>
      <c r="B250">
        <v>4107204.9023112198</v>
      </c>
      <c r="C250">
        <f t="shared" si="7"/>
        <v>4526139.8023469644</v>
      </c>
    </row>
    <row r="251" spans="1:3" x14ac:dyDescent="0.3">
      <c r="A251" s="1">
        <v>43715</v>
      </c>
      <c r="B251">
        <v>2638329.3717726599</v>
      </c>
      <c r="C251">
        <f t="shared" si="7"/>
        <v>2907438.9676934713</v>
      </c>
    </row>
    <row r="252" spans="1:3" x14ac:dyDescent="0.3">
      <c r="A252" s="1">
        <v>43716</v>
      </c>
      <c r="B252">
        <v>2943120.0455694702</v>
      </c>
      <c r="C252">
        <f t="shared" si="7"/>
        <v>3243318.2902175565</v>
      </c>
    </row>
    <row r="253" spans="1:3" x14ac:dyDescent="0.3">
      <c r="A253" s="1">
        <v>43717</v>
      </c>
      <c r="B253">
        <v>3165994.3895177902</v>
      </c>
      <c r="C253">
        <f t="shared" si="7"/>
        <v>3488925.8172486052</v>
      </c>
    </row>
    <row r="254" spans="1:3" x14ac:dyDescent="0.3">
      <c r="A254" s="1">
        <v>43718</v>
      </c>
      <c r="B254">
        <v>4135534.7059450499</v>
      </c>
      <c r="C254">
        <f t="shared" si="7"/>
        <v>4557359.2459514458</v>
      </c>
    </row>
    <row r="255" spans="1:3" x14ac:dyDescent="0.3">
      <c r="A255" s="1">
        <v>43719</v>
      </c>
      <c r="B255">
        <v>2377492.8080456401</v>
      </c>
      <c r="C255">
        <f t="shared" si="7"/>
        <v>2619997.0744662955</v>
      </c>
    </row>
    <row r="256" spans="1:3" x14ac:dyDescent="0.3">
      <c r="A256" s="1">
        <v>43720</v>
      </c>
      <c r="B256">
        <v>3845849.6947905398</v>
      </c>
      <c r="C256">
        <f t="shared" si="7"/>
        <v>4238126.3636591751</v>
      </c>
    </row>
    <row r="257" spans="1:3" x14ac:dyDescent="0.3">
      <c r="A257" s="1">
        <v>43721</v>
      </c>
      <c r="B257">
        <v>3556660.1930687102</v>
      </c>
      <c r="C257">
        <f t="shared" si="7"/>
        <v>3919439.5327617191</v>
      </c>
    </row>
    <row r="258" spans="1:3" x14ac:dyDescent="0.3">
      <c r="A258" s="1">
        <v>43722</v>
      </c>
      <c r="B258">
        <v>5135263.0005989298</v>
      </c>
      <c r="C258">
        <f t="shared" si="7"/>
        <v>5659059.8266600212</v>
      </c>
    </row>
    <row r="259" spans="1:3" x14ac:dyDescent="0.3">
      <c r="A259" s="1">
        <v>43723</v>
      </c>
      <c r="B259">
        <v>3044679.0417470201</v>
      </c>
      <c r="C259">
        <f t="shared" ref="C259:C322" si="8">B259*1.102</f>
        <v>3355236.3040052163</v>
      </c>
    </row>
    <row r="260" spans="1:3" x14ac:dyDescent="0.3">
      <c r="A260" s="1">
        <v>43724</v>
      </c>
      <c r="B260">
        <v>3218816.9175827801</v>
      </c>
      <c r="C260">
        <f t="shared" si="8"/>
        <v>3547136.2431762242</v>
      </c>
    </row>
    <row r="261" spans="1:3" x14ac:dyDescent="0.3">
      <c r="A261" s="1">
        <v>43725</v>
      </c>
      <c r="B261">
        <v>2491815.9717828999</v>
      </c>
      <c r="C261">
        <f t="shared" si="8"/>
        <v>2745981.2009047559</v>
      </c>
    </row>
    <row r="262" spans="1:3" x14ac:dyDescent="0.3">
      <c r="A262" s="1">
        <v>43726</v>
      </c>
      <c r="B262">
        <v>3698055.0595105002</v>
      </c>
      <c r="C262">
        <f t="shared" si="8"/>
        <v>4075256.6755805714</v>
      </c>
    </row>
    <row r="263" spans="1:3" x14ac:dyDescent="0.3">
      <c r="A263" s="1">
        <v>43727</v>
      </c>
      <c r="B263">
        <v>3657811.9216102799</v>
      </c>
      <c r="C263">
        <f t="shared" si="8"/>
        <v>4030908.7376145287</v>
      </c>
    </row>
    <row r="264" spans="1:3" x14ac:dyDescent="0.3">
      <c r="A264" s="1">
        <v>43728</v>
      </c>
      <c r="B264">
        <v>3149052.8840735801</v>
      </c>
      <c r="C264">
        <f t="shared" si="8"/>
        <v>3470256.2782490854</v>
      </c>
    </row>
    <row r="265" spans="1:3" x14ac:dyDescent="0.3">
      <c r="A265" s="1">
        <v>43729</v>
      </c>
      <c r="B265">
        <v>4736136.3994521303</v>
      </c>
      <c r="C265">
        <f t="shared" si="8"/>
        <v>5219222.3121962482</v>
      </c>
    </row>
    <row r="266" spans="1:3" x14ac:dyDescent="0.3">
      <c r="A266" s="1">
        <v>43730</v>
      </c>
      <c r="B266">
        <v>3242319.6120031201</v>
      </c>
      <c r="C266">
        <f t="shared" si="8"/>
        <v>3573036.2124274387</v>
      </c>
    </row>
    <row r="267" spans="1:3" x14ac:dyDescent="0.3">
      <c r="A267" s="1">
        <v>43731</v>
      </c>
      <c r="B267">
        <v>2781245.1137030199</v>
      </c>
      <c r="C267">
        <f t="shared" si="8"/>
        <v>3064932.115300728</v>
      </c>
    </row>
    <row r="268" spans="1:3" x14ac:dyDescent="0.3">
      <c r="A268" s="1">
        <v>43732</v>
      </c>
      <c r="B268">
        <v>2747758.9397979002</v>
      </c>
      <c r="C268">
        <f t="shared" si="8"/>
        <v>3028030.3516572863</v>
      </c>
    </row>
    <row r="269" spans="1:3" x14ac:dyDescent="0.3">
      <c r="A269" s="1">
        <v>43733</v>
      </c>
      <c r="B269">
        <v>2831344.9384818198</v>
      </c>
      <c r="C269">
        <f t="shared" si="8"/>
        <v>3120142.1222069655</v>
      </c>
    </row>
    <row r="270" spans="1:3" x14ac:dyDescent="0.3">
      <c r="A270" s="1">
        <v>43734</v>
      </c>
      <c r="B270">
        <v>4079264.1169626801</v>
      </c>
      <c r="C270">
        <f t="shared" si="8"/>
        <v>4495349.0568928737</v>
      </c>
    </row>
    <row r="271" spans="1:3" x14ac:dyDescent="0.3">
      <c r="A271" s="1">
        <v>43735</v>
      </c>
      <c r="B271">
        <v>3223044.9235944198</v>
      </c>
      <c r="C271">
        <f t="shared" si="8"/>
        <v>3551795.5058010509</v>
      </c>
    </row>
    <row r="272" spans="1:3" x14ac:dyDescent="0.3">
      <c r="A272" s="1">
        <v>43736</v>
      </c>
      <c r="B272">
        <v>3513068.5108342399</v>
      </c>
      <c r="C272">
        <f t="shared" si="8"/>
        <v>3871401.4989393326</v>
      </c>
    </row>
    <row r="273" spans="1:3" x14ac:dyDescent="0.3">
      <c r="A273" s="1">
        <v>43737</v>
      </c>
      <c r="B273">
        <v>3221510.5203966298</v>
      </c>
      <c r="C273">
        <f t="shared" si="8"/>
        <v>3550104.5934770862</v>
      </c>
    </row>
    <row r="274" spans="1:3" x14ac:dyDescent="0.3">
      <c r="A274" s="1">
        <v>43738</v>
      </c>
      <c r="B274">
        <v>3134524.8187591899</v>
      </c>
      <c r="C274">
        <f t="shared" si="8"/>
        <v>3454246.3502726275</v>
      </c>
    </row>
    <row r="275" spans="1:3" x14ac:dyDescent="0.3">
      <c r="A275" s="1">
        <v>43739</v>
      </c>
      <c r="B275">
        <v>2991209.9303044998</v>
      </c>
      <c r="C275">
        <f t="shared" si="8"/>
        <v>3296313.343195559</v>
      </c>
    </row>
    <row r="276" spans="1:3" x14ac:dyDescent="0.3">
      <c r="A276" s="1">
        <v>43740</v>
      </c>
      <c r="B276">
        <v>4157469.8575368701</v>
      </c>
      <c r="C276">
        <f t="shared" si="8"/>
        <v>4581531.7830056315</v>
      </c>
    </row>
    <row r="277" spans="1:3" x14ac:dyDescent="0.3">
      <c r="A277" s="1">
        <v>43741</v>
      </c>
      <c r="B277">
        <v>3073012.3836386399</v>
      </c>
      <c r="C277">
        <f t="shared" si="8"/>
        <v>3386459.6467697816</v>
      </c>
    </row>
    <row r="278" spans="1:3" x14ac:dyDescent="0.3">
      <c r="A278" s="1">
        <v>43742</v>
      </c>
      <c r="B278">
        <v>3458887.7719095</v>
      </c>
      <c r="C278">
        <f t="shared" si="8"/>
        <v>3811694.3246442694</v>
      </c>
    </row>
    <row r="279" spans="1:3" x14ac:dyDescent="0.3">
      <c r="A279" s="1">
        <v>43743</v>
      </c>
      <c r="B279">
        <v>2987660.8395836898</v>
      </c>
      <c r="C279">
        <f t="shared" si="8"/>
        <v>3292402.2452212265</v>
      </c>
    </row>
    <row r="280" spans="1:3" x14ac:dyDescent="0.3">
      <c r="A280" s="1">
        <v>43744</v>
      </c>
      <c r="B280">
        <v>2928110.36498548</v>
      </c>
      <c r="C280">
        <f t="shared" si="8"/>
        <v>3226777.6222139993</v>
      </c>
    </row>
    <row r="281" spans="1:3" x14ac:dyDescent="0.3">
      <c r="A281" s="1">
        <v>43745</v>
      </c>
      <c r="B281">
        <v>2731394.0396042201</v>
      </c>
      <c r="C281">
        <f t="shared" si="8"/>
        <v>3009996.2316438509</v>
      </c>
    </row>
    <row r="282" spans="1:3" x14ac:dyDescent="0.3">
      <c r="A282" s="1">
        <v>43746</v>
      </c>
      <c r="B282">
        <v>3672864.9442204498</v>
      </c>
      <c r="C282">
        <f t="shared" si="8"/>
        <v>4047497.1685309359</v>
      </c>
    </row>
    <row r="283" spans="1:3" x14ac:dyDescent="0.3">
      <c r="A283" s="1">
        <v>43747</v>
      </c>
      <c r="B283">
        <v>3423937.23271902</v>
      </c>
      <c r="C283">
        <f t="shared" si="8"/>
        <v>3773178.8304563602</v>
      </c>
    </row>
    <row r="284" spans="1:3" x14ac:dyDescent="0.3">
      <c r="A284" s="1">
        <v>43748</v>
      </c>
      <c r="B284">
        <v>2671548.1612923802</v>
      </c>
      <c r="C284">
        <f t="shared" si="8"/>
        <v>2944046.0737442034</v>
      </c>
    </row>
    <row r="285" spans="1:3" x14ac:dyDescent="0.3">
      <c r="A285" s="1">
        <v>43749</v>
      </c>
      <c r="B285">
        <v>4319252.06087799</v>
      </c>
      <c r="C285">
        <f t="shared" si="8"/>
        <v>4759815.771087545</v>
      </c>
    </row>
    <row r="286" spans="1:3" x14ac:dyDescent="0.3">
      <c r="A286" s="1">
        <v>43750</v>
      </c>
      <c r="B286">
        <v>2429989.7163209999</v>
      </c>
      <c r="C286">
        <f t="shared" si="8"/>
        <v>2677848.6673857421</v>
      </c>
    </row>
    <row r="287" spans="1:3" x14ac:dyDescent="0.3">
      <c r="A287" s="1">
        <v>43751</v>
      </c>
      <c r="B287">
        <v>4457619.8713811301</v>
      </c>
      <c r="C287">
        <f t="shared" si="8"/>
        <v>4912297.0982620055</v>
      </c>
    </row>
    <row r="288" spans="1:3" x14ac:dyDescent="0.3">
      <c r="A288" s="1">
        <v>43752</v>
      </c>
      <c r="B288">
        <v>3675521.6525857202</v>
      </c>
      <c r="C288">
        <f t="shared" si="8"/>
        <v>4050424.8611494638</v>
      </c>
    </row>
    <row r="289" spans="1:3" x14ac:dyDescent="0.3">
      <c r="A289" s="1">
        <v>43753</v>
      </c>
      <c r="B289">
        <v>3503160.89745851</v>
      </c>
      <c r="C289">
        <f t="shared" si="8"/>
        <v>3860483.3089992781</v>
      </c>
    </row>
    <row r="290" spans="1:3" x14ac:dyDescent="0.3">
      <c r="A290" s="1">
        <v>43754</v>
      </c>
      <c r="B290">
        <v>4164238.8967470201</v>
      </c>
      <c r="C290">
        <f t="shared" si="8"/>
        <v>4588991.264215216</v>
      </c>
    </row>
    <row r="291" spans="1:3" x14ac:dyDescent="0.3">
      <c r="A291" s="1">
        <v>43755</v>
      </c>
      <c r="B291">
        <v>3574751.2840936501</v>
      </c>
      <c r="C291">
        <f t="shared" si="8"/>
        <v>3939375.9150712029</v>
      </c>
    </row>
    <row r="292" spans="1:3" x14ac:dyDescent="0.3">
      <c r="A292" s="1">
        <v>43756</v>
      </c>
      <c r="B292">
        <v>4433301.4213574501</v>
      </c>
      <c r="C292">
        <f t="shared" si="8"/>
        <v>4885498.1663359106</v>
      </c>
    </row>
    <row r="293" spans="1:3" x14ac:dyDescent="0.3">
      <c r="A293" s="1">
        <v>43757</v>
      </c>
      <c r="B293">
        <v>3735027.7037388799</v>
      </c>
      <c r="C293">
        <f t="shared" si="8"/>
        <v>4116000.5295202457</v>
      </c>
    </row>
    <row r="294" spans="1:3" x14ac:dyDescent="0.3">
      <c r="A294" s="1">
        <v>43758</v>
      </c>
      <c r="B294">
        <v>3335158.1349684</v>
      </c>
      <c r="C294">
        <f t="shared" si="8"/>
        <v>3675344.2647351772</v>
      </c>
    </row>
    <row r="295" spans="1:3" x14ac:dyDescent="0.3">
      <c r="A295" s="1">
        <v>43759</v>
      </c>
      <c r="B295">
        <v>3282534.7230662201</v>
      </c>
      <c r="C295">
        <f t="shared" si="8"/>
        <v>3617353.2648189748</v>
      </c>
    </row>
    <row r="296" spans="1:3" x14ac:dyDescent="0.3">
      <c r="A296" s="1">
        <v>43760</v>
      </c>
      <c r="B296">
        <v>2746201.7699399302</v>
      </c>
      <c r="C296">
        <f t="shared" si="8"/>
        <v>3026314.3504738035</v>
      </c>
    </row>
    <row r="297" spans="1:3" x14ac:dyDescent="0.3">
      <c r="A297" s="1">
        <v>43761</v>
      </c>
      <c r="B297">
        <v>3161763.7370603899</v>
      </c>
      <c r="C297">
        <f t="shared" si="8"/>
        <v>3484263.6382405502</v>
      </c>
    </row>
    <row r="298" spans="1:3" x14ac:dyDescent="0.3">
      <c r="A298" s="1">
        <v>43762</v>
      </c>
      <c r="B298">
        <v>4219831.30021594</v>
      </c>
      <c r="C298">
        <f t="shared" si="8"/>
        <v>4650254.092837966</v>
      </c>
    </row>
    <row r="299" spans="1:3" x14ac:dyDescent="0.3">
      <c r="A299" s="1">
        <v>43763</v>
      </c>
      <c r="B299">
        <v>2393410.25339477</v>
      </c>
      <c r="C299">
        <f t="shared" si="8"/>
        <v>2637538.0992410369</v>
      </c>
    </row>
    <row r="300" spans="1:3" x14ac:dyDescent="0.3">
      <c r="A300" s="1">
        <v>43764</v>
      </c>
      <c r="B300">
        <v>3929269.9609280401</v>
      </c>
      <c r="C300">
        <f t="shared" si="8"/>
        <v>4330055.4969427008</v>
      </c>
    </row>
    <row r="301" spans="1:3" x14ac:dyDescent="0.3">
      <c r="A301" s="1">
        <v>43765</v>
      </c>
      <c r="B301">
        <v>3466350.8772216202</v>
      </c>
      <c r="C301">
        <f t="shared" si="8"/>
        <v>3819918.6666982258</v>
      </c>
    </row>
    <row r="302" spans="1:3" x14ac:dyDescent="0.3">
      <c r="A302" s="1">
        <v>43766</v>
      </c>
      <c r="B302">
        <v>3555373.9194750702</v>
      </c>
      <c r="C302">
        <f t="shared" si="8"/>
        <v>3918022.0592615278</v>
      </c>
    </row>
    <row r="303" spans="1:3" x14ac:dyDescent="0.3">
      <c r="A303" s="1">
        <v>43767</v>
      </c>
      <c r="B303">
        <v>3627825.9364551101</v>
      </c>
      <c r="C303">
        <f t="shared" si="8"/>
        <v>3997864.1819735318</v>
      </c>
    </row>
    <row r="304" spans="1:3" x14ac:dyDescent="0.3">
      <c r="A304" s="1">
        <v>43768</v>
      </c>
      <c r="B304">
        <v>3057751.4082821598</v>
      </c>
      <c r="C304">
        <f t="shared" si="8"/>
        <v>3369642.0519269402</v>
      </c>
    </row>
    <row r="305" spans="1:3" x14ac:dyDescent="0.3">
      <c r="A305" s="1">
        <v>43769</v>
      </c>
      <c r="B305">
        <v>2457440.6908254898</v>
      </c>
      <c r="C305">
        <f t="shared" si="8"/>
        <v>2708099.64128969</v>
      </c>
    </row>
    <row r="306" spans="1:3" x14ac:dyDescent="0.3">
      <c r="A306" s="1">
        <v>43770</v>
      </c>
      <c r="B306">
        <v>4098446.3036018801</v>
      </c>
      <c r="C306">
        <f t="shared" si="8"/>
        <v>4516487.8265692722</v>
      </c>
    </row>
    <row r="307" spans="1:3" x14ac:dyDescent="0.3">
      <c r="A307" s="1">
        <v>43771</v>
      </c>
      <c r="B307">
        <v>1220464.47586383</v>
      </c>
      <c r="C307">
        <f t="shared" si="8"/>
        <v>1344951.8524019406</v>
      </c>
    </row>
    <row r="308" spans="1:3" x14ac:dyDescent="0.3">
      <c r="A308" s="1">
        <v>43772</v>
      </c>
      <c r="B308">
        <v>2564049.4041808699</v>
      </c>
      <c r="C308">
        <f t="shared" si="8"/>
        <v>2825582.443407319</v>
      </c>
    </row>
    <row r="309" spans="1:3" x14ac:dyDescent="0.3">
      <c r="A309" s="1">
        <v>43773</v>
      </c>
      <c r="B309">
        <v>4248919.3788391203</v>
      </c>
      <c r="C309">
        <f t="shared" si="8"/>
        <v>4682309.1554807108</v>
      </c>
    </row>
    <row r="310" spans="1:3" x14ac:dyDescent="0.3">
      <c r="A310" s="1">
        <v>43774</v>
      </c>
      <c r="B310">
        <v>4764913.0849434501</v>
      </c>
      <c r="C310">
        <f t="shared" si="8"/>
        <v>5250934.219607682</v>
      </c>
    </row>
    <row r="311" spans="1:3" x14ac:dyDescent="0.3">
      <c r="A311" s="1">
        <v>43775</v>
      </c>
      <c r="B311">
        <v>2879544.0877171298</v>
      </c>
      <c r="C311">
        <f t="shared" si="8"/>
        <v>3173257.5846642773</v>
      </c>
    </row>
    <row r="312" spans="1:3" x14ac:dyDescent="0.3">
      <c r="A312" s="1">
        <v>43776</v>
      </c>
      <c r="B312">
        <v>3201423.27736401</v>
      </c>
      <c r="C312">
        <f t="shared" si="8"/>
        <v>3527968.4516551392</v>
      </c>
    </row>
    <row r="313" spans="1:3" x14ac:dyDescent="0.3">
      <c r="A313" s="1">
        <v>43777</v>
      </c>
      <c r="B313">
        <v>3804528.2933292799</v>
      </c>
      <c r="C313">
        <f t="shared" si="8"/>
        <v>4192590.1792488666</v>
      </c>
    </row>
    <row r="314" spans="1:3" x14ac:dyDescent="0.3">
      <c r="A314" s="1">
        <v>43778</v>
      </c>
      <c r="B314">
        <v>3589327.3833866301</v>
      </c>
      <c r="C314">
        <f t="shared" si="8"/>
        <v>3955438.7764920667</v>
      </c>
    </row>
    <row r="315" spans="1:3" x14ac:dyDescent="0.3">
      <c r="A315" s="1">
        <v>43779</v>
      </c>
      <c r="B315">
        <v>2841705.0166848199</v>
      </c>
      <c r="C315">
        <f t="shared" si="8"/>
        <v>3131558.9283866719</v>
      </c>
    </row>
    <row r="316" spans="1:3" x14ac:dyDescent="0.3">
      <c r="A316" s="1">
        <v>43780</v>
      </c>
      <c r="B316">
        <v>3266742.98354002</v>
      </c>
      <c r="C316">
        <f t="shared" si="8"/>
        <v>3599950.7678611022</v>
      </c>
    </row>
    <row r="317" spans="1:3" x14ac:dyDescent="0.3">
      <c r="A317" s="1">
        <v>43781</v>
      </c>
      <c r="B317">
        <v>2148231.61338956</v>
      </c>
      <c r="C317">
        <f t="shared" si="8"/>
        <v>2367351.2379552955</v>
      </c>
    </row>
    <row r="318" spans="1:3" x14ac:dyDescent="0.3">
      <c r="A318" s="1">
        <v>43782</v>
      </c>
      <c r="B318">
        <v>2454842.8429367798</v>
      </c>
      <c r="C318">
        <f t="shared" si="8"/>
        <v>2705236.8129163315</v>
      </c>
    </row>
    <row r="319" spans="1:3" x14ac:dyDescent="0.3">
      <c r="A319" s="1">
        <v>43783</v>
      </c>
      <c r="B319">
        <v>1741113.1267727099</v>
      </c>
      <c r="C319">
        <f t="shared" si="8"/>
        <v>1918706.6657035265</v>
      </c>
    </row>
    <row r="320" spans="1:3" x14ac:dyDescent="0.3">
      <c r="A320" s="1">
        <v>43784</v>
      </c>
      <c r="B320">
        <v>1975817.22390451</v>
      </c>
      <c r="C320">
        <f t="shared" si="8"/>
        <v>2177350.5807427703</v>
      </c>
    </row>
    <row r="321" spans="1:3" x14ac:dyDescent="0.3">
      <c r="A321" s="1">
        <v>43785</v>
      </c>
      <c r="B321">
        <v>2235437.1948403302</v>
      </c>
      <c r="C321">
        <f t="shared" si="8"/>
        <v>2463451.7887140443</v>
      </c>
    </row>
    <row r="322" spans="1:3" x14ac:dyDescent="0.3">
      <c r="A322" s="1">
        <v>43786</v>
      </c>
      <c r="B322">
        <v>1543365.7764484</v>
      </c>
      <c r="C322">
        <f t="shared" si="8"/>
        <v>1700789.0856461369</v>
      </c>
    </row>
    <row r="323" spans="1:3" x14ac:dyDescent="0.3">
      <c r="A323" s="1">
        <v>43787</v>
      </c>
      <c r="B323">
        <v>2083907.36179516</v>
      </c>
      <c r="C323">
        <f t="shared" ref="C323:C386" si="9">B323*1.102</f>
        <v>2296465.9126982666</v>
      </c>
    </row>
    <row r="324" spans="1:3" x14ac:dyDescent="0.3">
      <c r="A324" s="1">
        <v>43788</v>
      </c>
      <c r="B324">
        <v>2245397.8761883099</v>
      </c>
      <c r="C324">
        <f t="shared" si="9"/>
        <v>2474428.4595595174</v>
      </c>
    </row>
    <row r="325" spans="1:3" x14ac:dyDescent="0.3">
      <c r="A325" s="1">
        <v>43789</v>
      </c>
      <c r="B325">
        <v>1863725.2351863701</v>
      </c>
      <c r="C325">
        <f t="shared" si="9"/>
        <v>2053825.2091753799</v>
      </c>
    </row>
    <row r="326" spans="1:3" x14ac:dyDescent="0.3">
      <c r="A326" s="1">
        <v>43790</v>
      </c>
      <c r="B326">
        <v>1718827.6853020501</v>
      </c>
      <c r="C326">
        <f t="shared" si="9"/>
        <v>1894148.1092028595</v>
      </c>
    </row>
    <row r="327" spans="1:3" x14ac:dyDescent="0.3">
      <c r="A327" s="1">
        <v>43791</v>
      </c>
      <c r="B327">
        <v>2023132.01840262</v>
      </c>
      <c r="C327">
        <f t="shared" si="9"/>
        <v>2229491.4842796875</v>
      </c>
    </row>
    <row r="328" spans="1:3" x14ac:dyDescent="0.3">
      <c r="A328" s="1">
        <v>43792</v>
      </c>
      <c r="B328">
        <v>2404669.5515239802</v>
      </c>
      <c r="C328">
        <f t="shared" si="9"/>
        <v>2649945.8457794264</v>
      </c>
    </row>
    <row r="329" spans="1:3" x14ac:dyDescent="0.3">
      <c r="A329" s="1">
        <v>43793</v>
      </c>
      <c r="B329">
        <v>2153699.3118696101</v>
      </c>
      <c r="C329">
        <f t="shared" si="9"/>
        <v>2373376.6416803105</v>
      </c>
    </row>
    <row r="330" spans="1:3" x14ac:dyDescent="0.3">
      <c r="A330" s="1">
        <v>43794</v>
      </c>
      <c r="B330">
        <v>1824153.1496911601</v>
      </c>
      <c r="C330">
        <f t="shared" si="9"/>
        <v>2010216.7709596585</v>
      </c>
    </row>
    <row r="331" spans="1:3" x14ac:dyDescent="0.3">
      <c r="A331" s="1">
        <v>43795</v>
      </c>
      <c r="B331">
        <v>1938576.0853059399</v>
      </c>
      <c r="C331">
        <f t="shared" si="9"/>
        <v>2136310.8460071459</v>
      </c>
    </row>
    <row r="332" spans="1:3" x14ac:dyDescent="0.3">
      <c r="A332" s="1">
        <v>43796</v>
      </c>
      <c r="B332">
        <v>1953658.0836091901</v>
      </c>
      <c r="C332">
        <f t="shared" si="9"/>
        <v>2152931.2081373278</v>
      </c>
    </row>
    <row r="333" spans="1:3" x14ac:dyDescent="0.3">
      <c r="A333" s="1">
        <v>43797</v>
      </c>
      <c r="B333">
        <v>2792774.92085448</v>
      </c>
      <c r="C333">
        <f t="shared" si="9"/>
        <v>3077637.9627816374</v>
      </c>
    </row>
    <row r="334" spans="1:3" x14ac:dyDescent="0.3">
      <c r="A334" s="1">
        <v>43798</v>
      </c>
      <c r="B334">
        <v>2253266.2088504699</v>
      </c>
      <c r="C334">
        <f t="shared" si="9"/>
        <v>2483099.3621532181</v>
      </c>
    </row>
    <row r="335" spans="1:3" x14ac:dyDescent="0.3">
      <c r="A335" s="1">
        <v>43799</v>
      </c>
      <c r="B335">
        <v>3029783.3111195802</v>
      </c>
      <c r="C335">
        <f t="shared" si="9"/>
        <v>3338821.2088537775</v>
      </c>
    </row>
    <row r="336" spans="1:3" x14ac:dyDescent="0.3">
      <c r="A336" s="1">
        <v>43800</v>
      </c>
      <c r="B336">
        <v>1774016.92208321</v>
      </c>
      <c r="C336">
        <f t="shared" si="9"/>
        <v>1954966.6481356975</v>
      </c>
    </row>
    <row r="337" spans="1:3" x14ac:dyDescent="0.3">
      <c r="A337" s="1">
        <v>43801</v>
      </c>
      <c r="B337">
        <v>2395204.5362113998</v>
      </c>
      <c r="C337">
        <f t="shared" si="9"/>
        <v>2639515.3989049629</v>
      </c>
    </row>
    <row r="338" spans="1:3" x14ac:dyDescent="0.3">
      <c r="A338" s="1">
        <v>43802</v>
      </c>
      <c r="B338">
        <v>2772358.0879176101</v>
      </c>
      <c r="C338">
        <f t="shared" si="9"/>
        <v>3055138.6128852065</v>
      </c>
    </row>
    <row r="339" spans="1:3" x14ac:dyDescent="0.3">
      <c r="A339" s="1">
        <v>43803</v>
      </c>
      <c r="B339">
        <v>3573101.4953591502</v>
      </c>
      <c r="C339">
        <f t="shared" si="9"/>
        <v>3937557.8478857838</v>
      </c>
    </row>
    <row r="340" spans="1:3" x14ac:dyDescent="0.3">
      <c r="A340" s="1">
        <v>43804</v>
      </c>
      <c r="B340">
        <v>1254149.86465683</v>
      </c>
      <c r="C340">
        <f t="shared" si="9"/>
        <v>1382073.1508518266</v>
      </c>
    </row>
    <row r="341" spans="1:3" x14ac:dyDescent="0.3">
      <c r="A341" s="1">
        <v>43805</v>
      </c>
      <c r="B341">
        <v>1882040.9177676199</v>
      </c>
      <c r="C341">
        <f t="shared" si="9"/>
        <v>2074009.0913799175</v>
      </c>
    </row>
    <row r="342" spans="1:3" x14ac:dyDescent="0.3">
      <c r="A342" s="1">
        <v>43806</v>
      </c>
      <c r="B342">
        <v>1652042.6608488101</v>
      </c>
      <c r="C342">
        <f t="shared" si="9"/>
        <v>1820551.0122553888</v>
      </c>
    </row>
    <row r="343" spans="1:3" x14ac:dyDescent="0.3">
      <c r="A343" s="1">
        <v>43807</v>
      </c>
      <c r="B343">
        <v>2316083.4751355001</v>
      </c>
      <c r="C343">
        <f t="shared" si="9"/>
        <v>2552323.9895993215</v>
      </c>
    </row>
    <row r="344" spans="1:3" x14ac:dyDescent="0.3">
      <c r="A344" s="1">
        <v>43808</v>
      </c>
      <c r="B344">
        <v>1669659.1995951401</v>
      </c>
      <c r="C344">
        <f t="shared" si="9"/>
        <v>1839964.4379538444</v>
      </c>
    </row>
    <row r="345" spans="1:3" x14ac:dyDescent="0.3">
      <c r="A345" s="1">
        <v>43809</v>
      </c>
      <c r="B345">
        <v>3418928.8742234898</v>
      </c>
      <c r="C345">
        <f t="shared" si="9"/>
        <v>3767659.6193942861</v>
      </c>
    </row>
    <row r="346" spans="1:3" x14ac:dyDescent="0.3">
      <c r="A346" s="1">
        <v>43810</v>
      </c>
      <c r="B346">
        <v>1944991.09401766</v>
      </c>
      <c r="C346">
        <f t="shared" si="9"/>
        <v>2143380.1856074617</v>
      </c>
    </row>
    <row r="347" spans="1:3" x14ac:dyDescent="0.3">
      <c r="A347" s="1">
        <v>43811</v>
      </c>
      <c r="B347">
        <v>3194296.4023577701</v>
      </c>
      <c r="C347">
        <f t="shared" si="9"/>
        <v>3520114.6353982631</v>
      </c>
    </row>
    <row r="348" spans="1:3" x14ac:dyDescent="0.3">
      <c r="A348" s="1">
        <v>43812</v>
      </c>
      <c r="B348">
        <v>3169190.5308962502</v>
      </c>
      <c r="C348">
        <f t="shared" si="9"/>
        <v>3492447.9650476677</v>
      </c>
    </row>
    <row r="349" spans="1:3" x14ac:dyDescent="0.3">
      <c r="A349" s="1">
        <v>43813</v>
      </c>
      <c r="B349">
        <v>3499482.3064765199</v>
      </c>
      <c r="C349">
        <f t="shared" si="9"/>
        <v>3856429.5017371252</v>
      </c>
    </row>
    <row r="350" spans="1:3" x14ac:dyDescent="0.3">
      <c r="A350" s="1">
        <v>43814</v>
      </c>
      <c r="B350">
        <v>3770959.5357418898</v>
      </c>
      <c r="C350">
        <f t="shared" si="9"/>
        <v>4155597.4083875627</v>
      </c>
    </row>
    <row r="351" spans="1:3" x14ac:dyDescent="0.3">
      <c r="A351" s="1">
        <v>43815</v>
      </c>
      <c r="B351">
        <v>2466327.0063861399</v>
      </c>
      <c r="C351">
        <f t="shared" si="9"/>
        <v>2717892.3610375263</v>
      </c>
    </row>
    <row r="352" spans="1:3" x14ac:dyDescent="0.3">
      <c r="A352" s="1">
        <v>43816</v>
      </c>
      <c r="B352">
        <v>2375767.5846110899</v>
      </c>
      <c r="C352">
        <f t="shared" si="9"/>
        <v>2618095.8782414212</v>
      </c>
    </row>
    <row r="353" spans="1:3" x14ac:dyDescent="0.3">
      <c r="A353" s="1">
        <v>43817</v>
      </c>
      <c r="B353">
        <v>1780635.64316023</v>
      </c>
      <c r="C353">
        <f t="shared" si="9"/>
        <v>1962260.4787625736</v>
      </c>
    </row>
    <row r="354" spans="1:3" x14ac:dyDescent="0.3">
      <c r="A354" s="1">
        <v>43818</v>
      </c>
      <c r="B354">
        <v>1989152.9166180801</v>
      </c>
      <c r="C354">
        <f t="shared" si="9"/>
        <v>2192046.5141131245</v>
      </c>
    </row>
    <row r="355" spans="1:3" x14ac:dyDescent="0.3">
      <c r="A355" s="1">
        <v>43819</v>
      </c>
      <c r="B355">
        <v>1642819.3435531401</v>
      </c>
      <c r="C355">
        <f t="shared" si="9"/>
        <v>1810386.9165955605</v>
      </c>
    </row>
    <row r="356" spans="1:3" x14ac:dyDescent="0.3">
      <c r="A356" s="1">
        <v>43820</v>
      </c>
      <c r="B356">
        <v>2187624.2703989102</v>
      </c>
      <c r="C356">
        <f t="shared" si="9"/>
        <v>2410761.9459795994</v>
      </c>
    </row>
    <row r="357" spans="1:3" x14ac:dyDescent="0.3">
      <c r="A357" s="1">
        <v>43821</v>
      </c>
      <c r="B357">
        <v>3054750.60994372</v>
      </c>
      <c r="C357">
        <f t="shared" si="9"/>
        <v>3366335.1721579796</v>
      </c>
    </row>
    <row r="358" spans="1:3" x14ac:dyDescent="0.3">
      <c r="A358" s="1">
        <v>43822</v>
      </c>
      <c r="B358">
        <v>2126088.90554717</v>
      </c>
      <c r="C358">
        <f t="shared" si="9"/>
        <v>2342949.9739129813</v>
      </c>
    </row>
    <row r="359" spans="1:3" x14ac:dyDescent="0.3">
      <c r="A359" s="1">
        <v>43823</v>
      </c>
      <c r="B359">
        <v>2798104.4569846098</v>
      </c>
      <c r="C359">
        <f t="shared" si="9"/>
        <v>3083511.1115970402</v>
      </c>
    </row>
    <row r="360" spans="1:3" x14ac:dyDescent="0.3">
      <c r="A360" s="1">
        <v>43824</v>
      </c>
      <c r="B360">
        <v>1880236.4562870001</v>
      </c>
      <c r="C360">
        <f t="shared" si="9"/>
        <v>2072020.5748282743</v>
      </c>
    </row>
    <row r="361" spans="1:3" x14ac:dyDescent="0.3">
      <c r="A361" s="1">
        <v>43825</v>
      </c>
      <c r="B361">
        <v>2574731.2534893299</v>
      </c>
      <c r="C361">
        <f t="shared" si="9"/>
        <v>2837353.8413452418</v>
      </c>
    </row>
    <row r="362" spans="1:3" x14ac:dyDescent="0.3">
      <c r="A362" s="1">
        <v>43826</v>
      </c>
      <c r="B362">
        <v>1345077.1975219999</v>
      </c>
      <c r="C362">
        <f t="shared" si="9"/>
        <v>1482275.071669244</v>
      </c>
    </row>
    <row r="363" spans="1:3" x14ac:dyDescent="0.3">
      <c r="A363" s="1">
        <v>43827</v>
      </c>
      <c r="B363">
        <v>3480832.75140326</v>
      </c>
      <c r="C363">
        <f t="shared" si="9"/>
        <v>3835877.6920463927</v>
      </c>
    </row>
    <row r="364" spans="1:3" x14ac:dyDescent="0.3">
      <c r="A364" s="1">
        <v>43828</v>
      </c>
      <c r="B364">
        <v>2602798.3869842002</v>
      </c>
      <c r="C364">
        <f t="shared" si="9"/>
        <v>2868283.822456589</v>
      </c>
    </row>
    <row r="365" spans="1:3" x14ac:dyDescent="0.3">
      <c r="A365" s="1">
        <v>43829</v>
      </c>
      <c r="B365">
        <v>3073965.8672843101</v>
      </c>
      <c r="C365">
        <f t="shared" si="9"/>
        <v>3387510.3857473098</v>
      </c>
    </row>
    <row r="366" spans="1:3" x14ac:dyDescent="0.3">
      <c r="A366" s="1">
        <v>43830</v>
      </c>
      <c r="B366">
        <v>3242699.9710629298</v>
      </c>
      <c r="C366">
        <f t="shared" si="9"/>
        <v>3573455.3681113492</v>
      </c>
    </row>
    <row r="367" spans="1:3" x14ac:dyDescent="0.3">
      <c r="A367" s="1">
        <v>43831</v>
      </c>
      <c r="B367">
        <v>3362324.0716269198</v>
      </c>
      <c r="C367">
        <f t="shared" si="9"/>
        <v>3705281.1269328659</v>
      </c>
    </row>
    <row r="368" spans="1:3" x14ac:dyDescent="0.3">
      <c r="A368" s="1">
        <v>43832</v>
      </c>
      <c r="B368">
        <v>3590715.8962739399</v>
      </c>
      <c r="C368">
        <f t="shared" si="9"/>
        <v>3956968.9176938822</v>
      </c>
    </row>
    <row r="369" spans="1:3" x14ac:dyDescent="0.3">
      <c r="A369" s="1">
        <v>43833</v>
      </c>
      <c r="B369">
        <v>3450215.7595512499</v>
      </c>
      <c r="C369">
        <f t="shared" si="9"/>
        <v>3802137.7670254777</v>
      </c>
    </row>
    <row r="370" spans="1:3" x14ac:dyDescent="0.3">
      <c r="A370" s="1">
        <v>43834</v>
      </c>
      <c r="B370">
        <v>3205011.24469411</v>
      </c>
      <c r="C370">
        <f t="shared" si="9"/>
        <v>3531922.3916529096</v>
      </c>
    </row>
    <row r="371" spans="1:3" x14ac:dyDescent="0.3">
      <c r="A371" s="1">
        <v>43835</v>
      </c>
      <c r="B371">
        <v>3968550.2142812102</v>
      </c>
      <c r="C371">
        <f t="shared" si="9"/>
        <v>4373342.3361378936</v>
      </c>
    </row>
    <row r="372" spans="1:3" x14ac:dyDescent="0.3">
      <c r="A372" s="1">
        <v>43836</v>
      </c>
      <c r="B372">
        <v>2768970.9207129199</v>
      </c>
      <c r="C372">
        <f t="shared" si="9"/>
        <v>3051405.9546256382</v>
      </c>
    </row>
    <row r="373" spans="1:3" x14ac:dyDescent="0.3">
      <c r="A373" s="1">
        <v>43837</v>
      </c>
      <c r="B373">
        <v>1978991.6478826399</v>
      </c>
      <c r="C373">
        <f t="shared" si="9"/>
        <v>2180848.7959666695</v>
      </c>
    </row>
    <row r="374" spans="1:3" x14ac:dyDescent="0.3">
      <c r="A374" s="1">
        <v>43838</v>
      </c>
      <c r="B374">
        <v>708723.435758551</v>
      </c>
      <c r="C374">
        <f t="shared" si="9"/>
        <v>781013.22620592325</v>
      </c>
    </row>
    <row r="375" spans="1:3" x14ac:dyDescent="0.3">
      <c r="A375" s="1">
        <v>43839</v>
      </c>
      <c r="B375">
        <v>2175326.9999942002</v>
      </c>
      <c r="C375">
        <f t="shared" si="9"/>
        <v>2397210.3539936086</v>
      </c>
    </row>
    <row r="376" spans="1:3" x14ac:dyDescent="0.3">
      <c r="A376" s="1">
        <v>43840</v>
      </c>
      <c r="B376">
        <v>1853586.81144232</v>
      </c>
      <c r="C376">
        <f t="shared" si="9"/>
        <v>2042652.6662094367</v>
      </c>
    </row>
    <row r="377" spans="1:3" x14ac:dyDescent="0.3">
      <c r="A377" s="1">
        <v>43841</v>
      </c>
      <c r="B377">
        <v>2469816.8036907199</v>
      </c>
      <c r="C377">
        <f t="shared" si="9"/>
        <v>2721738.1176671735</v>
      </c>
    </row>
    <row r="378" spans="1:3" x14ac:dyDescent="0.3">
      <c r="A378" s="1">
        <v>43842</v>
      </c>
      <c r="B378">
        <v>1319092.25079737</v>
      </c>
      <c r="C378">
        <f t="shared" si="9"/>
        <v>1453639.6603787018</v>
      </c>
    </row>
    <row r="379" spans="1:3" x14ac:dyDescent="0.3">
      <c r="A379" s="1">
        <v>43843</v>
      </c>
      <c r="B379">
        <v>1380565.7228809099</v>
      </c>
      <c r="C379">
        <f t="shared" si="9"/>
        <v>1521383.4266147627</v>
      </c>
    </row>
    <row r="380" spans="1:3" x14ac:dyDescent="0.3">
      <c r="A380" s="1">
        <v>43844</v>
      </c>
      <c r="B380">
        <v>2369724.4311222201</v>
      </c>
      <c r="C380">
        <f t="shared" si="9"/>
        <v>2611436.323096687</v>
      </c>
    </row>
    <row r="381" spans="1:3" x14ac:dyDescent="0.3">
      <c r="A381" s="1">
        <v>43845</v>
      </c>
      <c r="B381">
        <v>1737925.8931796299</v>
      </c>
      <c r="C381">
        <f t="shared" si="9"/>
        <v>1915194.3342839524</v>
      </c>
    </row>
    <row r="382" spans="1:3" x14ac:dyDescent="0.3">
      <c r="A382" s="1">
        <v>43846</v>
      </c>
      <c r="B382">
        <v>1723525.2598193299</v>
      </c>
      <c r="C382">
        <f t="shared" si="9"/>
        <v>1899324.8363209018</v>
      </c>
    </row>
    <row r="383" spans="1:3" x14ac:dyDescent="0.3">
      <c r="A383" s="1">
        <v>43847</v>
      </c>
      <c r="B383">
        <v>2204995.7009674599</v>
      </c>
      <c r="C383">
        <f t="shared" si="9"/>
        <v>2429905.262466141</v>
      </c>
    </row>
    <row r="384" spans="1:3" x14ac:dyDescent="0.3">
      <c r="A384" s="1">
        <v>43848</v>
      </c>
      <c r="B384">
        <v>2750255.4283129801</v>
      </c>
      <c r="C384">
        <f t="shared" si="9"/>
        <v>3030781.4820009042</v>
      </c>
    </row>
    <row r="385" spans="1:3" x14ac:dyDescent="0.3">
      <c r="A385" s="1">
        <v>43849</v>
      </c>
      <c r="B385">
        <v>2797191.68168446</v>
      </c>
      <c r="C385">
        <f t="shared" si="9"/>
        <v>3082505.233216275</v>
      </c>
    </row>
    <row r="386" spans="1:3" x14ac:dyDescent="0.3">
      <c r="A386" s="1">
        <v>43850</v>
      </c>
      <c r="B386">
        <v>2830890.1594134201</v>
      </c>
      <c r="C386">
        <f t="shared" si="9"/>
        <v>3119640.9556735894</v>
      </c>
    </row>
    <row r="387" spans="1:3" x14ac:dyDescent="0.3">
      <c r="A387" s="1">
        <v>43851</v>
      </c>
      <c r="B387">
        <v>1865457.7594784</v>
      </c>
      <c r="C387">
        <f t="shared" ref="C387:C450" si="10">B387*1.102</f>
        <v>2055734.4509451969</v>
      </c>
    </row>
    <row r="388" spans="1:3" x14ac:dyDescent="0.3">
      <c r="A388" s="1">
        <v>43852</v>
      </c>
      <c r="B388">
        <v>2311274.5337069798</v>
      </c>
      <c r="C388">
        <f t="shared" si="10"/>
        <v>2547024.536145092</v>
      </c>
    </row>
    <row r="389" spans="1:3" x14ac:dyDescent="0.3">
      <c r="A389" s="1">
        <v>43853</v>
      </c>
      <c r="B389">
        <v>2199516.3930046801</v>
      </c>
      <c r="C389">
        <f t="shared" si="10"/>
        <v>2423867.0650911578</v>
      </c>
    </row>
    <row r="390" spans="1:3" x14ac:dyDescent="0.3">
      <c r="A390" s="1">
        <v>43854</v>
      </c>
      <c r="B390">
        <v>2538563.6706237802</v>
      </c>
      <c r="C390">
        <f t="shared" si="10"/>
        <v>2797497.1650274061</v>
      </c>
    </row>
    <row r="391" spans="1:3" x14ac:dyDescent="0.3">
      <c r="A391" s="1">
        <v>43855</v>
      </c>
      <c r="B391">
        <v>3602476.4950381499</v>
      </c>
      <c r="C391">
        <f t="shared" si="10"/>
        <v>3969929.0975320414</v>
      </c>
    </row>
    <row r="392" spans="1:3" x14ac:dyDescent="0.3">
      <c r="A392" s="1">
        <v>43856</v>
      </c>
      <c r="B392">
        <v>3489602.3634695802</v>
      </c>
      <c r="C392">
        <f t="shared" si="10"/>
        <v>3845541.8045434775</v>
      </c>
    </row>
    <row r="393" spans="1:3" x14ac:dyDescent="0.3">
      <c r="A393" s="1">
        <v>43857</v>
      </c>
      <c r="B393">
        <v>1342125.38887901</v>
      </c>
      <c r="C393">
        <f t="shared" si="10"/>
        <v>1479022.1785446692</v>
      </c>
    </row>
    <row r="394" spans="1:3" x14ac:dyDescent="0.3">
      <c r="A394" s="1">
        <v>43858</v>
      </c>
      <c r="B394">
        <v>2458825.5114354002</v>
      </c>
      <c r="C394">
        <f t="shared" si="10"/>
        <v>2709625.7136018113</v>
      </c>
    </row>
    <row r="395" spans="1:3" x14ac:dyDescent="0.3">
      <c r="A395" s="1">
        <v>43859</v>
      </c>
      <c r="B395">
        <v>1932092.11907473</v>
      </c>
      <c r="C395">
        <f t="shared" si="10"/>
        <v>2129165.5152203524</v>
      </c>
    </row>
    <row r="396" spans="1:3" x14ac:dyDescent="0.3">
      <c r="A396" s="1">
        <v>43860</v>
      </c>
      <c r="B396">
        <v>3008904.7303387099</v>
      </c>
      <c r="C396">
        <f t="shared" si="10"/>
        <v>3315813.0128332586</v>
      </c>
    </row>
    <row r="397" spans="1:3" x14ac:dyDescent="0.3">
      <c r="A397" s="1">
        <v>43861</v>
      </c>
      <c r="B397">
        <v>3529656.2907383898</v>
      </c>
      <c r="C397">
        <f t="shared" si="10"/>
        <v>3889681.2323937058</v>
      </c>
    </row>
    <row r="398" spans="1:3" x14ac:dyDescent="0.3">
      <c r="A398" s="1">
        <v>43862</v>
      </c>
      <c r="B398">
        <v>2926043.2832411299</v>
      </c>
      <c r="C398">
        <f t="shared" si="10"/>
        <v>3224499.6981317257</v>
      </c>
    </row>
    <row r="399" spans="1:3" x14ac:dyDescent="0.3">
      <c r="A399" s="1">
        <v>43863</v>
      </c>
      <c r="B399">
        <v>2028427.19230791</v>
      </c>
      <c r="C399">
        <f t="shared" si="10"/>
        <v>2235326.7659233171</v>
      </c>
    </row>
    <row r="400" spans="1:3" x14ac:dyDescent="0.3">
      <c r="A400" s="1">
        <v>43864</v>
      </c>
      <c r="B400">
        <v>3078180.5534306499</v>
      </c>
      <c r="C400">
        <f t="shared" si="10"/>
        <v>3392154.9698805767</v>
      </c>
    </row>
    <row r="401" spans="1:3" x14ac:dyDescent="0.3">
      <c r="A401" s="1">
        <v>43865</v>
      </c>
      <c r="B401">
        <v>2368284.1335563799</v>
      </c>
      <c r="C401">
        <f t="shared" si="10"/>
        <v>2609849.1151791308</v>
      </c>
    </row>
    <row r="402" spans="1:3" x14ac:dyDescent="0.3">
      <c r="A402" s="1">
        <v>43866</v>
      </c>
      <c r="B402">
        <v>2586756.8306173198</v>
      </c>
      <c r="C402">
        <f t="shared" si="10"/>
        <v>2850606.0273402869</v>
      </c>
    </row>
    <row r="403" spans="1:3" x14ac:dyDescent="0.3">
      <c r="A403" s="1">
        <v>43867</v>
      </c>
      <c r="B403">
        <v>4176355.4937106301</v>
      </c>
      <c r="C403">
        <f t="shared" si="10"/>
        <v>4602343.754069115</v>
      </c>
    </row>
    <row r="404" spans="1:3" x14ac:dyDescent="0.3">
      <c r="A404" s="1">
        <v>43868</v>
      </c>
      <c r="B404">
        <v>4216672.2177633503</v>
      </c>
      <c r="C404">
        <f t="shared" si="10"/>
        <v>4646772.7839752128</v>
      </c>
    </row>
    <row r="405" spans="1:3" x14ac:dyDescent="0.3">
      <c r="A405" s="1">
        <v>43869</v>
      </c>
      <c r="B405">
        <v>4287167.2404159298</v>
      </c>
      <c r="C405">
        <f t="shared" si="10"/>
        <v>4724458.2989383554</v>
      </c>
    </row>
    <row r="406" spans="1:3" x14ac:dyDescent="0.3">
      <c r="A406" s="1">
        <v>43870</v>
      </c>
      <c r="B406">
        <v>2653170.2591595901</v>
      </c>
      <c r="C406">
        <f t="shared" si="10"/>
        <v>2923793.6255938685</v>
      </c>
    </row>
    <row r="407" spans="1:3" x14ac:dyDescent="0.3">
      <c r="A407" s="1">
        <v>43871</v>
      </c>
      <c r="B407">
        <v>2825940.6092223502</v>
      </c>
      <c r="C407">
        <f t="shared" si="10"/>
        <v>3114186.55136303</v>
      </c>
    </row>
    <row r="408" spans="1:3" x14ac:dyDescent="0.3">
      <c r="A408" s="1">
        <v>43872</v>
      </c>
      <c r="B408">
        <v>2258250.2101934599</v>
      </c>
      <c r="C408">
        <f t="shared" si="10"/>
        <v>2488591.7316331929</v>
      </c>
    </row>
    <row r="409" spans="1:3" x14ac:dyDescent="0.3">
      <c r="A409" s="1">
        <v>43873</v>
      </c>
      <c r="B409">
        <v>2004681.4499973899</v>
      </c>
      <c r="C409">
        <f t="shared" si="10"/>
        <v>2209158.9578971239</v>
      </c>
    </row>
    <row r="410" spans="1:3" x14ac:dyDescent="0.3">
      <c r="A410" s="1">
        <v>43874</v>
      </c>
      <c r="B410">
        <v>1271589.4090447801</v>
      </c>
      <c r="C410">
        <f t="shared" si="10"/>
        <v>1401291.5287673478</v>
      </c>
    </row>
    <row r="411" spans="1:3" x14ac:dyDescent="0.3">
      <c r="A411" s="1">
        <v>43875</v>
      </c>
      <c r="B411">
        <v>1672078.7639591401</v>
      </c>
      <c r="C411">
        <f t="shared" si="10"/>
        <v>1842630.7978829725</v>
      </c>
    </row>
    <row r="412" spans="1:3" x14ac:dyDescent="0.3">
      <c r="A412" s="1">
        <v>43876</v>
      </c>
      <c r="B412">
        <v>2802702.6592920301</v>
      </c>
      <c r="C412">
        <f t="shared" si="10"/>
        <v>3088578.3305398175</v>
      </c>
    </row>
    <row r="413" spans="1:3" x14ac:dyDescent="0.3">
      <c r="A413" s="1">
        <v>43877</v>
      </c>
      <c r="B413">
        <v>2743896.8688047202</v>
      </c>
      <c r="C413">
        <f t="shared" si="10"/>
        <v>3023774.3494228018</v>
      </c>
    </row>
    <row r="414" spans="1:3" x14ac:dyDescent="0.3">
      <c r="A414" s="1">
        <v>43878</v>
      </c>
      <c r="B414">
        <v>4657923.9244267596</v>
      </c>
      <c r="C414">
        <f t="shared" si="10"/>
        <v>5133032.1647182899</v>
      </c>
    </row>
    <row r="415" spans="1:3" x14ac:dyDescent="0.3">
      <c r="A415" s="1">
        <v>43879</v>
      </c>
      <c r="B415">
        <v>3335185.6432418399</v>
      </c>
      <c r="C415">
        <f t="shared" si="10"/>
        <v>3675374.5788525078</v>
      </c>
    </row>
    <row r="416" spans="1:3" x14ac:dyDescent="0.3">
      <c r="A416" s="1">
        <v>43880</v>
      </c>
      <c r="B416">
        <v>4107454.52767555</v>
      </c>
      <c r="C416">
        <f t="shared" si="10"/>
        <v>4526414.8894984564</v>
      </c>
    </row>
    <row r="417" spans="1:3" x14ac:dyDescent="0.3">
      <c r="A417" s="1">
        <v>43881</v>
      </c>
      <c r="B417">
        <v>4190522.8694072198</v>
      </c>
      <c r="C417">
        <f t="shared" si="10"/>
        <v>4617956.2020867569</v>
      </c>
    </row>
    <row r="418" spans="1:3" x14ac:dyDescent="0.3">
      <c r="A418" s="1">
        <v>43882</v>
      </c>
      <c r="B418">
        <v>2367569.7536560302</v>
      </c>
      <c r="C418">
        <f t="shared" si="10"/>
        <v>2609061.8685289454</v>
      </c>
    </row>
    <row r="419" spans="1:3" x14ac:dyDescent="0.3">
      <c r="A419" s="1">
        <v>43883</v>
      </c>
      <c r="B419">
        <v>3991545.1395813301</v>
      </c>
      <c r="C419">
        <f t="shared" si="10"/>
        <v>4398682.7438186258</v>
      </c>
    </row>
    <row r="420" spans="1:3" x14ac:dyDescent="0.3">
      <c r="A420" s="1">
        <v>43884</v>
      </c>
      <c r="B420">
        <v>3127245.0673740902</v>
      </c>
      <c r="C420">
        <f t="shared" si="10"/>
        <v>3446224.0642462475</v>
      </c>
    </row>
    <row r="421" spans="1:3" x14ac:dyDescent="0.3">
      <c r="A421" s="1">
        <v>43885</v>
      </c>
      <c r="B421">
        <v>3745826.73782305</v>
      </c>
      <c r="C421">
        <f t="shared" si="10"/>
        <v>4127901.0650810013</v>
      </c>
    </row>
    <row r="422" spans="1:3" x14ac:dyDescent="0.3">
      <c r="A422" s="1">
        <v>43886</v>
      </c>
      <c r="B422">
        <v>3664385.52805412</v>
      </c>
      <c r="C422">
        <f t="shared" si="10"/>
        <v>4038152.8519156408</v>
      </c>
    </row>
    <row r="423" spans="1:3" x14ac:dyDescent="0.3">
      <c r="A423" s="1">
        <v>43887</v>
      </c>
      <c r="B423">
        <v>2966513.7009431198</v>
      </c>
      <c r="C423">
        <f t="shared" si="10"/>
        <v>3269098.0984393181</v>
      </c>
    </row>
    <row r="424" spans="1:3" x14ac:dyDescent="0.3">
      <c r="A424" s="1">
        <v>43888</v>
      </c>
      <c r="B424">
        <v>1578342.5925559499</v>
      </c>
      <c r="C424">
        <f t="shared" si="10"/>
        <v>1739333.536996657</v>
      </c>
    </row>
    <row r="425" spans="1:3" x14ac:dyDescent="0.3">
      <c r="A425" s="1">
        <v>43889</v>
      </c>
      <c r="B425">
        <v>2132174.56356679</v>
      </c>
      <c r="C425">
        <f t="shared" si="10"/>
        <v>2349656.3690506029</v>
      </c>
    </row>
    <row r="426" spans="1:3" x14ac:dyDescent="0.3">
      <c r="A426" s="1">
        <v>43890</v>
      </c>
      <c r="B426">
        <v>3890905.1367674302</v>
      </c>
      <c r="C426">
        <f t="shared" si="10"/>
        <v>4287777.4607177088</v>
      </c>
    </row>
    <row r="427" spans="1:3" x14ac:dyDescent="0.3">
      <c r="A427" s="1">
        <v>43891</v>
      </c>
      <c r="B427">
        <v>3347568.7459974298</v>
      </c>
      <c r="C427">
        <f t="shared" si="10"/>
        <v>3689020.758089168</v>
      </c>
    </row>
    <row r="428" spans="1:3" x14ac:dyDescent="0.3">
      <c r="A428" s="1">
        <v>43892</v>
      </c>
      <c r="B428">
        <v>4239815.1717260098</v>
      </c>
      <c r="C428">
        <f t="shared" si="10"/>
        <v>4672276.319242063</v>
      </c>
    </row>
    <row r="429" spans="1:3" x14ac:dyDescent="0.3">
      <c r="A429" s="1">
        <v>43893</v>
      </c>
      <c r="B429">
        <v>2162531.0634861998</v>
      </c>
      <c r="C429">
        <f t="shared" si="10"/>
        <v>2383109.2319617923</v>
      </c>
    </row>
    <row r="430" spans="1:3" x14ac:dyDescent="0.3">
      <c r="A430" s="1">
        <v>43894</v>
      </c>
      <c r="B430">
        <v>3156225.0262742098</v>
      </c>
      <c r="C430">
        <f t="shared" si="10"/>
        <v>3478159.9789541797</v>
      </c>
    </row>
    <row r="431" spans="1:3" x14ac:dyDescent="0.3">
      <c r="A431" s="1">
        <v>43895</v>
      </c>
      <c r="B431">
        <v>2091175.98952787</v>
      </c>
      <c r="C431">
        <f t="shared" si="10"/>
        <v>2304475.9404597129</v>
      </c>
    </row>
    <row r="432" spans="1:3" x14ac:dyDescent="0.3">
      <c r="A432" s="1">
        <v>43896</v>
      </c>
      <c r="B432">
        <v>2449212.4907310698</v>
      </c>
      <c r="C432">
        <f t="shared" si="10"/>
        <v>2699032.1647856394</v>
      </c>
    </row>
    <row r="433" spans="1:3" x14ac:dyDescent="0.3">
      <c r="A433" s="1">
        <v>43897</v>
      </c>
      <c r="B433">
        <v>4408331.10116129</v>
      </c>
      <c r="C433">
        <f t="shared" si="10"/>
        <v>4857980.8734797416</v>
      </c>
    </row>
    <row r="434" spans="1:3" x14ac:dyDescent="0.3">
      <c r="A434" s="1">
        <v>43898</v>
      </c>
      <c r="B434">
        <v>2801120.2999812001</v>
      </c>
      <c r="C434">
        <f t="shared" si="10"/>
        <v>3086834.5705792829</v>
      </c>
    </row>
    <row r="435" spans="1:3" x14ac:dyDescent="0.3">
      <c r="A435" s="1">
        <v>43899</v>
      </c>
      <c r="B435">
        <v>4560480.4301518602</v>
      </c>
      <c r="C435">
        <f t="shared" si="10"/>
        <v>5025649.4340273505</v>
      </c>
    </row>
    <row r="436" spans="1:3" x14ac:dyDescent="0.3">
      <c r="A436" s="1">
        <v>43900</v>
      </c>
      <c r="B436">
        <v>3488335.6059196298</v>
      </c>
      <c r="C436">
        <f t="shared" si="10"/>
        <v>3844145.8377234326</v>
      </c>
    </row>
    <row r="437" spans="1:3" x14ac:dyDescent="0.3">
      <c r="A437" s="1">
        <v>43901</v>
      </c>
      <c r="B437">
        <v>2359204.7167275199</v>
      </c>
      <c r="C437">
        <f t="shared" si="10"/>
        <v>2599843.597833727</v>
      </c>
    </row>
    <row r="438" spans="1:3" x14ac:dyDescent="0.3">
      <c r="A438" s="1">
        <v>43902</v>
      </c>
      <c r="B438">
        <v>3964871.8131590299</v>
      </c>
      <c r="C438">
        <f t="shared" si="10"/>
        <v>4369288.7381012514</v>
      </c>
    </row>
    <row r="439" spans="1:3" x14ac:dyDescent="0.3">
      <c r="A439" s="1">
        <v>43903</v>
      </c>
      <c r="B439">
        <v>3486440.3742104</v>
      </c>
      <c r="C439">
        <f t="shared" si="10"/>
        <v>3842057.2923798612</v>
      </c>
    </row>
    <row r="440" spans="1:3" x14ac:dyDescent="0.3">
      <c r="A440" s="1">
        <v>43904</v>
      </c>
      <c r="B440">
        <v>4463769.3213602901</v>
      </c>
      <c r="C440">
        <f t="shared" si="10"/>
        <v>4919073.7921390403</v>
      </c>
    </row>
    <row r="441" spans="1:3" x14ac:dyDescent="0.3">
      <c r="A441" s="1">
        <v>43905</v>
      </c>
      <c r="B441">
        <v>2682388.1776379799</v>
      </c>
      <c r="C441">
        <f t="shared" si="10"/>
        <v>2955991.7717570541</v>
      </c>
    </row>
    <row r="442" spans="1:3" x14ac:dyDescent="0.3">
      <c r="A442" s="1">
        <v>43906</v>
      </c>
      <c r="B442">
        <v>2178937.0528328302</v>
      </c>
      <c r="C442">
        <f t="shared" si="10"/>
        <v>2401188.6322217793</v>
      </c>
    </row>
    <row r="443" spans="1:3" x14ac:dyDescent="0.3">
      <c r="A443" s="1">
        <v>43907</v>
      </c>
      <c r="B443">
        <v>3148331.7416094299</v>
      </c>
      <c r="C443">
        <f t="shared" si="10"/>
        <v>3469461.5792535921</v>
      </c>
    </row>
    <row r="444" spans="1:3" x14ac:dyDescent="0.3">
      <c r="A444" s="1">
        <v>43908</v>
      </c>
      <c r="B444">
        <v>2677359.0912844902</v>
      </c>
      <c r="C444">
        <f t="shared" si="10"/>
        <v>2950449.7185955085</v>
      </c>
    </row>
    <row r="445" spans="1:3" x14ac:dyDescent="0.3">
      <c r="A445" s="1">
        <v>43909</v>
      </c>
      <c r="B445">
        <v>3505890.2650375301</v>
      </c>
      <c r="C445">
        <f t="shared" si="10"/>
        <v>3863491.0720713586</v>
      </c>
    </row>
    <row r="446" spans="1:3" x14ac:dyDescent="0.3">
      <c r="A446" s="1">
        <v>43910</v>
      </c>
      <c r="B446">
        <v>3156081.9607913299</v>
      </c>
      <c r="C446">
        <f t="shared" si="10"/>
        <v>3478002.3207920459</v>
      </c>
    </row>
    <row r="447" spans="1:3" x14ac:dyDescent="0.3">
      <c r="A447" s="1">
        <v>43911</v>
      </c>
      <c r="B447">
        <v>3508293.2789110802</v>
      </c>
      <c r="C447">
        <f t="shared" si="10"/>
        <v>3866139.1933600106</v>
      </c>
    </row>
    <row r="448" spans="1:3" x14ac:dyDescent="0.3">
      <c r="A448" s="1">
        <v>43912</v>
      </c>
      <c r="B448">
        <v>2554089.0784237599</v>
      </c>
      <c r="C448">
        <f t="shared" si="10"/>
        <v>2814606.1644229838</v>
      </c>
    </row>
    <row r="449" spans="1:3" x14ac:dyDescent="0.3">
      <c r="A449" s="1">
        <v>43913</v>
      </c>
      <c r="B449">
        <v>2137262.6461201101</v>
      </c>
      <c r="C449">
        <f t="shared" si="10"/>
        <v>2355263.4360243613</v>
      </c>
    </row>
    <row r="450" spans="1:3" x14ac:dyDescent="0.3">
      <c r="A450" s="1">
        <v>43914</v>
      </c>
      <c r="B450">
        <v>2169229.0309609701</v>
      </c>
      <c r="C450">
        <f t="shared" si="10"/>
        <v>2390490.392118989</v>
      </c>
    </row>
    <row r="451" spans="1:3" x14ac:dyDescent="0.3">
      <c r="A451" s="1">
        <v>43915</v>
      </c>
      <c r="B451">
        <v>1789151.0970643701</v>
      </c>
      <c r="C451">
        <f t="shared" ref="C451:C514" si="11">B451*1.102</f>
        <v>1971644.508964936</v>
      </c>
    </row>
    <row r="452" spans="1:3" x14ac:dyDescent="0.3">
      <c r="A452" s="1">
        <v>43916</v>
      </c>
      <c r="B452">
        <v>3757491.3683785098</v>
      </c>
      <c r="C452">
        <f t="shared" si="11"/>
        <v>4140755.487953118</v>
      </c>
    </row>
    <row r="453" spans="1:3" x14ac:dyDescent="0.3">
      <c r="A453" s="1">
        <v>43917</v>
      </c>
      <c r="B453">
        <v>2791642.8640594999</v>
      </c>
      <c r="C453">
        <f t="shared" si="11"/>
        <v>3076390.4361935691</v>
      </c>
    </row>
    <row r="454" spans="1:3" x14ac:dyDescent="0.3">
      <c r="A454" s="1">
        <v>43918</v>
      </c>
      <c r="B454">
        <v>3157584.3828306398</v>
      </c>
      <c r="C454">
        <f t="shared" si="11"/>
        <v>3479657.9898793655</v>
      </c>
    </row>
    <row r="455" spans="1:3" x14ac:dyDescent="0.3">
      <c r="A455" s="1">
        <v>43919</v>
      </c>
      <c r="B455">
        <v>3162424.87134872</v>
      </c>
      <c r="C455">
        <f t="shared" si="11"/>
        <v>3484992.2082262896</v>
      </c>
    </row>
    <row r="456" spans="1:3" x14ac:dyDescent="0.3">
      <c r="A456" s="1">
        <v>43920</v>
      </c>
      <c r="B456">
        <v>2767602.00652669</v>
      </c>
      <c r="C456">
        <f t="shared" si="11"/>
        <v>3049897.4111924125</v>
      </c>
    </row>
    <row r="457" spans="1:3" x14ac:dyDescent="0.3">
      <c r="A457" s="1">
        <v>43921</v>
      </c>
      <c r="B457">
        <v>3221604.88073128</v>
      </c>
      <c r="C457">
        <f t="shared" si="11"/>
        <v>3550208.5785658709</v>
      </c>
    </row>
    <row r="458" spans="1:3" x14ac:dyDescent="0.3">
      <c r="A458" s="1">
        <v>43922</v>
      </c>
      <c r="B458">
        <v>4239814.1418754803</v>
      </c>
      <c r="C458">
        <f t="shared" si="11"/>
        <v>4672275.1843467792</v>
      </c>
    </row>
    <row r="459" spans="1:3" x14ac:dyDescent="0.3">
      <c r="A459" s="1">
        <v>43923</v>
      </c>
      <c r="B459">
        <v>4869179.5479535703</v>
      </c>
      <c r="C459">
        <f t="shared" si="11"/>
        <v>5365835.8618448349</v>
      </c>
    </row>
    <row r="460" spans="1:3" x14ac:dyDescent="0.3">
      <c r="A460" s="1">
        <v>43924</v>
      </c>
      <c r="B460">
        <v>4648767.27769743</v>
      </c>
      <c r="C460">
        <f t="shared" si="11"/>
        <v>5122941.5400225678</v>
      </c>
    </row>
    <row r="461" spans="1:3" x14ac:dyDescent="0.3">
      <c r="A461" s="1">
        <v>43925</v>
      </c>
      <c r="B461">
        <v>3279876.35394732</v>
      </c>
      <c r="C461">
        <f t="shared" si="11"/>
        <v>3614423.7420499469</v>
      </c>
    </row>
    <row r="462" spans="1:3" x14ac:dyDescent="0.3">
      <c r="A462" s="1">
        <v>43926</v>
      </c>
      <c r="B462">
        <v>4663441.7046996001</v>
      </c>
      <c r="C462">
        <f t="shared" si="11"/>
        <v>5139112.7585789599</v>
      </c>
    </row>
    <row r="463" spans="1:3" x14ac:dyDescent="0.3">
      <c r="A463" s="1">
        <v>43927</v>
      </c>
      <c r="B463">
        <v>4049261.88586616</v>
      </c>
      <c r="C463">
        <f t="shared" si="11"/>
        <v>4462286.5982245086</v>
      </c>
    </row>
    <row r="464" spans="1:3" x14ac:dyDescent="0.3">
      <c r="A464" s="1">
        <v>43928</v>
      </c>
      <c r="B464">
        <v>3052714.2099686898</v>
      </c>
      <c r="C464">
        <f t="shared" si="11"/>
        <v>3364091.0593854967</v>
      </c>
    </row>
    <row r="465" spans="1:3" x14ac:dyDescent="0.3">
      <c r="A465" s="1">
        <v>43929</v>
      </c>
      <c r="B465">
        <v>3950188.1741722599</v>
      </c>
      <c r="C465">
        <f t="shared" si="11"/>
        <v>4353107.3679378303</v>
      </c>
    </row>
    <row r="466" spans="1:3" x14ac:dyDescent="0.3">
      <c r="A466" s="1">
        <v>43930</v>
      </c>
      <c r="B466">
        <v>4803890.5246846797</v>
      </c>
      <c r="C466">
        <f t="shared" si="11"/>
        <v>5293887.358202517</v>
      </c>
    </row>
    <row r="467" spans="1:3" x14ac:dyDescent="0.3">
      <c r="A467" s="1">
        <v>43931</v>
      </c>
      <c r="B467">
        <v>2862013.5840933402</v>
      </c>
      <c r="C467">
        <f t="shared" si="11"/>
        <v>3153938.969670861</v>
      </c>
    </row>
    <row r="468" spans="1:3" x14ac:dyDescent="0.3">
      <c r="A468" s="1">
        <v>43932</v>
      </c>
      <c r="B468">
        <v>4724381.6043252703</v>
      </c>
      <c r="C468">
        <f t="shared" si="11"/>
        <v>5206268.5279664481</v>
      </c>
    </row>
    <row r="469" spans="1:3" x14ac:dyDescent="0.3">
      <c r="A469" s="1">
        <v>43933</v>
      </c>
      <c r="B469">
        <v>4777083.3378562201</v>
      </c>
      <c r="C469">
        <f t="shared" si="11"/>
        <v>5264345.8383175554</v>
      </c>
    </row>
    <row r="470" spans="1:3" x14ac:dyDescent="0.3">
      <c r="A470" s="1">
        <v>43934</v>
      </c>
      <c r="B470">
        <v>3978820.8423307701</v>
      </c>
      <c r="C470">
        <f t="shared" si="11"/>
        <v>4384660.5682485094</v>
      </c>
    </row>
    <row r="471" spans="1:3" x14ac:dyDescent="0.3">
      <c r="A471" s="1">
        <v>43935</v>
      </c>
      <c r="B471">
        <v>3841658.0102260001</v>
      </c>
      <c r="C471">
        <f t="shared" si="11"/>
        <v>4233507.1272690529</v>
      </c>
    </row>
    <row r="472" spans="1:3" x14ac:dyDescent="0.3">
      <c r="A472" s="1">
        <v>43936</v>
      </c>
      <c r="B472">
        <v>2693887.6244298099</v>
      </c>
      <c r="C472">
        <f t="shared" si="11"/>
        <v>2968664.1621216508</v>
      </c>
    </row>
    <row r="473" spans="1:3" x14ac:dyDescent="0.3">
      <c r="A473" s="1">
        <v>43937</v>
      </c>
      <c r="B473">
        <v>2786686.4690238498</v>
      </c>
      <c r="C473">
        <f t="shared" si="11"/>
        <v>3070928.4888642826</v>
      </c>
    </row>
    <row r="474" spans="1:3" x14ac:dyDescent="0.3">
      <c r="A474" s="1">
        <v>43938</v>
      </c>
      <c r="B474">
        <v>3769002.2890564799</v>
      </c>
      <c r="C474">
        <f t="shared" si="11"/>
        <v>4153440.522540241</v>
      </c>
    </row>
    <row r="475" spans="1:3" x14ac:dyDescent="0.3">
      <c r="A475" s="1">
        <v>43939</v>
      </c>
      <c r="B475">
        <v>3560699.5384375299</v>
      </c>
      <c r="C475">
        <f t="shared" si="11"/>
        <v>3923890.8913581581</v>
      </c>
    </row>
    <row r="476" spans="1:3" x14ac:dyDescent="0.3">
      <c r="A476" s="1">
        <v>43940</v>
      </c>
      <c r="B476">
        <v>4094607.3391616</v>
      </c>
      <c r="C476">
        <f t="shared" si="11"/>
        <v>4512257.2877560835</v>
      </c>
    </row>
    <row r="477" spans="1:3" x14ac:dyDescent="0.3">
      <c r="A477" s="1">
        <v>43941</v>
      </c>
      <c r="B477">
        <v>4440217.3287632596</v>
      </c>
      <c r="C477">
        <f t="shared" si="11"/>
        <v>4893119.4962971127</v>
      </c>
    </row>
    <row r="478" spans="1:3" x14ac:dyDescent="0.3">
      <c r="A478" s="1">
        <v>43942</v>
      </c>
      <c r="B478">
        <v>3976722.1139623402</v>
      </c>
      <c r="C478">
        <f t="shared" si="11"/>
        <v>4382347.7695864988</v>
      </c>
    </row>
    <row r="479" spans="1:3" x14ac:dyDescent="0.3">
      <c r="A479" s="1">
        <v>43943</v>
      </c>
      <c r="B479">
        <v>2191673.4069566699</v>
      </c>
      <c r="C479">
        <f t="shared" si="11"/>
        <v>2415224.0944662504</v>
      </c>
    </row>
    <row r="480" spans="1:3" x14ac:dyDescent="0.3">
      <c r="A480" s="1">
        <v>43944</v>
      </c>
      <c r="B480">
        <v>3216129.2193325302</v>
      </c>
      <c r="C480">
        <f t="shared" si="11"/>
        <v>3544174.3997044484</v>
      </c>
    </row>
    <row r="481" spans="1:3" x14ac:dyDescent="0.3">
      <c r="A481" s="1">
        <v>43945</v>
      </c>
      <c r="B481">
        <v>4433012.6128394501</v>
      </c>
      <c r="C481">
        <f t="shared" si="11"/>
        <v>4885179.8993490748</v>
      </c>
    </row>
    <row r="482" spans="1:3" x14ac:dyDescent="0.3">
      <c r="A482" s="1">
        <v>43946</v>
      </c>
      <c r="B482">
        <v>3067558.62088155</v>
      </c>
      <c r="C482">
        <f t="shared" si="11"/>
        <v>3380449.6002114685</v>
      </c>
    </row>
    <row r="483" spans="1:3" x14ac:dyDescent="0.3">
      <c r="A483" s="1">
        <v>43947</v>
      </c>
      <c r="B483">
        <v>4757151.6080621798</v>
      </c>
      <c r="C483">
        <f t="shared" si="11"/>
        <v>5242381.0720845228</v>
      </c>
    </row>
    <row r="484" spans="1:3" x14ac:dyDescent="0.3">
      <c r="A484" s="1">
        <v>43948</v>
      </c>
      <c r="B484">
        <v>2178046.8564241999</v>
      </c>
      <c r="C484">
        <f t="shared" si="11"/>
        <v>2400207.6357794683</v>
      </c>
    </row>
    <row r="485" spans="1:3" x14ac:dyDescent="0.3">
      <c r="A485" s="1">
        <v>43949</v>
      </c>
      <c r="B485">
        <v>3726630.7486817301</v>
      </c>
      <c r="C485">
        <f t="shared" si="11"/>
        <v>4106747.0850472669</v>
      </c>
    </row>
    <row r="486" spans="1:3" x14ac:dyDescent="0.3">
      <c r="A486" s="1">
        <v>43950</v>
      </c>
      <c r="B486">
        <v>3076989.37658661</v>
      </c>
      <c r="C486">
        <f t="shared" si="11"/>
        <v>3390842.2929984443</v>
      </c>
    </row>
    <row r="487" spans="1:3" x14ac:dyDescent="0.3">
      <c r="A487" s="1">
        <v>43951</v>
      </c>
      <c r="B487">
        <v>4200056.70198726</v>
      </c>
      <c r="C487">
        <f t="shared" si="11"/>
        <v>4628462.4855899606</v>
      </c>
    </row>
    <row r="488" spans="1:3" x14ac:dyDescent="0.3">
      <c r="A488" s="1">
        <v>43952</v>
      </c>
      <c r="B488">
        <v>5167005.0595827801</v>
      </c>
      <c r="C488">
        <f t="shared" si="11"/>
        <v>5694039.5756602241</v>
      </c>
    </row>
    <row r="489" spans="1:3" x14ac:dyDescent="0.3">
      <c r="A489" s="1">
        <v>43953</v>
      </c>
      <c r="B489">
        <v>4960432.6904444396</v>
      </c>
      <c r="C489">
        <f t="shared" si="11"/>
        <v>5466396.8248697734</v>
      </c>
    </row>
    <row r="490" spans="1:3" x14ac:dyDescent="0.3">
      <c r="A490" s="1">
        <v>43954</v>
      </c>
      <c r="B490">
        <v>4150895.2980730999</v>
      </c>
      <c r="C490">
        <f t="shared" si="11"/>
        <v>4574286.6184765566</v>
      </c>
    </row>
    <row r="491" spans="1:3" x14ac:dyDescent="0.3">
      <c r="A491" s="1">
        <v>43955</v>
      </c>
      <c r="B491">
        <v>3762907.2825417402</v>
      </c>
      <c r="C491">
        <f t="shared" si="11"/>
        <v>4146723.825360998</v>
      </c>
    </row>
    <row r="492" spans="1:3" x14ac:dyDescent="0.3">
      <c r="A492" s="1">
        <v>43956</v>
      </c>
      <c r="B492">
        <v>3367910.8084818302</v>
      </c>
      <c r="C492">
        <f t="shared" si="11"/>
        <v>3711437.7109469771</v>
      </c>
    </row>
    <row r="493" spans="1:3" x14ac:dyDescent="0.3">
      <c r="A493" s="1">
        <v>43957</v>
      </c>
      <c r="B493">
        <v>4984011.5167726697</v>
      </c>
      <c r="C493">
        <f t="shared" si="11"/>
        <v>5492380.6914834827</v>
      </c>
    </row>
    <row r="494" spans="1:3" x14ac:dyDescent="0.3">
      <c r="A494" s="1">
        <v>43958</v>
      </c>
      <c r="B494">
        <v>2283130.2628492401</v>
      </c>
      <c r="C494">
        <f t="shared" si="11"/>
        <v>2516009.5496598626</v>
      </c>
    </row>
    <row r="495" spans="1:3" x14ac:dyDescent="0.3">
      <c r="A495" s="1">
        <v>43959</v>
      </c>
      <c r="B495">
        <v>4097137.3058288</v>
      </c>
      <c r="C495">
        <f t="shared" si="11"/>
        <v>4515045.3110233378</v>
      </c>
    </row>
    <row r="496" spans="1:3" x14ac:dyDescent="0.3">
      <c r="A496" s="1">
        <v>43960</v>
      </c>
      <c r="B496">
        <v>3337850.9863312999</v>
      </c>
      <c r="C496">
        <f t="shared" si="11"/>
        <v>3678311.7869370929</v>
      </c>
    </row>
    <row r="497" spans="1:3" x14ac:dyDescent="0.3">
      <c r="A497" s="1">
        <v>43961</v>
      </c>
      <c r="B497">
        <v>2604377.1352319601</v>
      </c>
      <c r="C497">
        <f t="shared" si="11"/>
        <v>2870023.6030256203</v>
      </c>
    </row>
    <row r="498" spans="1:3" x14ac:dyDescent="0.3">
      <c r="A498" s="1">
        <v>43962</v>
      </c>
      <c r="B498">
        <v>4452618.9891697196</v>
      </c>
      <c r="C498">
        <f t="shared" si="11"/>
        <v>4906786.1260650316</v>
      </c>
    </row>
    <row r="499" spans="1:3" x14ac:dyDescent="0.3">
      <c r="A499" s="1">
        <v>43963</v>
      </c>
      <c r="B499">
        <v>3161813.5996203902</v>
      </c>
      <c r="C499">
        <f t="shared" si="11"/>
        <v>3484318.5867816703</v>
      </c>
    </row>
    <row r="500" spans="1:3" x14ac:dyDescent="0.3">
      <c r="A500" s="1">
        <v>43964</v>
      </c>
      <c r="B500">
        <v>3193634.6851266399</v>
      </c>
      <c r="C500">
        <f t="shared" si="11"/>
        <v>3519385.4230095576</v>
      </c>
    </row>
    <row r="501" spans="1:3" x14ac:dyDescent="0.3">
      <c r="A501" s="1">
        <v>43965</v>
      </c>
      <c r="B501">
        <v>3713884.8175245901</v>
      </c>
      <c r="C501">
        <f t="shared" si="11"/>
        <v>4092701.0689120986</v>
      </c>
    </row>
    <row r="502" spans="1:3" x14ac:dyDescent="0.3">
      <c r="A502" s="1">
        <v>43966</v>
      </c>
      <c r="B502">
        <v>4111724.6397017702</v>
      </c>
      <c r="C502">
        <f t="shared" si="11"/>
        <v>4531120.5529513508</v>
      </c>
    </row>
    <row r="503" spans="1:3" x14ac:dyDescent="0.3">
      <c r="A503" s="1">
        <v>43967</v>
      </c>
      <c r="B503">
        <v>3798676.3872450599</v>
      </c>
      <c r="C503">
        <f t="shared" si="11"/>
        <v>4186141.3787440564</v>
      </c>
    </row>
    <row r="504" spans="1:3" x14ac:dyDescent="0.3">
      <c r="A504" s="1">
        <v>43968</v>
      </c>
      <c r="B504">
        <v>4091828.19056611</v>
      </c>
      <c r="C504">
        <f t="shared" si="11"/>
        <v>4509194.6660038531</v>
      </c>
    </row>
    <row r="505" spans="1:3" x14ac:dyDescent="0.3">
      <c r="A505" s="1">
        <v>43969</v>
      </c>
      <c r="B505">
        <v>3058650.3279843898</v>
      </c>
      <c r="C505">
        <f t="shared" si="11"/>
        <v>3370632.6614387981</v>
      </c>
    </row>
    <row r="506" spans="1:3" x14ac:dyDescent="0.3">
      <c r="A506" s="1">
        <v>43970</v>
      </c>
      <c r="B506">
        <v>3875207.9639983498</v>
      </c>
      <c r="C506">
        <f t="shared" si="11"/>
        <v>4270479.1763261817</v>
      </c>
    </row>
    <row r="507" spans="1:3" x14ac:dyDescent="0.3">
      <c r="A507" s="1">
        <v>43971</v>
      </c>
      <c r="B507">
        <v>3906016.08162195</v>
      </c>
      <c r="C507">
        <f t="shared" si="11"/>
        <v>4304429.7219473897</v>
      </c>
    </row>
    <row r="508" spans="1:3" x14ac:dyDescent="0.3">
      <c r="A508" s="1">
        <v>43972</v>
      </c>
      <c r="B508">
        <v>5019292.0606003404</v>
      </c>
      <c r="C508">
        <f t="shared" si="11"/>
        <v>5531259.8507815758</v>
      </c>
    </row>
    <row r="509" spans="1:3" x14ac:dyDescent="0.3">
      <c r="A509" s="1">
        <v>43973</v>
      </c>
      <c r="B509">
        <v>3842120.3914747098</v>
      </c>
      <c r="C509">
        <f t="shared" si="11"/>
        <v>4234016.671405131</v>
      </c>
    </row>
    <row r="510" spans="1:3" x14ac:dyDescent="0.3">
      <c r="A510" s="1">
        <v>43974</v>
      </c>
      <c r="B510">
        <v>2626799.1999764601</v>
      </c>
      <c r="C510">
        <f t="shared" si="11"/>
        <v>2894732.7183740591</v>
      </c>
    </row>
    <row r="511" spans="1:3" x14ac:dyDescent="0.3">
      <c r="A511" s="1">
        <v>43975</v>
      </c>
      <c r="B511">
        <v>2679845.5004047798</v>
      </c>
      <c r="C511">
        <f t="shared" si="11"/>
        <v>2953189.7414460676</v>
      </c>
    </row>
    <row r="512" spans="1:3" x14ac:dyDescent="0.3">
      <c r="A512" s="1">
        <v>43976</v>
      </c>
      <c r="B512">
        <v>2394390.72315615</v>
      </c>
      <c r="C512">
        <f t="shared" si="11"/>
        <v>2638618.5769180777</v>
      </c>
    </row>
    <row r="513" spans="1:3" x14ac:dyDescent="0.3">
      <c r="A513" s="1">
        <v>43977</v>
      </c>
      <c r="B513">
        <v>3466869.2534079701</v>
      </c>
      <c r="C513">
        <f t="shared" si="11"/>
        <v>3820489.9172555832</v>
      </c>
    </row>
    <row r="514" spans="1:3" x14ac:dyDescent="0.3">
      <c r="A514" s="1">
        <v>43978</v>
      </c>
      <c r="B514">
        <v>3058136.2184170801</v>
      </c>
      <c r="C514">
        <f t="shared" si="11"/>
        <v>3370066.1126956227</v>
      </c>
    </row>
    <row r="515" spans="1:3" x14ac:dyDescent="0.3">
      <c r="A515" s="1">
        <v>43979</v>
      </c>
      <c r="B515">
        <v>2704014.74808469</v>
      </c>
      <c r="C515">
        <f t="shared" ref="C515:C578" si="12">B515*1.102</f>
        <v>2979824.2523893286</v>
      </c>
    </row>
    <row r="516" spans="1:3" x14ac:dyDescent="0.3">
      <c r="A516" s="1">
        <v>43980</v>
      </c>
      <c r="B516">
        <v>4048091.12977495</v>
      </c>
      <c r="C516">
        <f t="shared" si="12"/>
        <v>4460996.4250119952</v>
      </c>
    </row>
    <row r="517" spans="1:3" x14ac:dyDescent="0.3">
      <c r="A517" s="1">
        <v>43981</v>
      </c>
      <c r="B517">
        <v>2424936.8078396302</v>
      </c>
      <c r="C517">
        <f t="shared" si="12"/>
        <v>2672280.3622392728</v>
      </c>
    </row>
    <row r="518" spans="1:3" x14ac:dyDescent="0.3">
      <c r="A518" s="1">
        <v>43982</v>
      </c>
      <c r="B518">
        <v>4452882.9158881903</v>
      </c>
      <c r="C518">
        <f t="shared" si="12"/>
        <v>4907076.9733087858</v>
      </c>
    </row>
    <row r="519" spans="1:3" x14ac:dyDescent="0.3">
      <c r="A519" s="1">
        <v>43983</v>
      </c>
      <c r="B519">
        <v>3527653.7359885601</v>
      </c>
      <c r="C519">
        <f t="shared" si="12"/>
        <v>3887474.4170593936</v>
      </c>
    </row>
    <row r="520" spans="1:3" x14ac:dyDescent="0.3">
      <c r="A520" s="1">
        <v>43984</v>
      </c>
      <c r="B520">
        <v>3481585.8162428802</v>
      </c>
      <c r="C520">
        <f t="shared" si="12"/>
        <v>3836707.5694996542</v>
      </c>
    </row>
    <row r="521" spans="1:3" x14ac:dyDescent="0.3">
      <c r="A521" s="1">
        <v>43985</v>
      </c>
      <c r="B521">
        <v>3420260.7829766101</v>
      </c>
      <c r="C521">
        <f t="shared" si="12"/>
        <v>3769127.3828402245</v>
      </c>
    </row>
    <row r="522" spans="1:3" x14ac:dyDescent="0.3">
      <c r="A522" s="1">
        <v>43986</v>
      </c>
      <c r="B522">
        <v>4534143.6366638998</v>
      </c>
      <c r="C522">
        <f t="shared" si="12"/>
        <v>4996626.2876036176</v>
      </c>
    </row>
    <row r="523" spans="1:3" x14ac:dyDescent="0.3">
      <c r="A523" s="1">
        <v>43987</v>
      </c>
      <c r="B523">
        <v>3115099.03084007</v>
      </c>
      <c r="C523">
        <f t="shared" si="12"/>
        <v>3432839.1319857575</v>
      </c>
    </row>
    <row r="524" spans="1:3" x14ac:dyDescent="0.3">
      <c r="A524" s="1">
        <v>43988</v>
      </c>
      <c r="B524">
        <v>3485221.8299873499</v>
      </c>
      <c r="C524">
        <f t="shared" si="12"/>
        <v>3840714.4566460601</v>
      </c>
    </row>
    <row r="525" spans="1:3" x14ac:dyDescent="0.3">
      <c r="A525" s="1">
        <v>43989</v>
      </c>
      <c r="B525">
        <v>2786092.7547460999</v>
      </c>
      <c r="C525">
        <f t="shared" si="12"/>
        <v>3070274.2157302024</v>
      </c>
    </row>
    <row r="526" spans="1:3" x14ac:dyDescent="0.3">
      <c r="A526" s="1">
        <v>43990</v>
      </c>
      <c r="B526">
        <v>2713382.5895805</v>
      </c>
      <c r="C526">
        <f t="shared" si="12"/>
        <v>2990147.6137177111</v>
      </c>
    </row>
    <row r="527" spans="1:3" x14ac:dyDescent="0.3">
      <c r="A527" s="1">
        <v>43991</v>
      </c>
      <c r="B527">
        <v>3437177.97575216</v>
      </c>
      <c r="C527">
        <f t="shared" si="12"/>
        <v>3787770.1292788805</v>
      </c>
    </row>
    <row r="528" spans="1:3" x14ac:dyDescent="0.3">
      <c r="A528" s="1">
        <v>43992</v>
      </c>
      <c r="B528">
        <v>4303815.22546962</v>
      </c>
      <c r="C528">
        <f t="shared" si="12"/>
        <v>4742804.3784675216</v>
      </c>
    </row>
    <row r="529" spans="1:3" x14ac:dyDescent="0.3">
      <c r="A529" s="1">
        <v>43993</v>
      </c>
      <c r="B529">
        <v>2514241.8481240501</v>
      </c>
      <c r="C529">
        <f t="shared" si="12"/>
        <v>2770694.5166327036</v>
      </c>
    </row>
    <row r="530" spans="1:3" x14ac:dyDescent="0.3">
      <c r="A530" s="1">
        <v>43994</v>
      </c>
      <c r="B530">
        <v>4157108.3743567201</v>
      </c>
      <c r="C530">
        <f t="shared" si="12"/>
        <v>4581133.4285411062</v>
      </c>
    </row>
    <row r="531" spans="1:3" x14ac:dyDescent="0.3">
      <c r="A531" s="1">
        <v>43995</v>
      </c>
      <c r="B531">
        <v>3419366.72441214</v>
      </c>
      <c r="C531">
        <f t="shared" si="12"/>
        <v>3768142.1303021787</v>
      </c>
    </row>
    <row r="532" spans="1:3" x14ac:dyDescent="0.3">
      <c r="A532" s="1">
        <v>43996</v>
      </c>
      <c r="B532">
        <v>3483520.0479126601</v>
      </c>
      <c r="C532">
        <f t="shared" si="12"/>
        <v>3838839.0927997516</v>
      </c>
    </row>
    <row r="533" spans="1:3" x14ac:dyDescent="0.3">
      <c r="A533" s="1">
        <v>43997</v>
      </c>
      <c r="B533">
        <v>3020886.1990610198</v>
      </c>
      <c r="C533">
        <f t="shared" si="12"/>
        <v>3329016.5913652442</v>
      </c>
    </row>
    <row r="534" spans="1:3" x14ac:dyDescent="0.3">
      <c r="A534" s="1">
        <v>43998</v>
      </c>
      <c r="B534">
        <v>3159165.5507939002</v>
      </c>
      <c r="C534">
        <f t="shared" si="12"/>
        <v>3481400.4369748784</v>
      </c>
    </row>
    <row r="535" spans="1:3" x14ac:dyDescent="0.3">
      <c r="A535" s="1">
        <v>43999</v>
      </c>
      <c r="B535">
        <v>3159018.8032671302</v>
      </c>
      <c r="C535">
        <f t="shared" si="12"/>
        <v>3481238.7212003777</v>
      </c>
    </row>
    <row r="536" spans="1:3" x14ac:dyDescent="0.3">
      <c r="A536" s="1">
        <v>44000</v>
      </c>
      <c r="B536">
        <v>3816486.9706431301</v>
      </c>
      <c r="C536">
        <f t="shared" si="12"/>
        <v>4205768.6416487293</v>
      </c>
    </row>
    <row r="537" spans="1:3" x14ac:dyDescent="0.3">
      <c r="A537" s="1">
        <v>44001</v>
      </c>
      <c r="B537">
        <v>4169070.77500223</v>
      </c>
      <c r="C537">
        <f t="shared" si="12"/>
        <v>4594315.9940524576</v>
      </c>
    </row>
    <row r="538" spans="1:3" x14ac:dyDescent="0.3">
      <c r="A538" s="1">
        <v>44002</v>
      </c>
      <c r="B538">
        <v>3092726.04958094</v>
      </c>
      <c r="C538">
        <f t="shared" si="12"/>
        <v>3408184.1066381964</v>
      </c>
    </row>
    <row r="539" spans="1:3" x14ac:dyDescent="0.3">
      <c r="A539" s="1">
        <v>44003</v>
      </c>
      <c r="B539">
        <v>3500446.5222735102</v>
      </c>
      <c r="C539">
        <f t="shared" si="12"/>
        <v>3857492.0675454084</v>
      </c>
    </row>
    <row r="540" spans="1:3" x14ac:dyDescent="0.3">
      <c r="A540" s="1">
        <v>44004</v>
      </c>
      <c r="B540">
        <v>3755086.6960585602</v>
      </c>
      <c r="C540">
        <f t="shared" si="12"/>
        <v>4138105.5390565335</v>
      </c>
    </row>
    <row r="541" spans="1:3" x14ac:dyDescent="0.3">
      <c r="A541" s="1">
        <v>44005</v>
      </c>
      <c r="B541">
        <v>3090692.5343697802</v>
      </c>
      <c r="C541">
        <f t="shared" si="12"/>
        <v>3405943.172875498</v>
      </c>
    </row>
    <row r="542" spans="1:3" x14ac:dyDescent="0.3">
      <c r="A542" s="1">
        <v>44006</v>
      </c>
      <c r="B542">
        <v>2988017.6120366598</v>
      </c>
      <c r="C542">
        <f t="shared" si="12"/>
        <v>3292795.4084643996</v>
      </c>
    </row>
    <row r="543" spans="1:3" x14ac:dyDescent="0.3">
      <c r="A543" s="1">
        <v>44007</v>
      </c>
      <c r="B543">
        <v>3078747.17847481</v>
      </c>
      <c r="C543">
        <f t="shared" si="12"/>
        <v>3392779.3906792407</v>
      </c>
    </row>
    <row r="544" spans="1:3" x14ac:dyDescent="0.3">
      <c r="A544" s="1">
        <v>44008</v>
      </c>
      <c r="B544">
        <v>3890710.0993216899</v>
      </c>
      <c r="C544">
        <f t="shared" si="12"/>
        <v>4287562.5294525027</v>
      </c>
    </row>
    <row r="545" spans="1:3" x14ac:dyDescent="0.3">
      <c r="A545" s="1">
        <v>44009</v>
      </c>
      <c r="B545">
        <v>2750301.0999772502</v>
      </c>
      <c r="C545">
        <f t="shared" si="12"/>
        <v>3030831.8121749298</v>
      </c>
    </row>
    <row r="546" spans="1:3" x14ac:dyDescent="0.3">
      <c r="A546" s="1">
        <v>44010</v>
      </c>
      <c r="B546">
        <v>2817599.53985928</v>
      </c>
      <c r="C546">
        <f t="shared" si="12"/>
        <v>3104994.692924927</v>
      </c>
    </row>
    <row r="547" spans="1:3" x14ac:dyDescent="0.3">
      <c r="A547" s="1">
        <v>44011</v>
      </c>
      <c r="B547">
        <v>2662992.4481444298</v>
      </c>
      <c r="C547">
        <f t="shared" si="12"/>
        <v>2934617.6778551619</v>
      </c>
    </row>
    <row r="548" spans="1:3" x14ac:dyDescent="0.3">
      <c r="A548" s="1">
        <v>44012</v>
      </c>
      <c r="B548">
        <v>2724579.4660276901</v>
      </c>
      <c r="C548">
        <f t="shared" si="12"/>
        <v>3002486.5715625146</v>
      </c>
    </row>
    <row r="549" spans="1:3" x14ac:dyDescent="0.3">
      <c r="A549" s="1">
        <v>44013</v>
      </c>
      <c r="B549">
        <v>3379764.2057814398</v>
      </c>
      <c r="C549">
        <f t="shared" si="12"/>
        <v>3724500.1547711468</v>
      </c>
    </row>
    <row r="550" spans="1:3" x14ac:dyDescent="0.3">
      <c r="A550" s="1">
        <v>44014</v>
      </c>
      <c r="B550">
        <v>2901138.0551270498</v>
      </c>
      <c r="C550">
        <f t="shared" si="12"/>
        <v>3197054.1367500089</v>
      </c>
    </row>
    <row r="551" spans="1:3" x14ac:dyDescent="0.3">
      <c r="A551" s="1">
        <v>44015</v>
      </c>
      <c r="B551">
        <v>4081700.8717065998</v>
      </c>
      <c r="C551">
        <f t="shared" si="12"/>
        <v>4498034.3606206737</v>
      </c>
    </row>
    <row r="552" spans="1:3" x14ac:dyDescent="0.3">
      <c r="A552" s="1">
        <v>44016</v>
      </c>
      <c r="B552">
        <v>4244585.3421653099</v>
      </c>
      <c r="C552">
        <f t="shared" si="12"/>
        <v>4677533.0470661717</v>
      </c>
    </row>
    <row r="553" spans="1:3" x14ac:dyDescent="0.3">
      <c r="A553" s="1">
        <v>44017</v>
      </c>
      <c r="B553">
        <v>2764629.8854814498</v>
      </c>
      <c r="C553">
        <f t="shared" si="12"/>
        <v>3046622.1338005578</v>
      </c>
    </row>
    <row r="554" spans="1:3" x14ac:dyDescent="0.3">
      <c r="A554" s="1">
        <v>44018</v>
      </c>
      <c r="B554">
        <v>3924963.10300765</v>
      </c>
      <c r="C554">
        <f t="shared" si="12"/>
        <v>4325309.3395144306</v>
      </c>
    </row>
    <row r="555" spans="1:3" x14ac:dyDescent="0.3">
      <c r="A555" s="1">
        <v>44019</v>
      </c>
      <c r="B555">
        <v>4502300.64564401</v>
      </c>
      <c r="C555">
        <f t="shared" si="12"/>
        <v>4961535.311499699</v>
      </c>
    </row>
    <row r="556" spans="1:3" x14ac:dyDescent="0.3">
      <c r="A556" s="1">
        <v>44020</v>
      </c>
      <c r="B556">
        <v>2477615.2252081698</v>
      </c>
      <c r="C556">
        <f t="shared" si="12"/>
        <v>2730331.9781794031</v>
      </c>
    </row>
    <row r="557" spans="1:3" x14ac:dyDescent="0.3">
      <c r="A557" s="1">
        <v>44021</v>
      </c>
      <c r="B557">
        <v>3085724.4700352498</v>
      </c>
      <c r="C557">
        <f t="shared" si="12"/>
        <v>3400468.3659788454</v>
      </c>
    </row>
    <row r="558" spans="1:3" x14ac:dyDescent="0.3">
      <c r="A558" s="1">
        <v>44022</v>
      </c>
      <c r="B558">
        <v>3523740.2879679399</v>
      </c>
      <c r="C558">
        <f t="shared" si="12"/>
        <v>3883161.7973406701</v>
      </c>
    </row>
    <row r="559" spans="1:3" x14ac:dyDescent="0.3">
      <c r="A559" s="1">
        <v>44023</v>
      </c>
      <c r="B559">
        <v>4484585.3450356796</v>
      </c>
      <c r="C559">
        <f t="shared" si="12"/>
        <v>4942013.0502293194</v>
      </c>
    </row>
    <row r="560" spans="1:3" x14ac:dyDescent="0.3">
      <c r="A560" s="1">
        <v>44024</v>
      </c>
      <c r="B560">
        <v>3350521.1834634999</v>
      </c>
      <c r="C560">
        <f t="shared" si="12"/>
        <v>3692274.3441767772</v>
      </c>
    </row>
    <row r="561" spans="1:3" x14ac:dyDescent="0.3">
      <c r="A561" s="1">
        <v>44025</v>
      </c>
      <c r="B561">
        <v>3106796.5923596602</v>
      </c>
      <c r="C561">
        <f t="shared" si="12"/>
        <v>3423689.8447803459</v>
      </c>
    </row>
    <row r="562" spans="1:3" x14ac:dyDescent="0.3">
      <c r="A562" s="1">
        <v>44026</v>
      </c>
      <c r="B562">
        <v>4088000.1943627298</v>
      </c>
      <c r="C562">
        <f t="shared" si="12"/>
        <v>4504976.2141877282</v>
      </c>
    </row>
    <row r="563" spans="1:3" x14ac:dyDescent="0.3">
      <c r="A563" s="1">
        <v>44027</v>
      </c>
      <c r="B563">
        <v>3787485.81941975</v>
      </c>
      <c r="C563">
        <f t="shared" si="12"/>
        <v>4173809.373000565</v>
      </c>
    </row>
    <row r="564" spans="1:3" x14ac:dyDescent="0.3">
      <c r="A564" s="1">
        <v>44028</v>
      </c>
      <c r="B564">
        <v>3247258.9578473</v>
      </c>
      <c r="C564">
        <f t="shared" si="12"/>
        <v>3578479.3715477251</v>
      </c>
    </row>
    <row r="565" spans="1:3" x14ac:dyDescent="0.3">
      <c r="A565" s="1">
        <v>44029</v>
      </c>
      <c r="B565">
        <v>3620128.3176389001</v>
      </c>
      <c r="C565">
        <f t="shared" si="12"/>
        <v>3989381.4060380682</v>
      </c>
    </row>
    <row r="566" spans="1:3" x14ac:dyDescent="0.3">
      <c r="A566" s="1">
        <v>44030</v>
      </c>
      <c r="B566">
        <v>3433728.4938229099</v>
      </c>
      <c r="C566">
        <f t="shared" si="12"/>
        <v>3783968.8001928469</v>
      </c>
    </row>
    <row r="567" spans="1:3" x14ac:dyDescent="0.3">
      <c r="A567" s="1">
        <v>44031</v>
      </c>
      <c r="B567">
        <v>2298292.0524796299</v>
      </c>
      <c r="C567">
        <f t="shared" si="12"/>
        <v>2532717.8418325521</v>
      </c>
    </row>
    <row r="568" spans="1:3" x14ac:dyDescent="0.3">
      <c r="A568" s="1">
        <v>44032</v>
      </c>
      <c r="B568">
        <v>4212653.70827829</v>
      </c>
      <c r="C568">
        <f t="shared" si="12"/>
        <v>4642344.3865226759</v>
      </c>
    </row>
    <row r="569" spans="1:3" x14ac:dyDescent="0.3">
      <c r="A569" s="1">
        <v>44033</v>
      </c>
      <c r="B569">
        <v>3342755.50221594</v>
      </c>
      <c r="C569">
        <f t="shared" si="12"/>
        <v>3683716.5634419662</v>
      </c>
    </row>
    <row r="570" spans="1:3" x14ac:dyDescent="0.3">
      <c r="A570" s="1">
        <v>44034</v>
      </c>
      <c r="B570">
        <v>2185170.0536656301</v>
      </c>
      <c r="C570">
        <f t="shared" si="12"/>
        <v>2408057.3991395244</v>
      </c>
    </row>
    <row r="571" spans="1:3" x14ac:dyDescent="0.3">
      <c r="A571" s="1">
        <v>44035</v>
      </c>
      <c r="B571">
        <v>3293033.21911101</v>
      </c>
      <c r="C571">
        <f t="shared" si="12"/>
        <v>3628922.6074603335</v>
      </c>
    </row>
    <row r="572" spans="1:3" x14ac:dyDescent="0.3">
      <c r="A572" s="1">
        <v>44036</v>
      </c>
      <c r="B572">
        <v>3776187.0251523601</v>
      </c>
      <c r="C572">
        <f t="shared" si="12"/>
        <v>4161358.101717901</v>
      </c>
    </row>
    <row r="573" spans="1:3" x14ac:dyDescent="0.3">
      <c r="A573" s="1">
        <v>44037</v>
      </c>
      <c r="B573">
        <v>3682272.6175190699</v>
      </c>
      <c r="C573">
        <f t="shared" si="12"/>
        <v>4057864.4245060156</v>
      </c>
    </row>
    <row r="574" spans="1:3" x14ac:dyDescent="0.3">
      <c r="A574" s="1">
        <v>44038</v>
      </c>
      <c r="B574">
        <v>3290117.6419544299</v>
      </c>
      <c r="C574">
        <f t="shared" si="12"/>
        <v>3625709.6414337819</v>
      </c>
    </row>
    <row r="575" spans="1:3" x14ac:dyDescent="0.3">
      <c r="A575" s="1">
        <v>44039</v>
      </c>
      <c r="B575">
        <v>2802358.94078275</v>
      </c>
      <c r="C575">
        <f t="shared" si="12"/>
        <v>3088199.5527425907</v>
      </c>
    </row>
    <row r="576" spans="1:3" x14ac:dyDescent="0.3">
      <c r="A576" s="1">
        <v>44040</v>
      </c>
      <c r="B576">
        <v>3677864.00099072</v>
      </c>
      <c r="C576">
        <f t="shared" si="12"/>
        <v>4053006.1290917736</v>
      </c>
    </row>
    <row r="577" spans="1:3" x14ac:dyDescent="0.3">
      <c r="A577" s="1">
        <v>44041</v>
      </c>
      <c r="B577">
        <v>3780336.41824276</v>
      </c>
      <c r="C577">
        <f t="shared" si="12"/>
        <v>4165930.732903522</v>
      </c>
    </row>
    <row r="578" spans="1:3" x14ac:dyDescent="0.3">
      <c r="A578" s="1">
        <v>44042</v>
      </c>
      <c r="B578">
        <v>4029491.2971654502</v>
      </c>
      <c r="C578">
        <f t="shared" si="12"/>
        <v>4440499.4094763268</v>
      </c>
    </row>
    <row r="579" spans="1:3" x14ac:dyDescent="0.3">
      <c r="A579" s="1">
        <v>44043</v>
      </c>
      <c r="B579">
        <v>3955304.8112623999</v>
      </c>
      <c r="C579">
        <f t="shared" ref="C579:C642" si="13">B579*1.102</f>
        <v>4358745.9020111654</v>
      </c>
    </row>
    <row r="580" spans="1:3" x14ac:dyDescent="0.3">
      <c r="A580" s="1">
        <v>44044</v>
      </c>
      <c r="B580">
        <v>2720167.8289382802</v>
      </c>
      <c r="C580">
        <f t="shared" si="13"/>
        <v>2997624.9474899853</v>
      </c>
    </row>
    <row r="581" spans="1:3" x14ac:dyDescent="0.3">
      <c r="A581" s="1">
        <v>44045</v>
      </c>
      <c r="B581">
        <v>3333194.04204894</v>
      </c>
      <c r="C581">
        <f t="shared" si="13"/>
        <v>3673179.8343379321</v>
      </c>
    </row>
    <row r="582" spans="1:3" x14ac:dyDescent="0.3">
      <c r="A582" s="1">
        <v>44046</v>
      </c>
      <c r="B582">
        <v>4195643.0210056799</v>
      </c>
      <c r="C582">
        <f t="shared" si="13"/>
        <v>4623598.6091482593</v>
      </c>
    </row>
    <row r="583" spans="1:3" x14ac:dyDescent="0.3">
      <c r="A583" s="1">
        <v>44047</v>
      </c>
      <c r="B583">
        <v>4349189.79017183</v>
      </c>
      <c r="C583">
        <f t="shared" si="13"/>
        <v>4792807.1487693572</v>
      </c>
    </row>
    <row r="584" spans="1:3" x14ac:dyDescent="0.3">
      <c r="A584" s="1">
        <v>44048</v>
      </c>
      <c r="B584">
        <v>4220625.2159690503</v>
      </c>
      <c r="C584">
        <f t="shared" si="13"/>
        <v>4651128.9879978942</v>
      </c>
    </row>
    <row r="585" spans="1:3" x14ac:dyDescent="0.3">
      <c r="A585" s="1">
        <v>44049</v>
      </c>
      <c r="B585">
        <v>3233652.5825700299</v>
      </c>
      <c r="C585">
        <f t="shared" si="13"/>
        <v>3563485.1459921733</v>
      </c>
    </row>
    <row r="586" spans="1:3" x14ac:dyDescent="0.3">
      <c r="A586" s="1">
        <v>44050</v>
      </c>
      <c r="B586">
        <v>5157034.0602094699</v>
      </c>
      <c r="C586">
        <f t="shared" si="13"/>
        <v>5683051.5343508366</v>
      </c>
    </row>
    <row r="587" spans="1:3" x14ac:dyDescent="0.3">
      <c r="A587" s="1">
        <v>44051</v>
      </c>
      <c r="B587">
        <v>3375907.46235618</v>
      </c>
      <c r="C587">
        <f t="shared" si="13"/>
        <v>3720250.0235165106</v>
      </c>
    </row>
    <row r="588" spans="1:3" x14ac:dyDescent="0.3">
      <c r="A588" s="1">
        <v>44052</v>
      </c>
      <c r="B588">
        <v>2800761.8737812</v>
      </c>
      <c r="C588">
        <f t="shared" si="13"/>
        <v>3086439.5849068826</v>
      </c>
    </row>
    <row r="589" spans="1:3" x14ac:dyDescent="0.3">
      <c r="A589" s="1">
        <v>44053</v>
      </c>
      <c r="B589">
        <v>2388196.6885894299</v>
      </c>
      <c r="C589">
        <f t="shared" si="13"/>
        <v>2631792.7508255518</v>
      </c>
    </row>
    <row r="590" spans="1:3" x14ac:dyDescent="0.3">
      <c r="A590" s="1">
        <v>44054</v>
      </c>
      <c r="B590">
        <v>4218021.6045631496</v>
      </c>
      <c r="C590">
        <f t="shared" si="13"/>
        <v>4648259.8082285915</v>
      </c>
    </row>
    <row r="591" spans="1:3" x14ac:dyDescent="0.3">
      <c r="A591" s="1">
        <v>44055</v>
      </c>
      <c r="B591">
        <v>3253880.3671756401</v>
      </c>
      <c r="C591">
        <f t="shared" si="13"/>
        <v>3585776.1646275558</v>
      </c>
    </row>
    <row r="592" spans="1:3" x14ac:dyDescent="0.3">
      <c r="A592" s="1">
        <v>44056</v>
      </c>
      <c r="B592">
        <v>4029848.92789804</v>
      </c>
      <c r="C592">
        <f t="shared" si="13"/>
        <v>4440893.5185436402</v>
      </c>
    </row>
    <row r="593" spans="1:3" x14ac:dyDescent="0.3">
      <c r="A593" s="1">
        <v>44057</v>
      </c>
      <c r="B593">
        <v>3928206.5891313502</v>
      </c>
      <c r="C593">
        <f t="shared" si="13"/>
        <v>4328883.6612227485</v>
      </c>
    </row>
    <row r="594" spans="1:3" x14ac:dyDescent="0.3">
      <c r="A594" s="1">
        <v>44058</v>
      </c>
      <c r="B594">
        <v>4331368.6399165904</v>
      </c>
      <c r="C594">
        <f t="shared" si="13"/>
        <v>4773168.2411880828</v>
      </c>
    </row>
    <row r="595" spans="1:3" x14ac:dyDescent="0.3">
      <c r="A595" s="1">
        <v>44059</v>
      </c>
      <c r="B595">
        <v>4171556.2000198299</v>
      </c>
      <c r="C595">
        <f t="shared" si="13"/>
        <v>4597054.9324218528</v>
      </c>
    </row>
    <row r="596" spans="1:3" x14ac:dyDescent="0.3">
      <c r="A596" s="1">
        <v>44060</v>
      </c>
      <c r="B596">
        <v>2642171.3181008101</v>
      </c>
      <c r="C596">
        <f t="shared" si="13"/>
        <v>2911672.7925470928</v>
      </c>
    </row>
    <row r="597" spans="1:3" x14ac:dyDescent="0.3">
      <c r="A597" s="1">
        <v>44061</v>
      </c>
      <c r="B597">
        <v>4001738.90142678</v>
      </c>
      <c r="C597">
        <f t="shared" si="13"/>
        <v>4409916.2693723124</v>
      </c>
    </row>
    <row r="598" spans="1:3" x14ac:dyDescent="0.3">
      <c r="A598" s="1">
        <v>44062</v>
      </c>
      <c r="B598">
        <v>3294405.3977519898</v>
      </c>
      <c r="C598">
        <f t="shared" si="13"/>
        <v>3630434.7483226932</v>
      </c>
    </row>
    <row r="599" spans="1:3" x14ac:dyDescent="0.3">
      <c r="A599" s="1">
        <v>44063</v>
      </c>
      <c r="B599">
        <v>4257593.0887725996</v>
      </c>
      <c r="C599">
        <f t="shared" si="13"/>
        <v>4691867.5838274052</v>
      </c>
    </row>
    <row r="600" spans="1:3" x14ac:dyDescent="0.3">
      <c r="A600" s="1">
        <v>44064</v>
      </c>
      <c r="B600">
        <v>2320812.6758559002</v>
      </c>
      <c r="C600">
        <f t="shared" si="13"/>
        <v>2557535.5687932023</v>
      </c>
    </row>
    <row r="601" spans="1:3" x14ac:dyDescent="0.3">
      <c r="A601" s="1">
        <v>44065</v>
      </c>
      <c r="B601">
        <v>4010889.8771997802</v>
      </c>
      <c r="C601">
        <f t="shared" si="13"/>
        <v>4420000.6446741577</v>
      </c>
    </row>
    <row r="602" spans="1:3" x14ac:dyDescent="0.3">
      <c r="A602" s="1">
        <v>44066</v>
      </c>
      <c r="B602">
        <v>3246767.51428576</v>
      </c>
      <c r="C602">
        <f t="shared" si="13"/>
        <v>3577937.8007429079</v>
      </c>
    </row>
    <row r="603" spans="1:3" x14ac:dyDescent="0.3">
      <c r="A603" s="1">
        <v>44067</v>
      </c>
      <c r="B603">
        <v>2462416.45009857</v>
      </c>
      <c r="C603">
        <f t="shared" si="13"/>
        <v>2713582.9280086244</v>
      </c>
    </row>
    <row r="604" spans="1:3" x14ac:dyDescent="0.3">
      <c r="A604" s="1">
        <v>44068</v>
      </c>
      <c r="B604">
        <v>3114166.0964017198</v>
      </c>
      <c r="C604">
        <f t="shared" si="13"/>
        <v>3431811.0382346953</v>
      </c>
    </row>
    <row r="605" spans="1:3" x14ac:dyDescent="0.3">
      <c r="A605" s="1">
        <v>44069</v>
      </c>
      <c r="B605">
        <v>3551650.7454156298</v>
      </c>
      <c r="C605">
        <f t="shared" si="13"/>
        <v>3913919.1214480242</v>
      </c>
    </row>
    <row r="606" spans="1:3" x14ac:dyDescent="0.3">
      <c r="A606" s="1">
        <v>44070</v>
      </c>
      <c r="B606">
        <v>2867898.3768867399</v>
      </c>
      <c r="C606">
        <f t="shared" si="13"/>
        <v>3160424.0113291875</v>
      </c>
    </row>
    <row r="607" spans="1:3" x14ac:dyDescent="0.3">
      <c r="A607" s="1">
        <v>44071</v>
      </c>
      <c r="B607">
        <v>3471310.8667658302</v>
      </c>
      <c r="C607">
        <f t="shared" si="13"/>
        <v>3825384.5751759452</v>
      </c>
    </row>
    <row r="608" spans="1:3" x14ac:dyDescent="0.3">
      <c r="A608" s="1">
        <v>44072</v>
      </c>
      <c r="B608">
        <v>3840990.7088012402</v>
      </c>
      <c r="C608">
        <f t="shared" si="13"/>
        <v>4232771.7610989669</v>
      </c>
    </row>
    <row r="609" spans="1:3" x14ac:dyDescent="0.3">
      <c r="A609" s="1">
        <v>44073</v>
      </c>
      <c r="B609">
        <v>2803080.8884982802</v>
      </c>
      <c r="C609">
        <f t="shared" si="13"/>
        <v>3088995.139125105</v>
      </c>
    </row>
    <row r="610" spans="1:3" x14ac:dyDescent="0.3">
      <c r="A610" s="1">
        <v>44074</v>
      </c>
      <c r="B610">
        <v>3661516.44916033</v>
      </c>
      <c r="C610">
        <f t="shared" si="13"/>
        <v>4034991.1269746842</v>
      </c>
    </row>
    <row r="611" spans="1:3" x14ac:dyDescent="0.3">
      <c r="A611" s="1">
        <v>44075</v>
      </c>
      <c r="B611">
        <v>4256672.7425151896</v>
      </c>
      <c r="C611">
        <f t="shared" si="13"/>
        <v>4690853.362251739</v>
      </c>
    </row>
    <row r="612" spans="1:3" x14ac:dyDescent="0.3">
      <c r="A612" s="1">
        <v>44076</v>
      </c>
      <c r="B612">
        <v>3680905.0365382801</v>
      </c>
      <c r="C612">
        <f t="shared" si="13"/>
        <v>4056357.3502651849</v>
      </c>
    </row>
    <row r="613" spans="1:3" x14ac:dyDescent="0.3">
      <c r="A613" s="1">
        <v>44077</v>
      </c>
      <c r="B613">
        <v>3251849.3020601999</v>
      </c>
      <c r="C613">
        <f t="shared" si="13"/>
        <v>3583537.9308703407</v>
      </c>
    </row>
    <row r="614" spans="1:3" x14ac:dyDescent="0.3">
      <c r="A614" s="1">
        <v>44078</v>
      </c>
      <c r="B614">
        <v>3894965.0658443002</v>
      </c>
      <c r="C614">
        <f t="shared" si="13"/>
        <v>4292251.502560419</v>
      </c>
    </row>
    <row r="615" spans="1:3" x14ac:dyDescent="0.3">
      <c r="A615" s="1">
        <v>44079</v>
      </c>
      <c r="B615">
        <v>2453380.0441838601</v>
      </c>
      <c r="C615">
        <f t="shared" si="13"/>
        <v>2703624.8086906141</v>
      </c>
    </row>
    <row r="616" spans="1:3" x14ac:dyDescent="0.3">
      <c r="A616" s="1">
        <v>44080</v>
      </c>
      <c r="B616">
        <v>3171156.1852462902</v>
      </c>
      <c r="C616">
        <f t="shared" si="13"/>
        <v>3494614.1161414119</v>
      </c>
    </row>
    <row r="617" spans="1:3" x14ac:dyDescent="0.3">
      <c r="A617" s="1">
        <v>44081</v>
      </c>
      <c r="B617">
        <v>3420839.6827388098</v>
      </c>
      <c r="C617">
        <f t="shared" si="13"/>
        <v>3769765.3303781687</v>
      </c>
    </row>
    <row r="618" spans="1:3" x14ac:dyDescent="0.3">
      <c r="A618" s="1">
        <v>44082</v>
      </c>
      <c r="B618">
        <v>2971835.0149651398</v>
      </c>
      <c r="C618">
        <f t="shared" si="13"/>
        <v>3274962.1864915844</v>
      </c>
    </row>
    <row r="619" spans="1:3" x14ac:dyDescent="0.3">
      <c r="A619" s="1">
        <v>44083</v>
      </c>
      <c r="B619">
        <v>4031082.8231612202</v>
      </c>
      <c r="C619">
        <f t="shared" si="13"/>
        <v>4442253.2711236654</v>
      </c>
    </row>
    <row r="620" spans="1:3" x14ac:dyDescent="0.3">
      <c r="A620" s="1">
        <v>44084</v>
      </c>
      <c r="B620">
        <v>3849143.8196260701</v>
      </c>
      <c r="C620">
        <f t="shared" si="13"/>
        <v>4241756.4892279292</v>
      </c>
    </row>
    <row r="621" spans="1:3" x14ac:dyDescent="0.3">
      <c r="A621" s="1">
        <v>44085</v>
      </c>
      <c r="B621">
        <v>3125198.74507165</v>
      </c>
      <c r="C621">
        <f t="shared" si="13"/>
        <v>3443969.0170689584</v>
      </c>
    </row>
    <row r="622" spans="1:3" x14ac:dyDescent="0.3">
      <c r="A622" s="1">
        <v>44086</v>
      </c>
      <c r="B622">
        <v>4778706.4936758596</v>
      </c>
      <c r="C622">
        <f t="shared" si="13"/>
        <v>5266134.5560307978</v>
      </c>
    </row>
    <row r="623" spans="1:3" x14ac:dyDescent="0.3">
      <c r="A623" s="1">
        <v>44087</v>
      </c>
      <c r="B623">
        <v>3925221.94041833</v>
      </c>
      <c r="C623">
        <f t="shared" si="13"/>
        <v>4325594.5783409998</v>
      </c>
    </row>
    <row r="624" spans="1:3" x14ac:dyDescent="0.3">
      <c r="A624" s="1">
        <v>44088</v>
      </c>
      <c r="B624">
        <v>2283998.2888807999</v>
      </c>
      <c r="C624">
        <f t="shared" si="13"/>
        <v>2516966.1143466416</v>
      </c>
    </row>
    <row r="625" spans="1:3" x14ac:dyDescent="0.3">
      <c r="A625" s="1">
        <v>44089</v>
      </c>
      <c r="B625">
        <v>3850866.1839667</v>
      </c>
      <c r="C625">
        <f t="shared" si="13"/>
        <v>4243654.5347313033</v>
      </c>
    </row>
    <row r="626" spans="1:3" x14ac:dyDescent="0.3">
      <c r="A626" s="1">
        <v>44090</v>
      </c>
      <c r="B626">
        <v>3046829.6148227099</v>
      </c>
      <c r="C626">
        <f t="shared" si="13"/>
        <v>3357606.2355346265</v>
      </c>
    </row>
    <row r="627" spans="1:3" x14ac:dyDescent="0.3">
      <c r="A627" s="1">
        <v>44091</v>
      </c>
      <c r="B627">
        <v>4608695.0047426401</v>
      </c>
      <c r="C627">
        <f t="shared" si="13"/>
        <v>5078781.8952263901</v>
      </c>
    </row>
    <row r="628" spans="1:3" x14ac:dyDescent="0.3">
      <c r="A628" s="1">
        <v>44092</v>
      </c>
      <c r="B628">
        <v>2961859.1736793998</v>
      </c>
      <c r="C628">
        <f t="shared" si="13"/>
        <v>3263968.8093946986</v>
      </c>
    </row>
    <row r="629" spans="1:3" x14ac:dyDescent="0.3">
      <c r="A629" s="1">
        <v>44093</v>
      </c>
      <c r="B629">
        <v>2712981.4231677898</v>
      </c>
      <c r="C629">
        <f t="shared" si="13"/>
        <v>2989705.5283309044</v>
      </c>
    </row>
    <row r="630" spans="1:3" x14ac:dyDescent="0.3">
      <c r="A630" s="1">
        <v>44094</v>
      </c>
      <c r="B630">
        <v>3416101.2775112102</v>
      </c>
      <c r="C630">
        <f t="shared" si="13"/>
        <v>3764543.6078173541</v>
      </c>
    </row>
    <row r="631" spans="1:3" x14ac:dyDescent="0.3">
      <c r="A631" s="1">
        <v>44095</v>
      </c>
      <c r="B631">
        <v>4661070.2698365897</v>
      </c>
      <c r="C631">
        <f t="shared" si="13"/>
        <v>5136499.4373599226</v>
      </c>
    </row>
    <row r="632" spans="1:3" x14ac:dyDescent="0.3">
      <c r="A632" s="1">
        <v>44096</v>
      </c>
      <c r="B632">
        <v>3007842.7903376999</v>
      </c>
      <c r="C632">
        <f t="shared" si="13"/>
        <v>3314642.7549521457</v>
      </c>
    </row>
    <row r="633" spans="1:3" x14ac:dyDescent="0.3">
      <c r="A633" s="1">
        <v>44097</v>
      </c>
      <c r="B633">
        <v>3820014.5550753698</v>
      </c>
      <c r="C633">
        <f t="shared" si="13"/>
        <v>4209656.0396930575</v>
      </c>
    </row>
    <row r="634" spans="1:3" x14ac:dyDescent="0.3">
      <c r="A634" s="1">
        <v>44098</v>
      </c>
      <c r="B634">
        <v>3833273.4851281601</v>
      </c>
      <c r="C634">
        <f t="shared" si="13"/>
        <v>4224267.3806112325</v>
      </c>
    </row>
    <row r="635" spans="1:3" x14ac:dyDescent="0.3">
      <c r="A635" s="1">
        <v>44099</v>
      </c>
      <c r="B635">
        <v>4102564.52766426</v>
      </c>
      <c r="C635">
        <f t="shared" si="13"/>
        <v>4521026.1094860146</v>
      </c>
    </row>
    <row r="636" spans="1:3" x14ac:dyDescent="0.3">
      <c r="A636" s="1">
        <v>44100</v>
      </c>
      <c r="B636">
        <v>3162262.4449626599</v>
      </c>
      <c r="C636">
        <f t="shared" si="13"/>
        <v>3484813.2143488512</v>
      </c>
    </row>
    <row r="637" spans="1:3" x14ac:dyDescent="0.3">
      <c r="A637" s="1">
        <v>44101</v>
      </c>
      <c r="B637">
        <v>4581822.6049434096</v>
      </c>
      <c r="C637">
        <f t="shared" si="13"/>
        <v>5049168.5106476378</v>
      </c>
    </row>
    <row r="638" spans="1:3" x14ac:dyDescent="0.3">
      <c r="A638" s="1">
        <v>44102</v>
      </c>
      <c r="B638">
        <v>3102845.95034278</v>
      </c>
      <c r="C638">
        <f t="shared" si="13"/>
        <v>3419336.2372777439</v>
      </c>
    </row>
    <row r="639" spans="1:3" x14ac:dyDescent="0.3">
      <c r="A639" s="1">
        <v>44103</v>
      </c>
      <c r="B639">
        <v>2576264.5160565102</v>
      </c>
      <c r="C639">
        <f t="shared" si="13"/>
        <v>2839043.4966942742</v>
      </c>
    </row>
    <row r="640" spans="1:3" x14ac:dyDescent="0.3">
      <c r="A640" s="1">
        <v>44104</v>
      </c>
      <c r="B640">
        <v>3733139.2791959299</v>
      </c>
      <c r="C640">
        <f t="shared" si="13"/>
        <v>4113919.4856739151</v>
      </c>
    </row>
    <row r="641" spans="1:3" x14ac:dyDescent="0.3">
      <c r="A641" s="1">
        <v>44105</v>
      </c>
      <c r="B641">
        <v>4063045.9561388399</v>
      </c>
      <c r="C641">
        <f t="shared" si="13"/>
        <v>4477476.6436650017</v>
      </c>
    </row>
    <row r="642" spans="1:3" x14ac:dyDescent="0.3">
      <c r="A642" s="1">
        <v>44106</v>
      </c>
      <c r="B642">
        <v>3605609.2255200199</v>
      </c>
      <c r="C642">
        <f t="shared" si="13"/>
        <v>3973381.3665230623</v>
      </c>
    </row>
    <row r="643" spans="1:3" x14ac:dyDescent="0.3">
      <c r="A643" s="1">
        <v>44107</v>
      </c>
      <c r="B643">
        <v>5101271.3232561899</v>
      </c>
      <c r="C643">
        <f t="shared" ref="C643:C706" si="14">B643*1.102</f>
        <v>5621600.9982283218</v>
      </c>
    </row>
    <row r="644" spans="1:3" x14ac:dyDescent="0.3">
      <c r="A644" s="1">
        <v>44108</v>
      </c>
      <c r="B644">
        <v>2001876.0269212499</v>
      </c>
      <c r="C644">
        <f t="shared" si="14"/>
        <v>2206067.3816672177</v>
      </c>
    </row>
    <row r="645" spans="1:3" x14ac:dyDescent="0.3">
      <c r="A645" s="1">
        <v>44109</v>
      </c>
      <c r="B645">
        <v>4003859.0474091899</v>
      </c>
      <c r="C645">
        <f t="shared" si="14"/>
        <v>4412252.6702449275</v>
      </c>
    </row>
    <row r="646" spans="1:3" x14ac:dyDescent="0.3">
      <c r="A646" s="1">
        <v>44110</v>
      </c>
      <c r="B646">
        <v>3529295.8287068899</v>
      </c>
      <c r="C646">
        <f t="shared" si="14"/>
        <v>3889284.0032349927</v>
      </c>
    </row>
    <row r="647" spans="1:3" x14ac:dyDescent="0.3">
      <c r="A647" s="1">
        <v>44111</v>
      </c>
      <c r="B647">
        <v>3428718.6695289798</v>
      </c>
      <c r="C647">
        <f t="shared" si="14"/>
        <v>3778447.9738209359</v>
      </c>
    </row>
    <row r="648" spans="1:3" x14ac:dyDescent="0.3">
      <c r="A648" s="1">
        <v>44112</v>
      </c>
      <c r="B648">
        <v>3909316.4203673401</v>
      </c>
      <c r="C648">
        <f t="shared" si="14"/>
        <v>4308066.6952448087</v>
      </c>
    </row>
    <row r="649" spans="1:3" x14ac:dyDescent="0.3">
      <c r="A649" s="1">
        <v>44113</v>
      </c>
      <c r="B649">
        <v>4557911.8140521096</v>
      </c>
      <c r="C649">
        <f t="shared" si="14"/>
        <v>5022818.8190854248</v>
      </c>
    </row>
    <row r="650" spans="1:3" x14ac:dyDescent="0.3">
      <c r="A650" s="1">
        <v>44114</v>
      </c>
      <c r="B650">
        <v>3114177.31379257</v>
      </c>
      <c r="C650">
        <f t="shared" si="14"/>
        <v>3431823.3997994126</v>
      </c>
    </row>
    <row r="651" spans="1:3" x14ac:dyDescent="0.3">
      <c r="A651" s="1">
        <v>44115</v>
      </c>
      <c r="B651">
        <v>2615609.4779435699</v>
      </c>
      <c r="C651">
        <f t="shared" si="14"/>
        <v>2882401.6446938142</v>
      </c>
    </row>
    <row r="652" spans="1:3" x14ac:dyDescent="0.3">
      <c r="A652" s="1">
        <v>44116</v>
      </c>
      <c r="B652">
        <v>3279173.7632222599</v>
      </c>
      <c r="C652">
        <f t="shared" si="14"/>
        <v>3613649.4870709307</v>
      </c>
    </row>
    <row r="653" spans="1:3" x14ac:dyDescent="0.3">
      <c r="A653" s="1">
        <v>44117</v>
      </c>
      <c r="B653">
        <v>2660979.2791123502</v>
      </c>
      <c r="C653">
        <f t="shared" si="14"/>
        <v>2932399.1655818103</v>
      </c>
    </row>
    <row r="654" spans="1:3" x14ac:dyDescent="0.3">
      <c r="A654" s="1">
        <v>44118</v>
      </c>
      <c r="B654">
        <v>2332030.93829042</v>
      </c>
      <c r="C654">
        <f t="shared" si="14"/>
        <v>2569898.0939960429</v>
      </c>
    </row>
    <row r="655" spans="1:3" x14ac:dyDescent="0.3">
      <c r="A655" s="1">
        <v>44119</v>
      </c>
      <c r="B655">
        <v>4269064.1196787897</v>
      </c>
      <c r="C655">
        <f t="shared" si="14"/>
        <v>4704508.6598860268</v>
      </c>
    </row>
    <row r="656" spans="1:3" x14ac:dyDescent="0.3">
      <c r="A656" s="1">
        <v>44120</v>
      </c>
      <c r="B656">
        <v>3833389.5332028102</v>
      </c>
      <c r="C656">
        <f t="shared" si="14"/>
        <v>4224395.2655894971</v>
      </c>
    </row>
    <row r="657" spans="1:3" x14ac:dyDescent="0.3">
      <c r="A657" s="1">
        <v>44121</v>
      </c>
      <c r="B657">
        <v>3644321.57389868</v>
      </c>
      <c r="C657">
        <f t="shared" si="14"/>
        <v>4016042.3744363459</v>
      </c>
    </row>
    <row r="658" spans="1:3" x14ac:dyDescent="0.3">
      <c r="A658" s="1">
        <v>44122</v>
      </c>
      <c r="B658">
        <v>3174841.6836349699</v>
      </c>
      <c r="C658">
        <f t="shared" si="14"/>
        <v>3498675.535365737</v>
      </c>
    </row>
    <row r="659" spans="1:3" x14ac:dyDescent="0.3">
      <c r="A659" s="1">
        <v>44123</v>
      </c>
      <c r="B659">
        <v>3595170.4372316399</v>
      </c>
      <c r="C659">
        <f t="shared" si="14"/>
        <v>3961877.8218292673</v>
      </c>
    </row>
    <row r="660" spans="1:3" x14ac:dyDescent="0.3">
      <c r="A660" s="1">
        <v>44124</v>
      </c>
      <c r="B660">
        <v>2939832.2929365099</v>
      </c>
      <c r="C660">
        <f t="shared" si="14"/>
        <v>3239695.1868160344</v>
      </c>
    </row>
    <row r="661" spans="1:3" x14ac:dyDescent="0.3">
      <c r="A661" s="1">
        <v>44125</v>
      </c>
      <c r="B661">
        <v>4190239.1753064902</v>
      </c>
      <c r="C661">
        <f t="shared" si="14"/>
        <v>4617643.5711877523</v>
      </c>
    </row>
    <row r="662" spans="1:3" x14ac:dyDescent="0.3">
      <c r="A662" s="1">
        <v>44126</v>
      </c>
      <c r="B662">
        <v>3714445.2498529102</v>
      </c>
      <c r="C662">
        <f t="shared" si="14"/>
        <v>4093318.6653379072</v>
      </c>
    </row>
    <row r="663" spans="1:3" x14ac:dyDescent="0.3">
      <c r="A663" s="1">
        <v>44127</v>
      </c>
      <c r="B663">
        <v>4263184.2875843104</v>
      </c>
      <c r="C663">
        <f t="shared" si="14"/>
        <v>4698029.0849179104</v>
      </c>
    </row>
    <row r="664" spans="1:3" x14ac:dyDescent="0.3">
      <c r="A664" s="1">
        <v>44128</v>
      </c>
      <c r="B664">
        <v>3220044.5644445899</v>
      </c>
      <c r="C664">
        <f t="shared" si="14"/>
        <v>3548489.1100179385</v>
      </c>
    </row>
    <row r="665" spans="1:3" x14ac:dyDescent="0.3">
      <c r="A665" s="1">
        <v>44129</v>
      </c>
      <c r="B665">
        <v>2921903.78654317</v>
      </c>
      <c r="C665">
        <f t="shared" si="14"/>
        <v>3219937.9727705736</v>
      </c>
    </row>
    <row r="666" spans="1:3" x14ac:dyDescent="0.3">
      <c r="A666" s="1">
        <v>44130</v>
      </c>
      <c r="B666">
        <v>4257275.1926192502</v>
      </c>
      <c r="C666">
        <f t="shared" si="14"/>
        <v>4691517.2622664142</v>
      </c>
    </row>
    <row r="667" spans="1:3" x14ac:dyDescent="0.3">
      <c r="A667" s="1">
        <v>44131</v>
      </c>
      <c r="B667">
        <v>2661199.0588261499</v>
      </c>
      <c r="C667">
        <f t="shared" si="14"/>
        <v>2932641.3628264177</v>
      </c>
    </row>
    <row r="668" spans="1:3" x14ac:dyDescent="0.3">
      <c r="A668" s="1">
        <v>44132</v>
      </c>
      <c r="B668">
        <v>2307407.05962181</v>
      </c>
      <c r="C668">
        <f t="shared" si="14"/>
        <v>2542762.5797032346</v>
      </c>
    </row>
    <row r="669" spans="1:3" x14ac:dyDescent="0.3">
      <c r="A669" s="1">
        <v>44133</v>
      </c>
      <c r="B669">
        <v>3223518.7637619502</v>
      </c>
      <c r="C669">
        <f t="shared" si="14"/>
        <v>3552317.6776656695</v>
      </c>
    </row>
    <row r="670" spans="1:3" x14ac:dyDescent="0.3">
      <c r="A670" s="1">
        <v>44134</v>
      </c>
      <c r="B670">
        <v>3472430.20998292</v>
      </c>
      <c r="C670">
        <f t="shared" si="14"/>
        <v>3826618.0914011779</v>
      </c>
    </row>
    <row r="671" spans="1:3" x14ac:dyDescent="0.3">
      <c r="A671" s="1">
        <v>44135</v>
      </c>
      <c r="B671">
        <v>4300904.3244487997</v>
      </c>
      <c r="C671">
        <f t="shared" si="14"/>
        <v>4739596.5655425778</v>
      </c>
    </row>
    <row r="672" spans="1:3" x14ac:dyDescent="0.3">
      <c r="A672" s="1">
        <v>44136</v>
      </c>
      <c r="B672">
        <v>4601229.8048715703</v>
      </c>
      <c r="C672">
        <f t="shared" si="14"/>
        <v>5070555.2449684711</v>
      </c>
    </row>
    <row r="673" spans="1:3" x14ac:dyDescent="0.3">
      <c r="A673" s="1">
        <v>44137</v>
      </c>
      <c r="B673">
        <v>3971982.7765630302</v>
      </c>
      <c r="C673">
        <f t="shared" si="14"/>
        <v>4377125.0197724598</v>
      </c>
    </row>
    <row r="674" spans="1:3" x14ac:dyDescent="0.3">
      <c r="A674" s="1">
        <v>44138</v>
      </c>
      <c r="B674">
        <v>3621371.2267121999</v>
      </c>
      <c r="C674">
        <f t="shared" si="14"/>
        <v>3990751.0918368446</v>
      </c>
    </row>
    <row r="675" spans="1:3" x14ac:dyDescent="0.3">
      <c r="A675" s="1">
        <v>44139</v>
      </c>
      <c r="B675">
        <v>4011343.3066924401</v>
      </c>
      <c r="C675">
        <f t="shared" si="14"/>
        <v>4420500.3239750694</v>
      </c>
    </row>
    <row r="676" spans="1:3" x14ac:dyDescent="0.3">
      <c r="A676" s="1">
        <v>44140</v>
      </c>
      <c r="B676">
        <v>3182811.2617888702</v>
      </c>
      <c r="C676">
        <f t="shared" si="14"/>
        <v>3507458.0104913353</v>
      </c>
    </row>
    <row r="677" spans="1:3" x14ac:dyDescent="0.3">
      <c r="A677" s="1">
        <v>44141</v>
      </c>
      <c r="B677">
        <v>1879678.66769514</v>
      </c>
      <c r="C677">
        <f t="shared" si="14"/>
        <v>2071405.8918000443</v>
      </c>
    </row>
    <row r="678" spans="1:3" x14ac:dyDescent="0.3">
      <c r="A678" s="1">
        <v>44142</v>
      </c>
      <c r="B678">
        <v>2606406.3741538599</v>
      </c>
      <c r="C678">
        <f t="shared" si="14"/>
        <v>2872259.824317554</v>
      </c>
    </row>
    <row r="679" spans="1:3" x14ac:dyDescent="0.3">
      <c r="A679" s="1">
        <v>44143</v>
      </c>
      <c r="B679">
        <v>3461695.62312449</v>
      </c>
      <c r="C679">
        <f t="shared" si="14"/>
        <v>3814788.5766831883</v>
      </c>
    </row>
    <row r="680" spans="1:3" x14ac:dyDescent="0.3">
      <c r="A680" s="1">
        <v>44144</v>
      </c>
      <c r="B680">
        <v>3460836.04530431</v>
      </c>
      <c r="C680">
        <f t="shared" si="14"/>
        <v>3813841.32192535</v>
      </c>
    </row>
    <row r="681" spans="1:3" x14ac:dyDescent="0.3">
      <c r="A681" s="1">
        <v>44145</v>
      </c>
      <c r="B681">
        <v>2588161.6339169</v>
      </c>
      <c r="C681">
        <f t="shared" si="14"/>
        <v>2852154.1205764241</v>
      </c>
    </row>
    <row r="682" spans="1:3" x14ac:dyDescent="0.3">
      <c r="A682" s="1">
        <v>44146</v>
      </c>
      <c r="B682">
        <v>3707448.94985716</v>
      </c>
      <c r="C682">
        <f t="shared" si="14"/>
        <v>4085608.7427425906</v>
      </c>
    </row>
    <row r="683" spans="1:3" x14ac:dyDescent="0.3">
      <c r="A683" s="1">
        <v>44147</v>
      </c>
      <c r="B683">
        <v>3181789.1197769199</v>
      </c>
      <c r="C683">
        <f t="shared" si="14"/>
        <v>3506331.6099941661</v>
      </c>
    </row>
    <row r="684" spans="1:3" x14ac:dyDescent="0.3">
      <c r="A684" s="1">
        <v>44148</v>
      </c>
      <c r="B684">
        <v>2940426.9553030799</v>
      </c>
      <c r="C684">
        <f t="shared" si="14"/>
        <v>3240350.5047439942</v>
      </c>
    </row>
    <row r="685" spans="1:3" x14ac:dyDescent="0.3">
      <c r="A685" s="1">
        <v>44149</v>
      </c>
      <c r="B685">
        <v>2164816.2869864102</v>
      </c>
      <c r="C685">
        <f t="shared" si="14"/>
        <v>2385627.548259024</v>
      </c>
    </row>
    <row r="686" spans="1:3" x14ac:dyDescent="0.3">
      <c r="A686" s="1">
        <v>44150</v>
      </c>
      <c r="B686">
        <v>1515796.11188759</v>
      </c>
      <c r="C686">
        <f t="shared" si="14"/>
        <v>1670407.3153001245</v>
      </c>
    </row>
    <row r="687" spans="1:3" x14ac:dyDescent="0.3">
      <c r="A687" s="1">
        <v>44151</v>
      </c>
      <c r="B687">
        <v>1981401.63241272</v>
      </c>
      <c r="C687">
        <f t="shared" si="14"/>
        <v>2183504.5989188175</v>
      </c>
    </row>
    <row r="688" spans="1:3" x14ac:dyDescent="0.3">
      <c r="A688" s="1">
        <v>44152</v>
      </c>
      <c r="B688">
        <v>2294097.2066445099</v>
      </c>
      <c r="C688">
        <f t="shared" si="14"/>
        <v>2528095.1217222502</v>
      </c>
    </row>
    <row r="689" spans="1:3" x14ac:dyDescent="0.3">
      <c r="A689" s="1">
        <v>44153</v>
      </c>
      <c r="B689">
        <v>2601452.0527361599</v>
      </c>
      <c r="C689">
        <f t="shared" si="14"/>
        <v>2866800.1621152484</v>
      </c>
    </row>
    <row r="690" spans="1:3" x14ac:dyDescent="0.3">
      <c r="A690" s="1">
        <v>44154</v>
      </c>
      <c r="B690">
        <v>1799583.2874419</v>
      </c>
      <c r="C690">
        <f t="shared" si="14"/>
        <v>1983140.782760974</v>
      </c>
    </row>
    <row r="691" spans="1:3" x14ac:dyDescent="0.3">
      <c r="A691" s="1">
        <v>44155</v>
      </c>
      <c r="B691">
        <v>2316881.4358218298</v>
      </c>
      <c r="C691">
        <f t="shared" si="14"/>
        <v>2553203.3422756568</v>
      </c>
    </row>
    <row r="692" spans="1:3" x14ac:dyDescent="0.3">
      <c r="A692" s="1">
        <v>44156</v>
      </c>
      <c r="B692">
        <v>2741784.8531662398</v>
      </c>
      <c r="C692">
        <f t="shared" si="14"/>
        <v>3021446.9081891966</v>
      </c>
    </row>
    <row r="693" spans="1:3" x14ac:dyDescent="0.3">
      <c r="A693" s="1">
        <v>44157</v>
      </c>
      <c r="B693">
        <v>2940481.7940075099</v>
      </c>
      <c r="C693">
        <f t="shared" si="14"/>
        <v>3240410.936996276</v>
      </c>
    </row>
    <row r="694" spans="1:3" x14ac:dyDescent="0.3">
      <c r="A694" s="1">
        <v>44158</v>
      </c>
      <c r="B694">
        <v>1479611.1317378101</v>
      </c>
      <c r="C694">
        <f t="shared" si="14"/>
        <v>1630531.4671750669</v>
      </c>
    </row>
    <row r="695" spans="1:3" x14ac:dyDescent="0.3">
      <c r="A695" s="1">
        <v>44159</v>
      </c>
      <c r="B695">
        <v>2000782.8501170599</v>
      </c>
      <c r="C695">
        <f t="shared" si="14"/>
        <v>2204862.7008290002</v>
      </c>
    </row>
    <row r="696" spans="1:3" x14ac:dyDescent="0.3">
      <c r="A696" s="1">
        <v>44160</v>
      </c>
      <c r="B696">
        <v>1845059.4033865801</v>
      </c>
      <c r="C696">
        <f t="shared" si="14"/>
        <v>2033255.4625320113</v>
      </c>
    </row>
    <row r="697" spans="1:3" x14ac:dyDescent="0.3">
      <c r="A697" s="1">
        <v>44161</v>
      </c>
      <c r="B697">
        <v>2154514.9841184299</v>
      </c>
      <c r="C697">
        <f t="shared" si="14"/>
        <v>2374275.5124985101</v>
      </c>
    </row>
    <row r="698" spans="1:3" x14ac:dyDescent="0.3">
      <c r="A698" s="1">
        <v>44162</v>
      </c>
      <c r="B698">
        <v>2641122.9220031602</v>
      </c>
      <c r="C698">
        <f t="shared" si="14"/>
        <v>2910517.460047483</v>
      </c>
    </row>
    <row r="699" spans="1:3" x14ac:dyDescent="0.3">
      <c r="A699" s="1">
        <v>44163</v>
      </c>
      <c r="B699">
        <v>1934165.41462485</v>
      </c>
      <c r="C699">
        <f t="shared" si="14"/>
        <v>2131450.2869165847</v>
      </c>
    </row>
    <row r="700" spans="1:3" x14ac:dyDescent="0.3">
      <c r="A700" s="1">
        <v>44164</v>
      </c>
      <c r="B700">
        <v>1984097.0558523701</v>
      </c>
      <c r="C700">
        <f t="shared" si="14"/>
        <v>2186474.9555493118</v>
      </c>
    </row>
    <row r="701" spans="1:3" x14ac:dyDescent="0.3">
      <c r="A701" s="1">
        <v>44165</v>
      </c>
      <c r="B701">
        <v>2459604.0630417699</v>
      </c>
      <c r="C701">
        <f t="shared" si="14"/>
        <v>2710483.6774720307</v>
      </c>
    </row>
    <row r="702" spans="1:3" x14ac:dyDescent="0.3">
      <c r="A702" s="1">
        <v>44166</v>
      </c>
      <c r="B702">
        <v>1962696.13203455</v>
      </c>
      <c r="C702">
        <f t="shared" si="14"/>
        <v>2162891.1375020742</v>
      </c>
    </row>
    <row r="703" spans="1:3" x14ac:dyDescent="0.3">
      <c r="A703" s="1">
        <v>44167</v>
      </c>
      <c r="B703">
        <v>3867233.5665068999</v>
      </c>
      <c r="C703">
        <f t="shared" si="14"/>
        <v>4261691.390290604</v>
      </c>
    </row>
    <row r="704" spans="1:3" x14ac:dyDescent="0.3">
      <c r="A704" s="1">
        <v>44168</v>
      </c>
      <c r="B704">
        <v>4178464.4182193601</v>
      </c>
      <c r="C704">
        <f t="shared" si="14"/>
        <v>4604667.7888777349</v>
      </c>
    </row>
    <row r="705" spans="1:3" x14ac:dyDescent="0.3">
      <c r="A705" s="1">
        <v>44169</v>
      </c>
      <c r="B705">
        <v>3668856.31224644</v>
      </c>
      <c r="C705">
        <f t="shared" si="14"/>
        <v>4043079.6560955774</v>
      </c>
    </row>
    <row r="706" spans="1:3" x14ac:dyDescent="0.3">
      <c r="A706" s="1">
        <v>44170</v>
      </c>
      <c r="B706">
        <v>4538736.9032070097</v>
      </c>
      <c r="C706">
        <f t="shared" si="14"/>
        <v>5001688.0673341248</v>
      </c>
    </row>
    <row r="707" spans="1:3" x14ac:dyDescent="0.3">
      <c r="A707" s="1">
        <v>44171</v>
      </c>
      <c r="B707">
        <v>3035248.9250894398</v>
      </c>
      <c r="C707">
        <f t="shared" ref="C707:C770" si="15">B707*1.102</f>
        <v>3344844.3154485631</v>
      </c>
    </row>
    <row r="708" spans="1:3" x14ac:dyDescent="0.3">
      <c r="A708" s="1">
        <v>44172</v>
      </c>
      <c r="B708">
        <v>2650207.1853112401</v>
      </c>
      <c r="C708">
        <f t="shared" si="15"/>
        <v>2920528.3182129869</v>
      </c>
    </row>
    <row r="709" spans="1:3" x14ac:dyDescent="0.3">
      <c r="A709" s="1">
        <v>44173</v>
      </c>
      <c r="B709">
        <v>1244572.8869531599</v>
      </c>
      <c r="C709">
        <f t="shared" si="15"/>
        <v>1371519.3214223823</v>
      </c>
    </row>
    <row r="710" spans="1:3" x14ac:dyDescent="0.3">
      <c r="A710" s="1">
        <v>44174</v>
      </c>
      <c r="B710">
        <v>2884073.6290715798</v>
      </c>
      <c r="C710">
        <f t="shared" si="15"/>
        <v>3178249.1392368814</v>
      </c>
    </row>
    <row r="711" spans="1:3" x14ac:dyDescent="0.3">
      <c r="A711" s="1">
        <v>44175</v>
      </c>
      <c r="B711">
        <v>2170694.67686672</v>
      </c>
      <c r="C711">
        <f t="shared" si="15"/>
        <v>2392105.5339071257</v>
      </c>
    </row>
    <row r="712" spans="1:3" x14ac:dyDescent="0.3">
      <c r="A712" s="1">
        <v>44176</v>
      </c>
      <c r="B712">
        <v>3739609.8736330098</v>
      </c>
      <c r="C712">
        <f t="shared" si="15"/>
        <v>4121050.0807435773</v>
      </c>
    </row>
    <row r="713" spans="1:3" x14ac:dyDescent="0.3">
      <c r="A713" s="1">
        <v>44177</v>
      </c>
      <c r="B713">
        <v>2463920.8603726602</v>
      </c>
      <c r="C713">
        <f t="shared" si="15"/>
        <v>2715240.7881306717</v>
      </c>
    </row>
    <row r="714" spans="1:3" x14ac:dyDescent="0.3">
      <c r="A714" s="1">
        <v>44178</v>
      </c>
      <c r="B714">
        <v>1383070.5317537701</v>
      </c>
      <c r="C714">
        <f t="shared" si="15"/>
        <v>1524143.7259926547</v>
      </c>
    </row>
    <row r="715" spans="1:3" x14ac:dyDescent="0.3">
      <c r="A715" s="1">
        <v>44179</v>
      </c>
      <c r="B715">
        <v>1693097.9692947399</v>
      </c>
      <c r="C715">
        <f t="shared" si="15"/>
        <v>1865793.9621628034</v>
      </c>
    </row>
    <row r="716" spans="1:3" x14ac:dyDescent="0.3">
      <c r="A716" s="1">
        <v>44180</v>
      </c>
      <c r="B716">
        <v>2537365.7194305402</v>
      </c>
      <c r="C716">
        <f t="shared" si="15"/>
        <v>2796177.0228124554</v>
      </c>
    </row>
    <row r="717" spans="1:3" x14ac:dyDescent="0.3">
      <c r="A717" s="1">
        <v>44181</v>
      </c>
      <c r="B717">
        <v>2774317.2746842802</v>
      </c>
      <c r="C717">
        <f t="shared" si="15"/>
        <v>3057297.636702077</v>
      </c>
    </row>
    <row r="718" spans="1:3" x14ac:dyDescent="0.3">
      <c r="A718" s="1">
        <v>44182</v>
      </c>
      <c r="B718">
        <v>3139553.30430836</v>
      </c>
      <c r="C718">
        <f t="shared" si="15"/>
        <v>3459787.741347813</v>
      </c>
    </row>
    <row r="719" spans="1:3" x14ac:dyDescent="0.3">
      <c r="A719" s="1">
        <v>44183</v>
      </c>
      <c r="B719">
        <v>1828542.4473081599</v>
      </c>
      <c r="C719">
        <f t="shared" si="15"/>
        <v>2015053.7769335923</v>
      </c>
    </row>
    <row r="720" spans="1:3" x14ac:dyDescent="0.3">
      <c r="A720" s="1">
        <v>44184</v>
      </c>
      <c r="B720">
        <v>1944940.8372251501</v>
      </c>
      <c r="C720">
        <f t="shared" si="15"/>
        <v>2143324.8026221157</v>
      </c>
    </row>
    <row r="721" spans="1:3" x14ac:dyDescent="0.3">
      <c r="A721" s="1">
        <v>44185</v>
      </c>
      <c r="B721">
        <v>2221566.50158943</v>
      </c>
      <c r="C721">
        <f t="shared" si="15"/>
        <v>2448166.2847515522</v>
      </c>
    </row>
    <row r="722" spans="1:3" x14ac:dyDescent="0.3">
      <c r="A722" s="1">
        <v>44186</v>
      </c>
      <c r="B722">
        <v>2570593.6382295499</v>
      </c>
      <c r="C722">
        <f t="shared" si="15"/>
        <v>2832794.1893289643</v>
      </c>
    </row>
    <row r="723" spans="1:3" x14ac:dyDescent="0.3">
      <c r="A723" s="1">
        <v>44187</v>
      </c>
      <c r="B723">
        <v>2553650.2107925601</v>
      </c>
      <c r="C723">
        <f t="shared" si="15"/>
        <v>2814122.5322934017</v>
      </c>
    </row>
    <row r="724" spans="1:3" x14ac:dyDescent="0.3">
      <c r="A724" s="1">
        <v>44188</v>
      </c>
      <c r="B724">
        <v>3517176.2475383701</v>
      </c>
      <c r="C724">
        <f t="shared" si="15"/>
        <v>3875928.2247872842</v>
      </c>
    </row>
    <row r="725" spans="1:3" x14ac:dyDescent="0.3">
      <c r="A725" s="1">
        <v>44189</v>
      </c>
      <c r="B725">
        <v>1656154.5794828599</v>
      </c>
      <c r="C725">
        <f t="shared" si="15"/>
        <v>1825082.3465901117</v>
      </c>
    </row>
    <row r="726" spans="1:3" x14ac:dyDescent="0.3">
      <c r="A726" s="1">
        <v>44190</v>
      </c>
      <c r="B726">
        <v>2668436.04730873</v>
      </c>
      <c r="C726">
        <f t="shared" si="15"/>
        <v>2940616.5241342206</v>
      </c>
    </row>
    <row r="727" spans="1:3" x14ac:dyDescent="0.3">
      <c r="A727" s="1">
        <v>44191</v>
      </c>
      <c r="B727">
        <v>1949803.25769444</v>
      </c>
      <c r="C727">
        <f t="shared" si="15"/>
        <v>2148683.1899792729</v>
      </c>
    </row>
    <row r="728" spans="1:3" x14ac:dyDescent="0.3">
      <c r="A728" s="1">
        <v>44192</v>
      </c>
      <c r="B728">
        <v>2388678.8871292998</v>
      </c>
      <c r="C728">
        <f t="shared" si="15"/>
        <v>2632324.1336164884</v>
      </c>
    </row>
    <row r="729" spans="1:3" x14ac:dyDescent="0.3">
      <c r="A729" s="1">
        <v>44193</v>
      </c>
      <c r="B729">
        <v>1793301.94162162</v>
      </c>
      <c r="C729">
        <f t="shared" si="15"/>
        <v>1976218.7396670254</v>
      </c>
    </row>
    <row r="730" spans="1:3" x14ac:dyDescent="0.3">
      <c r="A730" s="1">
        <v>44194</v>
      </c>
      <c r="B730">
        <v>2081931.3730623201</v>
      </c>
      <c r="C730">
        <f t="shared" si="15"/>
        <v>2294288.3731146767</v>
      </c>
    </row>
    <row r="731" spans="1:3" x14ac:dyDescent="0.3">
      <c r="A731" s="1">
        <v>44195</v>
      </c>
      <c r="B731">
        <v>2347437.6274165399</v>
      </c>
      <c r="C731">
        <f t="shared" si="15"/>
        <v>2586876.2654130273</v>
      </c>
    </row>
    <row r="732" spans="1:3" x14ac:dyDescent="0.3">
      <c r="A732" s="1">
        <v>44196</v>
      </c>
      <c r="B732">
        <v>3721815.2993119601</v>
      </c>
      <c r="C732">
        <f t="shared" si="15"/>
        <v>4101440.4598417804</v>
      </c>
    </row>
    <row r="733" spans="1:3" x14ac:dyDescent="0.3">
      <c r="A733" s="1">
        <v>44197</v>
      </c>
      <c r="B733">
        <v>1797670.4307463299</v>
      </c>
      <c r="C733">
        <f t="shared" si="15"/>
        <v>1981032.8146824557</v>
      </c>
    </row>
    <row r="734" spans="1:3" x14ac:dyDescent="0.3">
      <c r="A734" s="1">
        <v>44198</v>
      </c>
      <c r="B734">
        <v>2474394.8042389299</v>
      </c>
      <c r="C734">
        <f t="shared" si="15"/>
        <v>2726783.0742713008</v>
      </c>
    </row>
    <row r="735" spans="1:3" x14ac:dyDescent="0.3">
      <c r="A735" s="1">
        <v>44199</v>
      </c>
      <c r="B735">
        <v>2261963.7243426</v>
      </c>
      <c r="C735">
        <f t="shared" si="15"/>
        <v>2492684.0242255456</v>
      </c>
    </row>
    <row r="736" spans="1:3" x14ac:dyDescent="0.3">
      <c r="A736" s="1">
        <v>44200</v>
      </c>
      <c r="B736">
        <v>2003010.3767333401</v>
      </c>
      <c r="C736">
        <f t="shared" si="15"/>
        <v>2207317.435160141</v>
      </c>
    </row>
    <row r="737" spans="1:3" x14ac:dyDescent="0.3">
      <c r="A737" s="1">
        <v>44201</v>
      </c>
      <c r="B737">
        <v>3278404.9871493299</v>
      </c>
      <c r="C737">
        <f t="shared" si="15"/>
        <v>3612802.2958385618</v>
      </c>
    </row>
    <row r="738" spans="1:3" x14ac:dyDescent="0.3">
      <c r="A738" s="1">
        <v>44202</v>
      </c>
      <c r="B738">
        <v>1817121.7634521499</v>
      </c>
      <c r="C738">
        <f t="shared" si="15"/>
        <v>2002468.1833242695</v>
      </c>
    </row>
    <row r="739" spans="1:3" x14ac:dyDescent="0.3">
      <c r="A739" s="1">
        <v>44203</v>
      </c>
      <c r="B739">
        <v>2905264.9507881398</v>
      </c>
      <c r="C739">
        <f t="shared" si="15"/>
        <v>3201601.9757685303</v>
      </c>
    </row>
    <row r="740" spans="1:3" x14ac:dyDescent="0.3">
      <c r="A740" s="1">
        <v>44204</v>
      </c>
      <c r="B740">
        <v>2098317.1683299299</v>
      </c>
      <c r="C740">
        <f t="shared" si="15"/>
        <v>2312345.5194995832</v>
      </c>
    </row>
    <row r="741" spans="1:3" x14ac:dyDescent="0.3">
      <c r="A741" s="1">
        <v>44205</v>
      </c>
      <c r="B741">
        <v>2104402.8573942301</v>
      </c>
      <c r="C741">
        <f t="shared" si="15"/>
        <v>2319051.9488484417</v>
      </c>
    </row>
    <row r="742" spans="1:3" x14ac:dyDescent="0.3">
      <c r="A742" s="1">
        <v>44206</v>
      </c>
      <c r="B742">
        <v>1267235.83845385</v>
      </c>
      <c r="C742">
        <f t="shared" si="15"/>
        <v>1396493.8939761429</v>
      </c>
    </row>
    <row r="743" spans="1:3" x14ac:dyDescent="0.3">
      <c r="A743" s="1">
        <v>44207</v>
      </c>
      <c r="B743">
        <v>2529138.6044073701</v>
      </c>
      <c r="C743">
        <f t="shared" si="15"/>
        <v>2787110.7420569221</v>
      </c>
    </row>
    <row r="744" spans="1:3" x14ac:dyDescent="0.3">
      <c r="A744" s="1">
        <v>44208</v>
      </c>
      <c r="B744">
        <v>1909948.3295772001</v>
      </c>
      <c r="C744">
        <f t="shared" si="15"/>
        <v>2104763.0591940745</v>
      </c>
    </row>
    <row r="745" spans="1:3" x14ac:dyDescent="0.3">
      <c r="A745" s="1">
        <v>44209</v>
      </c>
      <c r="B745">
        <v>2642060.9045202401</v>
      </c>
      <c r="C745">
        <f t="shared" si="15"/>
        <v>2911551.1167813051</v>
      </c>
    </row>
    <row r="746" spans="1:3" x14ac:dyDescent="0.3">
      <c r="A746" s="1">
        <v>44210</v>
      </c>
      <c r="B746">
        <v>2714195.9516166402</v>
      </c>
      <c r="C746">
        <f t="shared" si="15"/>
        <v>2991043.9386815378</v>
      </c>
    </row>
    <row r="747" spans="1:3" x14ac:dyDescent="0.3">
      <c r="A747" s="1">
        <v>44211</v>
      </c>
      <c r="B747">
        <v>2845143.1679213601</v>
      </c>
      <c r="C747">
        <f t="shared" si="15"/>
        <v>3135347.7710493393</v>
      </c>
    </row>
    <row r="748" spans="1:3" x14ac:dyDescent="0.3">
      <c r="A748" s="1">
        <v>44212</v>
      </c>
      <c r="B748">
        <v>3196176.4608997102</v>
      </c>
      <c r="C748">
        <f t="shared" si="15"/>
        <v>3522186.459911481</v>
      </c>
    </row>
    <row r="749" spans="1:3" x14ac:dyDescent="0.3">
      <c r="A749" s="1">
        <v>44213</v>
      </c>
      <c r="B749">
        <v>3053393.3817617702</v>
      </c>
      <c r="C749">
        <f t="shared" si="15"/>
        <v>3364839.5067014713</v>
      </c>
    </row>
    <row r="750" spans="1:3" x14ac:dyDescent="0.3">
      <c r="A750" s="1">
        <v>44214</v>
      </c>
      <c r="B750">
        <v>4245230.6642162697</v>
      </c>
      <c r="C750">
        <f t="shared" si="15"/>
        <v>4678244.1919663297</v>
      </c>
    </row>
    <row r="751" spans="1:3" x14ac:dyDescent="0.3">
      <c r="A751" s="1">
        <v>44215</v>
      </c>
      <c r="B751">
        <v>4000680.6333260802</v>
      </c>
      <c r="C751">
        <f t="shared" si="15"/>
        <v>4408750.0579253407</v>
      </c>
    </row>
    <row r="752" spans="1:3" x14ac:dyDescent="0.3">
      <c r="A752" s="1">
        <v>44216</v>
      </c>
      <c r="B752">
        <v>3053871.6163223698</v>
      </c>
      <c r="C752">
        <f t="shared" si="15"/>
        <v>3365366.5211872519</v>
      </c>
    </row>
    <row r="753" spans="1:3" x14ac:dyDescent="0.3">
      <c r="A753" s="1">
        <v>44217</v>
      </c>
      <c r="B753">
        <v>4945238.7956490498</v>
      </c>
      <c r="C753">
        <f t="shared" si="15"/>
        <v>5449653.1528052529</v>
      </c>
    </row>
    <row r="754" spans="1:3" x14ac:dyDescent="0.3">
      <c r="A754" s="1">
        <v>44218</v>
      </c>
      <c r="B754">
        <v>2568726.6020599902</v>
      </c>
      <c r="C754">
        <f t="shared" si="15"/>
        <v>2830736.7154701096</v>
      </c>
    </row>
    <row r="755" spans="1:3" x14ac:dyDescent="0.3">
      <c r="A755" s="1">
        <v>44219</v>
      </c>
      <c r="B755">
        <v>1910366.22236255</v>
      </c>
      <c r="C755">
        <f t="shared" si="15"/>
        <v>2105223.5770435301</v>
      </c>
    </row>
    <row r="756" spans="1:3" x14ac:dyDescent="0.3">
      <c r="A756" s="1">
        <v>44220</v>
      </c>
      <c r="B756">
        <v>1405624.7964245901</v>
      </c>
      <c r="C756">
        <f t="shared" si="15"/>
        <v>1548998.5256598983</v>
      </c>
    </row>
    <row r="757" spans="1:3" x14ac:dyDescent="0.3">
      <c r="A757" s="1">
        <v>44221</v>
      </c>
      <c r="B757">
        <v>3606354.1197768198</v>
      </c>
      <c r="C757">
        <f t="shared" si="15"/>
        <v>3974202.2399940556</v>
      </c>
    </row>
    <row r="758" spans="1:3" x14ac:dyDescent="0.3">
      <c r="A758" s="1">
        <v>44222</v>
      </c>
      <c r="B758">
        <v>3614393.1105624</v>
      </c>
      <c r="C758">
        <f t="shared" si="15"/>
        <v>3983061.2078397651</v>
      </c>
    </row>
    <row r="759" spans="1:3" x14ac:dyDescent="0.3">
      <c r="A759" s="1">
        <v>44223</v>
      </c>
      <c r="B759">
        <v>3585296.7105538798</v>
      </c>
      <c r="C759">
        <f t="shared" si="15"/>
        <v>3950996.9750303761</v>
      </c>
    </row>
    <row r="760" spans="1:3" x14ac:dyDescent="0.3">
      <c r="A760" s="1">
        <v>44224</v>
      </c>
      <c r="B760">
        <v>3357589.2613972002</v>
      </c>
      <c r="C760">
        <f t="shared" si="15"/>
        <v>3700063.3660597149</v>
      </c>
    </row>
    <row r="761" spans="1:3" x14ac:dyDescent="0.3">
      <c r="A761" s="1">
        <v>44225</v>
      </c>
      <c r="B761">
        <v>3623638.0016111899</v>
      </c>
      <c r="C761">
        <f t="shared" si="15"/>
        <v>3993249.0777755314</v>
      </c>
    </row>
    <row r="762" spans="1:3" x14ac:dyDescent="0.3">
      <c r="A762" s="1">
        <v>44226</v>
      </c>
      <c r="B762">
        <v>2915196.0608256599</v>
      </c>
      <c r="C762">
        <f t="shared" si="15"/>
        <v>3212546.0590298777</v>
      </c>
    </row>
    <row r="763" spans="1:3" x14ac:dyDescent="0.3">
      <c r="A763" s="1">
        <v>44227</v>
      </c>
      <c r="B763">
        <v>4328252.9359321399</v>
      </c>
      <c r="C763">
        <f t="shared" si="15"/>
        <v>4769734.7353972187</v>
      </c>
    </row>
    <row r="764" spans="1:3" x14ac:dyDescent="0.3">
      <c r="A764" s="1">
        <v>44228</v>
      </c>
      <c r="B764">
        <v>2439428.33696236</v>
      </c>
      <c r="C764">
        <f t="shared" si="15"/>
        <v>2688250.027332521</v>
      </c>
    </row>
    <row r="765" spans="1:3" x14ac:dyDescent="0.3">
      <c r="A765" s="1">
        <v>44229</v>
      </c>
      <c r="B765">
        <v>2575796.97737495</v>
      </c>
      <c r="C765">
        <f t="shared" si="15"/>
        <v>2838528.2690671952</v>
      </c>
    </row>
    <row r="766" spans="1:3" x14ac:dyDescent="0.3">
      <c r="A766" s="1">
        <v>44230</v>
      </c>
      <c r="B766">
        <v>3307302.4496946698</v>
      </c>
      <c r="C766">
        <f t="shared" si="15"/>
        <v>3644647.2995635266</v>
      </c>
    </row>
    <row r="767" spans="1:3" x14ac:dyDescent="0.3">
      <c r="A767" s="1">
        <v>44231</v>
      </c>
      <c r="B767">
        <v>4313841.5746273603</v>
      </c>
      <c r="C767">
        <f t="shared" si="15"/>
        <v>4753853.4152393518</v>
      </c>
    </row>
    <row r="768" spans="1:3" x14ac:dyDescent="0.3">
      <c r="A768" s="1">
        <v>44232</v>
      </c>
      <c r="B768">
        <v>3826143.4612183101</v>
      </c>
      <c r="C768">
        <f t="shared" si="15"/>
        <v>4216410.0942625776</v>
      </c>
    </row>
    <row r="769" spans="1:3" x14ac:dyDescent="0.3">
      <c r="A769" s="1">
        <v>44233</v>
      </c>
      <c r="B769">
        <v>3895441.13747537</v>
      </c>
      <c r="C769">
        <f t="shared" si="15"/>
        <v>4292776.1334978584</v>
      </c>
    </row>
    <row r="770" spans="1:3" x14ac:dyDescent="0.3">
      <c r="A770" s="1">
        <v>44234</v>
      </c>
      <c r="B770">
        <v>2716150.6989049101</v>
      </c>
      <c r="C770">
        <f t="shared" si="15"/>
        <v>2993198.0701932111</v>
      </c>
    </row>
    <row r="771" spans="1:3" x14ac:dyDescent="0.3">
      <c r="A771" s="1">
        <v>44235</v>
      </c>
      <c r="B771">
        <v>2677638.0366133801</v>
      </c>
      <c r="C771">
        <f t="shared" ref="C771:C834" si="16">B771*1.102</f>
        <v>2950757.1163479453</v>
      </c>
    </row>
    <row r="772" spans="1:3" x14ac:dyDescent="0.3">
      <c r="A772" s="1">
        <v>44236</v>
      </c>
      <c r="B772">
        <v>3581353.0609842199</v>
      </c>
      <c r="C772">
        <f t="shared" si="16"/>
        <v>3946651.0732046105</v>
      </c>
    </row>
    <row r="773" spans="1:3" x14ac:dyDescent="0.3">
      <c r="A773" s="1">
        <v>44237</v>
      </c>
      <c r="B773">
        <v>2796209.6236908701</v>
      </c>
      <c r="C773">
        <f t="shared" si="16"/>
        <v>3081423.0053073391</v>
      </c>
    </row>
    <row r="774" spans="1:3" x14ac:dyDescent="0.3">
      <c r="A774" s="1">
        <v>44238</v>
      </c>
      <c r="B774">
        <v>2926907.6036467999</v>
      </c>
      <c r="C774">
        <f t="shared" si="16"/>
        <v>3225452.1792187737</v>
      </c>
    </row>
    <row r="775" spans="1:3" x14ac:dyDescent="0.3">
      <c r="A775" s="1">
        <v>44239</v>
      </c>
      <c r="B775">
        <v>4200323.0972929997</v>
      </c>
      <c r="C775">
        <f t="shared" si="16"/>
        <v>4628756.0532168858</v>
      </c>
    </row>
    <row r="776" spans="1:3" x14ac:dyDescent="0.3">
      <c r="A776" s="1">
        <v>44240</v>
      </c>
      <c r="B776">
        <v>3160571.5289547401</v>
      </c>
      <c r="C776">
        <f t="shared" si="16"/>
        <v>3482949.8249081238</v>
      </c>
    </row>
    <row r="777" spans="1:3" x14ac:dyDescent="0.3">
      <c r="A777" s="1">
        <v>44241</v>
      </c>
      <c r="B777">
        <v>3576151.74124663</v>
      </c>
      <c r="C777">
        <f t="shared" si="16"/>
        <v>3940919.2188537866</v>
      </c>
    </row>
    <row r="778" spans="1:3" x14ac:dyDescent="0.3">
      <c r="A778" s="1">
        <v>44242</v>
      </c>
      <c r="B778">
        <v>3805521.5635676999</v>
      </c>
      <c r="C778">
        <f t="shared" si="16"/>
        <v>4193684.7630516058</v>
      </c>
    </row>
    <row r="779" spans="1:3" x14ac:dyDescent="0.3">
      <c r="A779" s="1">
        <v>44243</v>
      </c>
      <c r="B779">
        <v>3577501.9604296102</v>
      </c>
      <c r="C779">
        <f t="shared" si="16"/>
        <v>3942407.1603934309</v>
      </c>
    </row>
    <row r="780" spans="1:3" x14ac:dyDescent="0.3">
      <c r="A780" s="1">
        <v>44244</v>
      </c>
      <c r="B780">
        <v>3003461.56592202</v>
      </c>
      <c r="C780">
        <f t="shared" si="16"/>
        <v>3309814.6456460664</v>
      </c>
    </row>
    <row r="781" spans="1:3" x14ac:dyDescent="0.3">
      <c r="A781" s="1">
        <v>44245</v>
      </c>
      <c r="B781">
        <v>3510283.2457172601</v>
      </c>
      <c r="C781">
        <f t="shared" si="16"/>
        <v>3868332.1367804208</v>
      </c>
    </row>
    <row r="782" spans="1:3" x14ac:dyDescent="0.3">
      <c r="A782" s="1">
        <v>44246</v>
      </c>
      <c r="B782">
        <v>3638479.1971295802</v>
      </c>
      <c r="C782">
        <f t="shared" si="16"/>
        <v>4009604.0752367978</v>
      </c>
    </row>
    <row r="783" spans="1:3" x14ac:dyDescent="0.3">
      <c r="A783" s="1">
        <v>44247</v>
      </c>
      <c r="B783">
        <v>2559440.0775843798</v>
      </c>
      <c r="C783">
        <f t="shared" si="16"/>
        <v>2820502.9654979869</v>
      </c>
    </row>
    <row r="784" spans="1:3" x14ac:dyDescent="0.3">
      <c r="A784" s="1">
        <v>44248</v>
      </c>
      <c r="B784">
        <v>2275570.6464056098</v>
      </c>
      <c r="C784">
        <f t="shared" si="16"/>
        <v>2507678.8523389823</v>
      </c>
    </row>
    <row r="785" spans="1:3" x14ac:dyDescent="0.3">
      <c r="A785" s="1">
        <v>44249</v>
      </c>
      <c r="B785">
        <v>3046899.54551449</v>
      </c>
      <c r="C785">
        <f t="shared" si="16"/>
        <v>3357683.299156968</v>
      </c>
    </row>
    <row r="786" spans="1:3" x14ac:dyDescent="0.3">
      <c r="A786" s="1">
        <v>44250</v>
      </c>
      <c r="B786">
        <v>4173914.7873753398</v>
      </c>
      <c r="C786">
        <f t="shared" si="16"/>
        <v>4599654.095687625</v>
      </c>
    </row>
    <row r="787" spans="1:3" x14ac:dyDescent="0.3">
      <c r="A787" s="1">
        <v>44251</v>
      </c>
      <c r="B787">
        <v>2466632.5077251298</v>
      </c>
      <c r="C787">
        <f t="shared" si="16"/>
        <v>2718229.0235130931</v>
      </c>
    </row>
    <row r="788" spans="1:3" x14ac:dyDescent="0.3">
      <c r="A788" s="1">
        <v>44252</v>
      </c>
      <c r="B788">
        <v>2910706.32243165</v>
      </c>
      <c r="C788">
        <f t="shared" si="16"/>
        <v>3207598.3673196784</v>
      </c>
    </row>
    <row r="789" spans="1:3" x14ac:dyDescent="0.3">
      <c r="A789" s="1">
        <v>44253</v>
      </c>
      <c r="B789">
        <v>3258753.2180942702</v>
      </c>
      <c r="C789">
        <f t="shared" si="16"/>
        <v>3591146.0463398863</v>
      </c>
    </row>
    <row r="790" spans="1:3" x14ac:dyDescent="0.3">
      <c r="A790" s="1">
        <v>44254</v>
      </c>
      <c r="B790">
        <v>2395849.5848428402</v>
      </c>
      <c r="C790">
        <f t="shared" si="16"/>
        <v>2640226.2424968099</v>
      </c>
    </row>
    <row r="791" spans="1:3" x14ac:dyDescent="0.3">
      <c r="A791" s="1">
        <v>44255</v>
      </c>
      <c r="B791">
        <v>1572449.9251005701</v>
      </c>
      <c r="C791">
        <f t="shared" si="16"/>
        <v>1732839.8174608285</v>
      </c>
    </row>
    <row r="792" spans="1:3" x14ac:dyDescent="0.3">
      <c r="A792" s="1">
        <v>44256</v>
      </c>
      <c r="B792">
        <v>3033742.3424456101</v>
      </c>
      <c r="C792">
        <f t="shared" si="16"/>
        <v>3343184.0613750624</v>
      </c>
    </row>
    <row r="793" spans="1:3" x14ac:dyDescent="0.3">
      <c r="A793" s="1">
        <v>44257</v>
      </c>
      <c r="B793">
        <v>3971869.3407725198</v>
      </c>
      <c r="C793">
        <f t="shared" si="16"/>
        <v>4377000.013531317</v>
      </c>
    </row>
    <row r="794" spans="1:3" x14ac:dyDescent="0.3">
      <c r="A794" s="1">
        <v>44258</v>
      </c>
      <c r="B794">
        <v>3733111.8020574399</v>
      </c>
      <c r="C794">
        <f t="shared" si="16"/>
        <v>4113889.2058672993</v>
      </c>
    </row>
    <row r="795" spans="1:3" x14ac:dyDescent="0.3">
      <c r="A795" s="1">
        <v>44259</v>
      </c>
      <c r="B795">
        <v>4066330.8229095498</v>
      </c>
      <c r="C795">
        <f t="shared" si="16"/>
        <v>4481096.5668463241</v>
      </c>
    </row>
    <row r="796" spans="1:3" x14ac:dyDescent="0.3">
      <c r="A796" s="1">
        <v>44260</v>
      </c>
      <c r="B796">
        <v>4362824.7856423501</v>
      </c>
      <c r="C796">
        <f t="shared" si="16"/>
        <v>4807832.9137778701</v>
      </c>
    </row>
    <row r="797" spans="1:3" x14ac:dyDescent="0.3">
      <c r="A797" s="1">
        <v>44261</v>
      </c>
      <c r="B797">
        <v>2727068.7665860401</v>
      </c>
      <c r="C797">
        <f t="shared" si="16"/>
        <v>3005229.7807778167</v>
      </c>
    </row>
    <row r="798" spans="1:3" x14ac:dyDescent="0.3">
      <c r="A798" s="1">
        <v>44262</v>
      </c>
      <c r="B798">
        <v>3142701.64637959</v>
      </c>
      <c r="C798">
        <f t="shared" si="16"/>
        <v>3463257.2143103085</v>
      </c>
    </row>
    <row r="799" spans="1:3" x14ac:dyDescent="0.3">
      <c r="A799" s="1">
        <v>44263</v>
      </c>
      <c r="B799">
        <v>2480766.2075137398</v>
      </c>
      <c r="C799">
        <f t="shared" si="16"/>
        <v>2733804.3606801415</v>
      </c>
    </row>
    <row r="800" spans="1:3" x14ac:dyDescent="0.3">
      <c r="A800" s="1">
        <v>44264</v>
      </c>
      <c r="B800">
        <v>3262778.2404431901</v>
      </c>
      <c r="C800">
        <f t="shared" si="16"/>
        <v>3595581.6209683958</v>
      </c>
    </row>
    <row r="801" spans="1:3" x14ac:dyDescent="0.3">
      <c r="A801" s="1">
        <v>44265</v>
      </c>
      <c r="B801">
        <v>2214623.6773322201</v>
      </c>
      <c r="C801">
        <f t="shared" si="16"/>
        <v>2440515.2924201069</v>
      </c>
    </row>
    <row r="802" spans="1:3" x14ac:dyDescent="0.3">
      <c r="A802" s="1">
        <v>44266</v>
      </c>
      <c r="B802">
        <v>5428487.9073645798</v>
      </c>
      <c r="C802">
        <f t="shared" si="16"/>
        <v>5982193.6739157671</v>
      </c>
    </row>
    <row r="803" spans="1:3" x14ac:dyDescent="0.3">
      <c r="A803" s="1">
        <v>44267</v>
      </c>
      <c r="B803">
        <v>3997345.9835401699</v>
      </c>
      <c r="C803">
        <f t="shared" si="16"/>
        <v>4405075.2738612676</v>
      </c>
    </row>
    <row r="804" spans="1:3" x14ac:dyDescent="0.3">
      <c r="A804" s="1">
        <v>44268</v>
      </c>
      <c r="B804">
        <v>3172382.2451734701</v>
      </c>
      <c r="C804">
        <f t="shared" si="16"/>
        <v>3495965.2341811643</v>
      </c>
    </row>
    <row r="805" spans="1:3" x14ac:dyDescent="0.3">
      <c r="A805" s="1">
        <v>44269</v>
      </c>
      <c r="B805">
        <v>2370549.4038756699</v>
      </c>
      <c r="C805">
        <f t="shared" si="16"/>
        <v>2612345.4430709886</v>
      </c>
    </row>
    <row r="806" spans="1:3" x14ac:dyDescent="0.3">
      <c r="A806" s="1">
        <v>44270</v>
      </c>
      <c r="B806">
        <v>3418577.93300814</v>
      </c>
      <c r="C806">
        <f t="shared" si="16"/>
        <v>3767272.8821749706</v>
      </c>
    </row>
    <row r="807" spans="1:3" x14ac:dyDescent="0.3">
      <c r="A807" s="1">
        <v>44271</v>
      </c>
      <c r="B807">
        <v>3845210.2025786098</v>
      </c>
      <c r="C807">
        <f t="shared" si="16"/>
        <v>4237421.6432416281</v>
      </c>
    </row>
    <row r="808" spans="1:3" x14ac:dyDescent="0.3">
      <c r="A808" s="1">
        <v>44272</v>
      </c>
      <c r="B808">
        <v>4733310.8870355804</v>
      </c>
      <c r="C808">
        <f t="shared" si="16"/>
        <v>5216108.59751321</v>
      </c>
    </row>
    <row r="809" spans="1:3" x14ac:dyDescent="0.3">
      <c r="A809" s="1">
        <v>44273</v>
      </c>
      <c r="B809">
        <v>3528763.5744899502</v>
      </c>
      <c r="C809">
        <f t="shared" si="16"/>
        <v>3888697.4590879255</v>
      </c>
    </row>
    <row r="810" spans="1:3" x14ac:dyDescent="0.3">
      <c r="A810" s="1">
        <v>44274</v>
      </c>
      <c r="B810">
        <v>4188537.9973689201</v>
      </c>
      <c r="C810">
        <f t="shared" si="16"/>
        <v>4615768.8731005499</v>
      </c>
    </row>
    <row r="811" spans="1:3" x14ac:dyDescent="0.3">
      <c r="A811" s="1">
        <v>44275</v>
      </c>
      <c r="B811">
        <v>3056023.5526825502</v>
      </c>
      <c r="C811">
        <f t="shared" si="16"/>
        <v>3367737.9550561705</v>
      </c>
    </row>
    <row r="812" spans="1:3" x14ac:dyDescent="0.3">
      <c r="A812" s="1">
        <v>44276</v>
      </c>
      <c r="B812">
        <v>3847101.9767949199</v>
      </c>
      <c r="C812">
        <f t="shared" si="16"/>
        <v>4239506.3784280019</v>
      </c>
    </row>
    <row r="813" spans="1:3" x14ac:dyDescent="0.3">
      <c r="A813" s="1">
        <v>44277</v>
      </c>
      <c r="B813">
        <v>2336120.03050886</v>
      </c>
      <c r="C813">
        <f t="shared" si="16"/>
        <v>2574404.2736207638</v>
      </c>
    </row>
    <row r="814" spans="1:3" x14ac:dyDescent="0.3">
      <c r="A814" s="1">
        <v>44278</v>
      </c>
      <c r="B814">
        <v>3690519.9549013199</v>
      </c>
      <c r="C814">
        <f t="shared" si="16"/>
        <v>4066952.9903012547</v>
      </c>
    </row>
    <row r="815" spans="1:3" x14ac:dyDescent="0.3">
      <c r="A815" s="1">
        <v>44279</v>
      </c>
      <c r="B815">
        <v>4090798.0400334499</v>
      </c>
      <c r="C815">
        <f t="shared" si="16"/>
        <v>4508059.4401168618</v>
      </c>
    </row>
    <row r="816" spans="1:3" x14ac:dyDescent="0.3">
      <c r="A816" s="1">
        <v>44280</v>
      </c>
      <c r="B816">
        <v>3483545.6388451802</v>
      </c>
      <c r="C816">
        <f t="shared" si="16"/>
        <v>3838867.2940073889</v>
      </c>
    </row>
    <row r="817" spans="1:3" x14ac:dyDescent="0.3">
      <c r="A817" s="1">
        <v>44281</v>
      </c>
      <c r="B817">
        <v>2155740.0695593199</v>
      </c>
      <c r="C817">
        <f t="shared" si="16"/>
        <v>2375625.5566543709</v>
      </c>
    </row>
    <row r="818" spans="1:3" x14ac:dyDescent="0.3">
      <c r="A818" s="1">
        <v>44282</v>
      </c>
      <c r="B818">
        <v>3263432.2414107299</v>
      </c>
      <c r="C818">
        <f t="shared" si="16"/>
        <v>3596302.3300346248</v>
      </c>
    </row>
    <row r="819" spans="1:3" x14ac:dyDescent="0.3">
      <c r="A819" s="1">
        <v>44283</v>
      </c>
      <c r="B819">
        <v>3056284.1655759402</v>
      </c>
      <c r="C819">
        <f t="shared" si="16"/>
        <v>3368025.1504646866</v>
      </c>
    </row>
    <row r="820" spans="1:3" x14ac:dyDescent="0.3">
      <c r="A820" s="1">
        <v>44284</v>
      </c>
      <c r="B820">
        <v>2516841.0601979098</v>
      </c>
      <c r="C820">
        <f t="shared" si="16"/>
        <v>2773558.8483380969</v>
      </c>
    </row>
    <row r="821" spans="1:3" x14ac:dyDescent="0.3">
      <c r="A821" s="1">
        <v>44285</v>
      </c>
      <c r="B821">
        <v>3247894.2837378201</v>
      </c>
      <c r="C821">
        <f t="shared" si="16"/>
        <v>3579179.500679078</v>
      </c>
    </row>
    <row r="822" spans="1:3" x14ac:dyDescent="0.3">
      <c r="A822" s="1">
        <v>44286</v>
      </c>
      <c r="B822">
        <v>3142540.1480637798</v>
      </c>
      <c r="C822">
        <f t="shared" si="16"/>
        <v>3463079.2431662856</v>
      </c>
    </row>
    <row r="823" spans="1:3" x14ac:dyDescent="0.3">
      <c r="A823" s="1">
        <v>44287</v>
      </c>
      <c r="B823">
        <v>4150732.71348421</v>
      </c>
      <c r="C823">
        <f t="shared" si="16"/>
        <v>4574107.4502595998</v>
      </c>
    </row>
    <row r="824" spans="1:3" x14ac:dyDescent="0.3">
      <c r="A824" s="1">
        <v>44288</v>
      </c>
      <c r="B824">
        <v>3440643.0878829299</v>
      </c>
      <c r="C824">
        <f t="shared" si="16"/>
        <v>3791588.682846989</v>
      </c>
    </row>
    <row r="825" spans="1:3" x14ac:dyDescent="0.3">
      <c r="A825" s="1">
        <v>44289</v>
      </c>
      <c r="B825">
        <v>5378139.88594562</v>
      </c>
      <c r="C825">
        <f t="shared" si="16"/>
        <v>5926710.1543120742</v>
      </c>
    </row>
    <row r="826" spans="1:3" x14ac:dyDescent="0.3">
      <c r="A826" s="1">
        <v>44290</v>
      </c>
      <c r="B826">
        <v>4257590.6347394902</v>
      </c>
      <c r="C826">
        <f t="shared" si="16"/>
        <v>4691864.8794829184</v>
      </c>
    </row>
    <row r="827" spans="1:3" x14ac:dyDescent="0.3">
      <c r="A827" s="1">
        <v>44291</v>
      </c>
      <c r="B827">
        <v>2166770.7694308101</v>
      </c>
      <c r="C827">
        <f t="shared" si="16"/>
        <v>2387781.387912753</v>
      </c>
    </row>
    <row r="828" spans="1:3" x14ac:dyDescent="0.3">
      <c r="A828" s="1">
        <v>44292</v>
      </c>
      <c r="B828">
        <v>3009926.0552904001</v>
      </c>
      <c r="C828">
        <f t="shared" si="16"/>
        <v>3316938.5129300212</v>
      </c>
    </row>
    <row r="829" spans="1:3" x14ac:dyDescent="0.3">
      <c r="A829" s="1">
        <v>44293</v>
      </c>
      <c r="B829">
        <v>4398382.1596757704</v>
      </c>
      <c r="C829">
        <f t="shared" si="16"/>
        <v>4847017.1399626993</v>
      </c>
    </row>
    <row r="830" spans="1:3" x14ac:dyDescent="0.3">
      <c r="A830" s="1">
        <v>44294</v>
      </c>
      <c r="B830">
        <v>3726411.3343402101</v>
      </c>
      <c r="C830">
        <f t="shared" si="16"/>
        <v>4106505.2904429119</v>
      </c>
    </row>
    <row r="831" spans="1:3" x14ac:dyDescent="0.3">
      <c r="A831" s="1">
        <v>44295</v>
      </c>
      <c r="B831">
        <v>4113200.2540807198</v>
      </c>
      <c r="C831">
        <f t="shared" si="16"/>
        <v>4532746.6799969533</v>
      </c>
    </row>
    <row r="832" spans="1:3" x14ac:dyDescent="0.3">
      <c r="A832" s="1">
        <v>44296</v>
      </c>
      <c r="B832">
        <v>3393085.1931389701</v>
      </c>
      <c r="C832">
        <f t="shared" si="16"/>
        <v>3739179.8828391451</v>
      </c>
    </row>
    <row r="833" spans="1:3" x14ac:dyDescent="0.3">
      <c r="A833" s="1">
        <v>44297</v>
      </c>
      <c r="B833">
        <v>3256635.03453054</v>
      </c>
      <c r="C833">
        <f t="shared" si="16"/>
        <v>3588811.8080526553</v>
      </c>
    </row>
    <row r="834" spans="1:3" x14ac:dyDescent="0.3">
      <c r="A834" s="1">
        <v>44298</v>
      </c>
      <c r="B834">
        <v>4021427.2934637</v>
      </c>
      <c r="C834">
        <f t="shared" si="16"/>
        <v>4431612.877396998</v>
      </c>
    </row>
    <row r="835" spans="1:3" x14ac:dyDescent="0.3">
      <c r="A835" s="1">
        <v>44299</v>
      </c>
      <c r="B835">
        <v>4095178.5392276798</v>
      </c>
      <c r="C835">
        <f t="shared" ref="C835:C898" si="17">B835*1.102</f>
        <v>4512886.7502289033</v>
      </c>
    </row>
    <row r="836" spans="1:3" x14ac:dyDescent="0.3">
      <c r="A836" s="1">
        <v>44300</v>
      </c>
      <c r="B836">
        <v>3749838.0098283901</v>
      </c>
      <c r="C836">
        <f t="shared" si="17"/>
        <v>4132321.486830886</v>
      </c>
    </row>
    <row r="837" spans="1:3" x14ac:dyDescent="0.3">
      <c r="A837" s="1">
        <v>44301</v>
      </c>
      <c r="B837">
        <v>4167076.7205706402</v>
      </c>
      <c r="C837">
        <f t="shared" si="17"/>
        <v>4592118.5460688462</v>
      </c>
    </row>
    <row r="838" spans="1:3" x14ac:dyDescent="0.3">
      <c r="A838" s="1">
        <v>44302</v>
      </c>
      <c r="B838">
        <v>3598463.3362163999</v>
      </c>
      <c r="C838">
        <f t="shared" si="17"/>
        <v>3965506.5965104732</v>
      </c>
    </row>
    <row r="839" spans="1:3" x14ac:dyDescent="0.3">
      <c r="A839" s="1">
        <v>44303</v>
      </c>
      <c r="B839">
        <v>4408604.8454269497</v>
      </c>
      <c r="C839">
        <f t="shared" si="17"/>
        <v>4858282.5396604985</v>
      </c>
    </row>
    <row r="840" spans="1:3" x14ac:dyDescent="0.3">
      <c r="A840" s="1">
        <v>44304</v>
      </c>
      <c r="B840">
        <v>4340093.2221892904</v>
      </c>
      <c r="C840">
        <f t="shared" si="17"/>
        <v>4782782.7308525983</v>
      </c>
    </row>
    <row r="841" spans="1:3" x14ac:dyDescent="0.3">
      <c r="A841" s="1">
        <v>44305</v>
      </c>
      <c r="B841">
        <v>3815257.1982922801</v>
      </c>
      <c r="C841">
        <f t="shared" si="17"/>
        <v>4204413.4325180929</v>
      </c>
    </row>
    <row r="842" spans="1:3" x14ac:dyDescent="0.3">
      <c r="A842" s="1">
        <v>44306</v>
      </c>
      <c r="B842">
        <v>5056416.61778038</v>
      </c>
      <c r="C842">
        <f t="shared" si="17"/>
        <v>5572171.1127939792</v>
      </c>
    </row>
    <row r="843" spans="1:3" x14ac:dyDescent="0.3">
      <c r="A843" s="1">
        <v>44307</v>
      </c>
      <c r="B843">
        <v>4020527.0119569101</v>
      </c>
      <c r="C843">
        <f t="shared" si="17"/>
        <v>4430620.7671765154</v>
      </c>
    </row>
    <row r="844" spans="1:3" x14ac:dyDescent="0.3">
      <c r="A844" s="1">
        <v>44308</v>
      </c>
      <c r="B844">
        <v>4237626.6907109702</v>
      </c>
      <c r="C844">
        <f t="shared" si="17"/>
        <v>4669864.6131634898</v>
      </c>
    </row>
    <row r="845" spans="1:3" x14ac:dyDescent="0.3">
      <c r="A845" s="1">
        <v>44309</v>
      </c>
      <c r="B845">
        <v>4031666.2922117598</v>
      </c>
      <c r="C845">
        <f t="shared" si="17"/>
        <v>4442896.2540173596</v>
      </c>
    </row>
    <row r="846" spans="1:3" x14ac:dyDescent="0.3">
      <c r="A846" s="1">
        <v>44310</v>
      </c>
      <c r="B846">
        <v>3447501.1183856302</v>
      </c>
      <c r="C846">
        <f t="shared" si="17"/>
        <v>3799146.2324609649</v>
      </c>
    </row>
    <row r="847" spans="1:3" x14ac:dyDescent="0.3">
      <c r="A847" s="1">
        <v>44311</v>
      </c>
      <c r="B847">
        <v>3556086.4354956201</v>
      </c>
      <c r="C847">
        <f t="shared" si="17"/>
        <v>3918807.2519161738</v>
      </c>
    </row>
    <row r="848" spans="1:3" x14ac:dyDescent="0.3">
      <c r="A848" s="1">
        <v>44312</v>
      </c>
      <c r="B848">
        <v>4440539.3578292802</v>
      </c>
      <c r="C848">
        <f t="shared" si="17"/>
        <v>4893474.372327867</v>
      </c>
    </row>
    <row r="849" spans="1:3" x14ac:dyDescent="0.3">
      <c r="A849" s="1">
        <v>44313</v>
      </c>
      <c r="B849">
        <v>3757137.6681437902</v>
      </c>
      <c r="C849">
        <f t="shared" si="17"/>
        <v>4140365.7102944572</v>
      </c>
    </row>
    <row r="850" spans="1:3" x14ac:dyDescent="0.3">
      <c r="A850" s="1">
        <v>44314</v>
      </c>
      <c r="B850">
        <v>3574404.4683488901</v>
      </c>
      <c r="C850">
        <f t="shared" si="17"/>
        <v>3938993.7241204772</v>
      </c>
    </row>
    <row r="851" spans="1:3" x14ac:dyDescent="0.3">
      <c r="A851" s="1">
        <v>44315</v>
      </c>
      <c r="B851">
        <v>1952766.14865253</v>
      </c>
      <c r="C851">
        <f t="shared" si="17"/>
        <v>2151948.2958150883</v>
      </c>
    </row>
    <row r="852" spans="1:3" x14ac:dyDescent="0.3">
      <c r="A852" s="1">
        <v>44316</v>
      </c>
      <c r="B852">
        <v>3390903.6920345402</v>
      </c>
      <c r="C852">
        <f t="shared" si="17"/>
        <v>3736775.8686220637</v>
      </c>
    </row>
    <row r="853" spans="1:3" x14ac:dyDescent="0.3">
      <c r="A853" s="1">
        <v>44317</v>
      </c>
      <c r="B853">
        <v>2729198.1603803001</v>
      </c>
      <c r="C853">
        <f t="shared" si="17"/>
        <v>3007576.372739091</v>
      </c>
    </row>
    <row r="854" spans="1:3" x14ac:dyDescent="0.3">
      <c r="A854" s="1">
        <v>44318</v>
      </c>
      <c r="B854">
        <v>2937650.1939455299</v>
      </c>
      <c r="C854">
        <f t="shared" si="17"/>
        <v>3237290.5137279741</v>
      </c>
    </row>
    <row r="855" spans="1:3" x14ac:dyDescent="0.3">
      <c r="A855" s="1">
        <v>44319</v>
      </c>
      <c r="B855">
        <v>3553478.0358756101</v>
      </c>
      <c r="C855">
        <f t="shared" si="17"/>
        <v>3915932.7955349227</v>
      </c>
    </row>
    <row r="856" spans="1:3" x14ac:dyDescent="0.3">
      <c r="A856" s="1">
        <v>44320</v>
      </c>
      <c r="B856">
        <v>2796049.46452029</v>
      </c>
      <c r="C856">
        <f t="shared" si="17"/>
        <v>3081246.5099013597</v>
      </c>
    </row>
    <row r="857" spans="1:3" x14ac:dyDescent="0.3">
      <c r="A857" s="1">
        <v>44321</v>
      </c>
      <c r="B857">
        <v>3028192.1196867898</v>
      </c>
      <c r="C857">
        <f t="shared" si="17"/>
        <v>3337067.7158948425</v>
      </c>
    </row>
    <row r="858" spans="1:3" x14ac:dyDescent="0.3">
      <c r="A858" s="1">
        <v>44322</v>
      </c>
      <c r="B858">
        <v>5683899.7922841003</v>
      </c>
      <c r="C858">
        <f t="shared" si="17"/>
        <v>6263657.5710970787</v>
      </c>
    </row>
    <row r="859" spans="1:3" x14ac:dyDescent="0.3">
      <c r="A859" s="1">
        <v>44323</v>
      </c>
      <c r="B859">
        <v>4054492.9729695199</v>
      </c>
      <c r="C859">
        <f t="shared" si="17"/>
        <v>4468051.2562124114</v>
      </c>
    </row>
    <row r="860" spans="1:3" x14ac:dyDescent="0.3">
      <c r="A860" s="1">
        <v>44324</v>
      </c>
      <c r="B860">
        <v>4074483.1435791198</v>
      </c>
      <c r="C860">
        <f t="shared" si="17"/>
        <v>4490080.4242241904</v>
      </c>
    </row>
    <row r="861" spans="1:3" x14ac:dyDescent="0.3">
      <c r="A861" s="1">
        <v>44325</v>
      </c>
      <c r="B861">
        <v>3353644.5757187</v>
      </c>
      <c r="C861">
        <f t="shared" si="17"/>
        <v>3695716.3224420077</v>
      </c>
    </row>
    <row r="862" spans="1:3" x14ac:dyDescent="0.3">
      <c r="A862" s="1">
        <v>44326</v>
      </c>
      <c r="B862">
        <v>3750060.7259439901</v>
      </c>
      <c r="C862">
        <f t="shared" si="17"/>
        <v>4132566.9199902774</v>
      </c>
    </row>
    <row r="863" spans="1:3" x14ac:dyDescent="0.3">
      <c r="A863" s="1">
        <v>44327</v>
      </c>
      <c r="B863">
        <v>4408894.2328354698</v>
      </c>
      <c r="C863">
        <f t="shared" si="17"/>
        <v>4858601.4445846882</v>
      </c>
    </row>
    <row r="864" spans="1:3" x14ac:dyDescent="0.3">
      <c r="A864" s="1">
        <v>44328</v>
      </c>
      <c r="B864">
        <v>4821962.3284647297</v>
      </c>
      <c r="C864">
        <f t="shared" si="17"/>
        <v>5313802.4859681325</v>
      </c>
    </row>
    <row r="865" spans="1:3" x14ac:dyDescent="0.3">
      <c r="A865" s="1">
        <v>44329</v>
      </c>
      <c r="B865">
        <v>3667880.29868655</v>
      </c>
      <c r="C865">
        <f t="shared" si="17"/>
        <v>4042004.0891525783</v>
      </c>
    </row>
    <row r="866" spans="1:3" x14ac:dyDescent="0.3">
      <c r="A866" s="1">
        <v>44330</v>
      </c>
      <c r="B866">
        <v>3317889.5148714599</v>
      </c>
      <c r="C866">
        <f t="shared" si="17"/>
        <v>3656314.2453883491</v>
      </c>
    </row>
    <row r="867" spans="1:3" x14ac:dyDescent="0.3">
      <c r="A867" s="1">
        <v>44331</v>
      </c>
      <c r="B867">
        <v>3870392.9883888899</v>
      </c>
      <c r="C867">
        <f t="shared" si="17"/>
        <v>4265173.0732045574</v>
      </c>
    </row>
    <row r="868" spans="1:3" x14ac:dyDescent="0.3">
      <c r="A868" s="1">
        <v>44332</v>
      </c>
      <c r="B868">
        <v>2942914.2507557301</v>
      </c>
      <c r="C868">
        <f t="shared" si="17"/>
        <v>3243091.5043328148</v>
      </c>
    </row>
    <row r="869" spans="1:3" x14ac:dyDescent="0.3">
      <c r="A869" s="1">
        <v>44333</v>
      </c>
      <c r="B869">
        <v>3266445.5752881202</v>
      </c>
      <c r="C869">
        <f t="shared" si="17"/>
        <v>3599623.0239675087</v>
      </c>
    </row>
    <row r="870" spans="1:3" x14ac:dyDescent="0.3">
      <c r="A870" s="1">
        <v>44334</v>
      </c>
      <c r="B870">
        <v>4120602.1965737301</v>
      </c>
      <c r="C870">
        <f t="shared" si="17"/>
        <v>4540903.6206242507</v>
      </c>
    </row>
    <row r="871" spans="1:3" x14ac:dyDescent="0.3">
      <c r="A871" s="1">
        <v>44335</v>
      </c>
      <c r="B871">
        <v>3577899.2749847099</v>
      </c>
      <c r="C871">
        <f t="shared" si="17"/>
        <v>3942845.0010331506</v>
      </c>
    </row>
    <row r="872" spans="1:3" x14ac:dyDescent="0.3">
      <c r="A872" s="1">
        <v>44336</v>
      </c>
      <c r="B872">
        <v>3976754.6593275801</v>
      </c>
      <c r="C872">
        <f t="shared" si="17"/>
        <v>4382383.6345789935</v>
      </c>
    </row>
    <row r="873" spans="1:3" x14ac:dyDescent="0.3">
      <c r="A873" s="1">
        <v>44337</v>
      </c>
      <c r="B873">
        <v>4901632.0829043798</v>
      </c>
      <c r="C873">
        <f t="shared" si="17"/>
        <v>5401598.5553606274</v>
      </c>
    </row>
    <row r="874" spans="1:3" x14ac:dyDescent="0.3">
      <c r="A874" s="1">
        <v>44338</v>
      </c>
      <c r="B874">
        <v>3942413.7460488998</v>
      </c>
      <c r="C874">
        <f t="shared" si="17"/>
        <v>4344539.9481458878</v>
      </c>
    </row>
    <row r="875" spans="1:3" x14ac:dyDescent="0.3">
      <c r="A875" s="1">
        <v>44339</v>
      </c>
      <c r="B875">
        <v>2914825.96493062</v>
      </c>
      <c r="C875">
        <f t="shared" si="17"/>
        <v>3212138.2133535435</v>
      </c>
    </row>
    <row r="876" spans="1:3" x14ac:dyDescent="0.3">
      <c r="A876" s="1">
        <v>44340</v>
      </c>
      <c r="B876">
        <v>3147380.17106847</v>
      </c>
      <c r="C876">
        <f t="shared" si="17"/>
        <v>3468412.9485174543</v>
      </c>
    </row>
    <row r="877" spans="1:3" x14ac:dyDescent="0.3">
      <c r="A877" s="1">
        <v>44341</v>
      </c>
      <c r="B877">
        <v>3974101.7833250398</v>
      </c>
      <c r="C877">
        <f t="shared" si="17"/>
        <v>4379460.1652241945</v>
      </c>
    </row>
    <row r="878" spans="1:3" x14ac:dyDescent="0.3">
      <c r="A878" s="1">
        <v>44342</v>
      </c>
      <c r="B878">
        <v>2384733.0094786398</v>
      </c>
      <c r="C878">
        <f t="shared" si="17"/>
        <v>2627975.7764454614</v>
      </c>
    </row>
    <row r="879" spans="1:3" x14ac:dyDescent="0.3">
      <c r="A879" s="1">
        <v>44343</v>
      </c>
      <c r="B879">
        <v>3981613.2342256</v>
      </c>
      <c r="C879">
        <f t="shared" si="17"/>
        <v>4387737.7841166118</v>
      </c>
    </row>
    <row r="880" spans="1:3" x14ac:dyDescent="0.3">
      <c r="A880" s="1">
        <v>44344</v>
      </c>
      <c r="B880">
        <v>2449690.72510084</v>
      </c>
      <c r="C880">
        <f t="shared" si="17"/>
        <v>2699559.179061126</v>
      </c>
    </row>
    <row r="881" spans="1:3" x14ac:dyDescent="0.3">
      <c r="A881" s="1">
        <v>44345</v>
      </c>
      <c r="B881">
        <v>3670193.8427665802</v>
      </c>
      <c r="C881">
        <f t="shared" si="17"/>
        <v>4044553.6147287716</v>
      </c>
    </row>
    <row r="882" spans="1:3" x14ac:dyDescent="0.3">
      <c r="A882" s="1">
        <v>44346</v>
      </c>
      <c r="B882">
        <v>4347047.1353339199</v>
      </c>
      <c r="C882">
        <f t="shared" si="17"/>
        <v>4790445.9431379801</v>
      </c>
    </row>
    <row r="883" spans="1:3" x14ac:dyDescent="0.3">
      <c r="A883" s="1">
        <v>44347</v>
      </c>
      <c r="B883">
        <v>3963213.3955530701</v>
      </c>
      <c r="C883">
        <f t="shared" si="17"/>
        <v>4367461.1618994838</v>
      </c>
    </row>
    <row r="884" spans="1:3" x14ac:dyDescent="0.3">
      <c r="A884" s="1">
        <v>44348</v>
      </c>
      <c r="B884">
        <v>4478714.5904085003</v>
      </c>
      <c r="C884">
        <f t="shared" si="17"/>
        <v>4935543.4786301674</v>
      </c>
    </row>
    <row r="885" spans="1:3" x14ac:dyDescent="0.3">
      <c r="A885" s="1">
        <v>44349</v>
      </c>
      <c r="B885">
        <v>3260860.7687734701</v>
      </c>
      <c r="C885">
        <f t="shared" si="17"/>
        <v>3593468.5671883645</v>
      </c>
    </row>
    <row r="886" spans="1:3" x14ac:dyDescent="0.3">
      <c r="A886" s="1">
        <v>44350</v>
      </c>
      <c r="B886">
        <v>4082985.1705058999</v>
      </c>
      <c r="C886">
        <f t="shared" si="17"/>
        <v>4499449.6578975022</v>
      </c>
    </row>
    <row r="887" spans="1:3" x14ac:dyDescent="0.3">
      <c r="A887" s="1">
        <v>44351</v>
      </c>
      <c r="B887">
        <v>3692749.4361378802</v>
      </c>
      <c r="C887">
        <f t="shared" si="17"/>
        <v>4069409.8786239442</v>
      </c>
    </row>
    <row r="888" spans="1:3" x14ac:dyDescent="0.3">
      <c r="A888" s="1">
        <v>44352</v>
      </c>
      <c r="B888">
        <v>5392004.5284235403</v>
      </c>
      <c r="C888">
        <f t="shared" si="17"/>
        <v>5941988.9903227417</v>
      </c>
    </row>
    <row r="889" spans="1:3" x14ac:dyDescent="0.3">
      <c r="A889" s="1">
        <v>44353</v>
      </c>
      <c r="B889">
        <v>3269584.7504742602</v>
      </c>
      <c r="C889">
        <f t="shared" si="17"/>
        <v>3603082.3950226349</v>
      </c>
    </row>
    <row r="890" spans="1:3" x14ac:dyDescent="0.3">
      <c r="A890" s="1">
        <v>44354</v>
      </c>
      <c r="B890">
        <v>3850552.68601292</v>
      </c>
      <c r="C890">
        <f t="shared" si="17"/>
        <v>4243309.0599862384</v>
      </c>
    </row>
    <row r="891" spans="1:3" x14ac:dyDescent="0.3">
      <c r="A891" s="1">
        <v>44355</v>
      </c>
      <c r="B891">
        <v>3518342.5549320099</v>
      </c>
      <c r="C891">
        <f t="shared" si="17"/>
        <v>3877213.4955350752</v>
      </c>
    </row>
    <row r="892" spans="1:3" x14ac:dyDescent="0.3">
      <c r="A892" s="1">
        <v>44356</v>
      </c>
      <c r="B892">
        <v>4344849.0768227102</v>
      </c>
      <c r="C892">
        <f t="shared" si="17"/>
        <v>4788023.6826586267</v>
      </c>
    </row>
    <row r="893" spans="1:3" x14ac:dyDescent="0.3">
      <c r="A893" s="1">
        <v>44357</v>
      </c>
      <c r="B893">
        <v>3022250.0007627499</v>
      </c>
      <c r="C893">
        <f t="shared" si="17"/>
        <v>3330519.5008405508</v>
      </c>
    </row>
    <row r="894" spans="1:3" x14ac:dyDescent="0.3">
      <c r="A894" s="1">
        <v>44358</v>
      </c>
      <c r="B894">
        <v>3958212.6761612999</v>
      </c>
      <c r="C894">
        <f t="shared" si="17"/>
        <v>4361950.3691297527</v>
      </c>
    </row>
    <row r="895" spans="1:3" x14ac:dyDescent="0.3">
      <c r="A895" s="1">
        <v>44359</v>
      </c>
      <c r="B895">
        <v>3433289.62747799</v>
      </c>
      <c r="C895">
        <f t="shared" si="17"/>
        <v>3783485.1694807452</v>
      </c>
    </row>
    <row r="896" spans="1:3" x14ac:dyDescent="0.3">
      <c r="A896" s="1">
        <v>44360</v>
      </c>
      <c r="B896">
        <v>3856157.15691524</v>
      </c>
      <c r="C896">
        <f t="shared" si="17"/>
        <v>4249485.1869205944</v>
      </c>
    </row>
    <row r="897" spans="1:3" x14ac:dyDescent="0.3">
      <c r="A897" s="1">
        <v>44361</v>
      </c>
      <c r="B897">
        <v>4182726.3684771499</v>
      </c>
      <c r="C897">
        <f t="shared" si="17"/>
        <v>4609364.4580618199</v>
      </c>
    </row>
    <row r="898" spans="1:3" x14ac:dyDescent="0.3">
      <c r="A898" s="1">
        <v>44362</v>
      </c>
      <c r="B898">
        <v>3456202.7788724802</v>
      </c>
      <c r="C898">
        <f t="shared" si="17"/>
        <v>3808735.4623174733</v>
      </c>
    </row>
    <row r="899" spans="1:3" x14ac:dyDescent="0.3">
      <c r="A899" s="1">
        <v>44363</v>
      </c>
      <c r="B899">
        <v>3360495.3954669102</v>
      </c>
      <c r="C899">
        <f t="shared" ref="C899:C962" si="18">B899*1.102</f>
        <v>3703265.9258045354</v>
      </c>
    </row>
    <row r="900" spans="1:3" x14ac:dyDescent="0.3">
      <c r="A900" s="1">
        <v>44364</v>
      </c>
      <c r="B900">
        <v>3820134.06847058</v>
      </c>
      <c r="C900">
        <f t="shared" si="18"/>
        <v>4209787.7434545793</v>
      </c>
    </row>
    <row r="901" spans="1:3" x14ac:dyDescent="0.3">
      <c r="A901" s="1">
        <v>44365</v>
      </c>
      <c r="B901">
        <v>4891980.6142772501</v>
      </c>
      <c r="C901">
        <f t="shared" si="18"/>
        <v>5390962.6369335297</v>
      </c>
    </row>
    <row r="902" spans="1:3" x14ac:dyDescent="0.3">
      <c r="A902" s="1">
        <v>44366</v>
      </c>
      <c r="B902">
        <v>3577143.4744772199</v>
      </c>
      <c r="C902">
        <f t="shared" si="18"/>
        <v>3942012.1088738968</v>
      </c>
    </row>
    <row r="903" spans="1:3" x14ac:dyDescent="0.3">
      <c r="A903" s="1">
        <v>44367</v>
      </c>
      <c r="B903">
        <v>4136115.53923976</v>
      </c>
      <c r="C903">
        <f t="shared" si="18"/>
        <v>4557999.3242422156</v>
      </c>
    </row>
    <row r="904" spans="1:3" x14ac:dyDescent="0.3">
      <c r="A904" s="1">
        <v>44368</v>
      </c>
      <c r="B904">
        <v>3779199.31397857</v>
      </c>
      <c r="C904">
        <f t="shared" si="18"/>
        <v>4164677.6440043845</v>
      </c>
    </row>
    <row r="905" spans="1:3" x14ac:dyDescent="0.3">
      <c r="A905" s="1">
        <v>44369</v>
      </c>
      <c r="B905">
        <v>3851282.6949716201</v>
      </c>
      <c r="C905">
        <f t="shared" si="18"/>
        <v>4244113.5298587261</v>
      </c>
    </row>
    <row r="906" spans="1:3" x14ac:dyDescent="0.3">
      <c r="A906" s="1">
        <v>44370</v>
      </c>
      <c r="B906">
        <v>4765788.7299958896</v>
      </c>
      <c r="C906">
        <f t="shared" si="18"/>
        <v>5251899.1804554705</v>
      </c>
    </row>
    <row r="907" spans="1:3" x14ac:dyDescent="0.3">
      <c r="A907" s="1">
        <v>44371</v>
      </c>
      <c r="B907">
        <v>2971184.8100096802</v>
      </c>
      <c r="C907">
        <f t="shared" si="18"/>
        <v>3274245.660630668</v>
      </c>
    </row>
    <row r="908" spans="1:3" x14ac:dyDescent="0.3">
      <c r="A908" s="1">
        <v>44372</v>
      </c>
      <c r="B908">
        <v>4142412.3219975801</v>
      </c>
      <c r="C908">
        <f t="shared" si="18"/>
        <v>4564938.378841334</v>
      </c>
    </row>
    <row r="909" spans="1:3" x14ac:dyDescent="0.3">
      <c r="A909" s="1">
        <v>44373</v>
      </c>
      <c r="B909">
        <v>3381353.8158342498</v>
      </c>
      <c r="C909">
        <f t="shared" si="18"/>
        <v>3726251.9050493436</v>
      </c>
    </row>
    <row r="910" spans="1:3" x14ac:dyDescent="0.3">
      <c r="A910" s="1">
        <v>44374</v>
      </c>
      <c r="B910">
        <v>4067747.0484565101</v>
      </c>
      <c r="C910">
        <f t="shared" si="18"/>
        <v>4482657.247399074</v>
      </c>
    </row>
    <row r="911" spans="1:3" x14ac:dyDescent="0.3">
      <c r="A911" s="1">
        <v>44375</v>
      </c>
      <c r="B911">
        <v>4870987.9727395596</v>
      </c>
      <c r="C911">
        <f t="shared" si="18"/>
        <v>5367828.7459589951</v>
      </c>
    </row>
    <row r="912" spans="1:3" x14ac:dyDescent="0.3">
      <c r="A912" s="1">
        <v>44376</v>
      </c>
      <c r="B912">
        <v>3436771.7143627</v>
      </c>
      <c r="C912">
        <f t="shared" si="18"/>
        <v>3787322.4292276958</v>
      </c>
    </row>
    <row r="913" spans="1:3" x14ac:dyDescent="0.3">
      <c r="A913" s="1">
        <v>44377</v>
      </c>
      <c r="B913">
        <v>3276447.1123784701</v>
      </c>
      <c r="C913">
        <f t="shared" si="18"/>
        <v>3610644.7178410743</v>
      </c>
    </row>
    <row r="914" spans="1:3" x14ac:dyDescent="0.3">
      <c r="A914" s="1">
        <v>44378</v>
      </c>
      <c r="B914">
        <v>3266877.1172019299</v>
      </c>
      <c r="C914">
        <f t="shared" si="18"/>
        <v>3600098.583156527</v>
      </c>
    </row>
    <row r="915" spans="1:3" x14ac:dyDescent="0.3">
      <c r="A915" s="1">
        <v>44379</v>
      </c>
      <c r="B915">
        <v>3669169.2722752001</v>
      </c>
      <c r="C915">
        <f t="shared" si="18"/>
        <v>4043424.5380472708</v>
      </c>
    </row>
    <row r="916" spans="1:3" x14ac:dyDescent="0.3">
      <c r="A916" s="1">
        <v>44380</v>
      </c>
      <c r="B916">
        <v>5172182.7017601496</v>
      </c>
      <c r="C916">
        <f t="shared" si="18"/>
        <v>5699745.3373396853</v>
      </c>
    </row>
    <row r="917" spans="1:3" x14ac:dyDescent="0.3">
      <c r="A917" s="1">
        <v>44381</v>
      </c>
      <c r="B917">
        <v>3054920.4240571898</v>
      </c>
      <c r="C917">
        <f t="shared" si="18"/>
        <v>3366522.3073110236</v>
      </c>
    </row>
    <row r="918" spans="1:3" x14ac:dyDescent="0.3">
      <c r="A918" s="1">
        <v>44382</v>
      </c>
      <c r="B918">
        <v>3861447.2228956199</v>
      </c>
      <c r="C918">
        <f t="shared" si="18"/>
        <v>4255314.8396309735</v>
      </c>
    </row>
    <row r="919" spans="1:3" x14ac:dyDescent="0.3">
      <c r="A919" s="1">
        <v>44383</v>
      </c>
      <c r="B919">
        <v>2678597.6197677702</v>
      </c>
      <c r="C919">
        <f t="shared" si="18"/>
        <v>2951814.5769840828</v>
      </c>
    </row>
    <row r="920" spans="1:3" x14ac:dyDescent="0.3">
      <c r="A920" s="1">
        <v>44384</v>
      </c>
      <c r="B920">
        <v>5006557.5383325797</v>
      </c>
      <c r="C920">
        <f t="shared" si="18"/>
        <v>5517226.407242503</v>
      </c>
    </row>
    <row r="921" spans="1:3" x14ac:dyDescent="0.3">
      <c r="A921" s="1">
        <v>44385</v>
      </c>
      <c r="B921">
        <v>3564259.3067266801</v>
      </c>
      <c r="C921">
        <f t="shared" si="18"/>
        <v>3927813.756012802</v>
      </c>
    </row>
    <row r="922" spans="1:3" x14ac:dyDescent="0.3">
      <c r="A922" s="1">
        <v>44386</v>
      </c>
      <c r="B922">
        <v>3915292.1620934699</v>
      </c>
      <c r="C922">
        <f t="shared" si="18"/>
        <v>4314651.9626270039</v>
      </c>
    </row>
    <row r="923" spans="1:3" x14ac:dyDescent="0.3">
      <c r="A923" s="1">
        <v>44387</v>
      </c>
      <c r="B923">
        <v>3138754.9995613899</v>
      </c>
      <c r="C923">
        <f t="shared" si="18"/>
        <v>3458908.0095166517</v>
      </c>
    </row>
    <row r="924" spans="1:3" x14ac:dyDescent="0.3">
      <c r="A924" s="1">
        <v>44388</v>
      </c>
      <c r="B924">
        <v>3100087.00255551</v>
      </c>
      <c r="C924">
        <f t="shared" si="18"/>
        <v>3416295.8768161722</v>
      </c>
    </row>
    <row r="925" spans="1:3" x14ac:dyDescent="0.3">
      <c r="A925" s="1">
        <v>44389</v>
      </c>
      <c r="B925">
        <v>2835134.7266443502</v>
      </c>
      <c r="C925">
        <f t="shared" si="18"/>
        <v>3124318.4687620741</v>
      </c>
    </row>
    <row r="926" spans="1:3" x14ac:dyDescent="0.3">
      <c r="A926" s="1">
        <v>44390</v>
      </c>
      <c r="B926">
        <v>4226022.83613047</v>
      </c>
      <c r="C926">
        <f t="shared" si="18"/>
        <v>4657077.1654157788</v>
      </c>
    </row>
    <row r="927" spans="1:3" x14ac:dyDescent="0.3">
      <c r="A927" s="1">
        <v>44391</v>
      </c>
      <c r="B927">
        <v>4021238.8220589198</v>
      </c>
      <c r="C927">
        <f t="shared" si="18"/>
        <v>4431405.1819089297</v>
      </c>
    </row>
    <row r="928" spans="1:3" x14ac:dyDescent="0.3">
      <c r="A928" s="1">
        <v>44392</v>
      </c>
      <c r="B928">
        <v>3066204.83094595</v>
      </c>
      <c r="C928">
        <f t="shared" si="18"/>
        <v>3378957.7237024372</v>
      </c>
    </row>
    <row r="929" spans="1:3" x14ac:dyDescent="0.3">
      <c r="A929" s="1">
        <v>44393</v>
      </c>
      <c r="B929">
        <v>3811542.3949479498</v>
      </c>
      <c r="C929">
        <f t="shared" si="18"/>
        <v>4200319.7192326412</v>
      </c>
    </row>
    <row r="930" spans="1:3" x14ac:dyDescent="0.3">
      <c r="A930" s="1">
        <v>44394</v>
      </c>
      <c r="B930">
        <v>3110257.77424361</v>
      </c>
      <c r="C930">
        <f t="shared" si="18"/>
        <v>3427504.0672164583</v>
      </c>
    </row>
    <row r="931" spans="1:3" x14ac:dyDescent="0.3">
      <c r="A931" s="1">
        <v>44395</v>
      </c>
      <c r="B931">
        <v>3591531.8705368498</v>
      </c>
      <c r="C931">
        <f t="shared" si="18"/>
        <v>3957868.1213316089</v>
      </c>
    </row>
    <row r="932" spans="1:3" x14ac:dyDescent="0.3">
      <c r="A932" s="1">
        <v>44396</v>
      </c>
      <c r="B932">
        <v>4235954.3237298504</v>
      </c>
      <c r="C932">
        <f t="shared" si="18"/>
        <v>4668021.6647502957</v>
      </c>
    </row>
    <row r="933" spans="1:3" x14ac:dyDescent="0.3">
      <c r="A933" s="1">
        <v>44397</v>
      </c>
      <c r="B933">
        <v>3308543.6169646801</v>
      </c>
      <c r="C933">
        <f t="shared" si="18"/>
        <v>3646015.0658950778</v>
      </c>
    </row>
    <row r="934" spans="1:3" x14ac:dyDescent="0.3">
      <c r="A934" s="1">
        <v>44398</v>
      </c>
      <c r="B934">
        <v>3117270.6780955899</v>
      </c>
      <c r="C934">
        <f t="shared" si="18"/>
        <v>3435232.2872613403</v>
      </c>
    </row>
    <row r="935" spans="1:3" x14ac:dyDescent="0.3">
      <c r="A935" s="1">
        <v>44399</v>
      </c>
      <c r="B935">
        <v>3167028.6090700398</v>
      </c>
      <c r="C935">
        <f t="shared" si="18"/>
        <v>3490065.527195184</v>
      </c>
    </row>
    <row r="936" spans="1:3" x14ac:dyDescent="0.3">
      <c r="A936" s="1">
        <v>44400</v>
      </c>
      <c r="B936">
        <v>5197813.9404427204</v>
      </c>
      <c r="C936">
        <f t="shared" si="18"/>
        <v>5727990.9623678783</v>
      </c>
    </row>
    <row r="937" spans="1:3" x14ac:dyDescent="0.3">
      <c r="A937" s="1">
        <v>44401</v>
      </c>
      <c r="B937">
        <v>3277724.5392232402</v>
      </c>
      <c r="C937">
        <f t="shared" si="18"/>
        <v>3612052.4422240108</v>
      </c>
    </row>
    <row r="938" spans="1:3" x14ac:dyDescent="0.3">
      <c r="A938" s="1">
        <v>44402</v>
      </c>
      <c r="B938">
        <v>3526473.2437344799</v>
      </c>
      <c r="C938">
        <f t="shared" si="18"/>
        <v>3886173.5145953973</v>
      </c>
    </row>
    <row r="939" spans="1:3" x14ac:dyDescent="0.3">
      <c r="A939" s="1">
        <v>44403</v>
      </c>
      <c r="B939">
        <v>4158249.3714088001</v>
      </c>
      <c r="C939">
        <f t="shared" si="18"/>
        <v>4582390.8072924977</v>
      </c>
    </row>
    <row r="940" spans="1:3" x14ac:dyDescent="0.3">
      <c r="A940" s="1">
        <v>44404</v>
      </c>
      <c r="B940">
        <v>4040782.43260484</v>
      </c>
      <c r="C940">
        <f t="shared" si="18"/>
        <v>4452942.2407305343</v>
      </c>
    </row>
    <row r="941" spans="1:3" x14ac:dyDescent="0.3">
      <c r="A941" s="1">
        <v>44405</v>
      </c>
      <c r="B941">
        <v>4320535.8912519198</v>
      </c>
      <c r="C941">
        <f t="shared" si="18"/>
        <v>4761230.5521596158</v>
      </c>
    </row>
    <row r="942" spans="1:3" x14ac:dyDescent="0.3">
      <c r="A942" s="1">
        <v>44406</v>
      </c>
      <c r="B942">
        <v>3947693.7031699098</v>
      </c>
      <c r="C942">
        <f t="shared" si="18"/>
        <v>4350358.4608932408</v>
      </c>
    </row>
    <row r="943" spans="1:3" x14ac:dyDescent="0.3">
      <c r="A943" s="1">
        <v>44407</v>
      </c>
      <c r="B943">
        <v>3349470.7515669102</v>
      </c>
      <c r="C943">
        <f t="shared" si="18"/>
        <v>3691116.7682267353</v>
      </c>
    </row>
    <row r="944" spans="1:3" x14ac:dyDescent="0.3">
      <c r="A944" s="1">
        <v>44408</v>
      </c>
      <c r="B944">
        <v>3744020.4824415701</v>
      </c>
      <c r="C944">
        <f t="shared" si="18"/>
        <v>4125910.5716506108</v>
      </c>
    </row>
    <row r="945" spans="1:3" x14ac:dyDescent="0.3">
      <c r="A945" s="1">
        <v>44409</v>
      </c>
      <c r="B945">
        <v>2895248.2005392099</v>
      </c>
      <c r="C945">
        <f t="shared" si="18"/>
        <v>3190563.5169942095</v>
      </c>
    </row>
    <row r="946" spans="1:3" x14ac:dyDescent="0.3">
      <c r="A946" s="1">
        <v>44410</v>
      </c>
      <c r="B946">
        <v>3705910.5224476298</v>
      </c>
      <c r="C946">
        <f t="shared" si="18"/>
        <v>4083913.3957372885</v>
      </c>
    </row>
    <row r="947" spans="1:3" x14ac:dyDescent="0.3">
      <c r="A947" s="1">
        <v>44411</v>
      </c>
      <c r="B947">
        <v>4341500.1885168999</v>
      </c>
      <c r="C947">
        <f t="shared" si="18"/>
        <v>4784333.2077456238</v>
      </c>
    </row>
    <row r="948" spans="1:3" x14ac:dyDescent="0.3">
      <c r="A948" s="1">
        <v>44412</v>
      </c>
      <c r="B948">
        <v>3486886.88312267</v>
      </c>
      <c r="C948">
        <f t="shared" si="18"/>
        <v>3842549.3452011826</v>
      </c>
    </row>
    <row r="949" spans="1:3" x14ac:dyDescent="0.3">
      <c r="A949" s="1">
        <v>44413</v>
      </c>
      <c r="B949">
        <v>3641977.1313676699</v>
      </c>
      <c r="C949">
        <f t="shared" si="18"/>
        <v>4013458.7987671727</v>
      </c>
    </row>
    <row r="950" spans="1:3" x14ac:dyDescent="0.3">
      <c r="A950" s="1">
        <v>44414</v>
      </c>
      <c r="B950">
        <v>4583320.3545484701</v>
      </c>
      <c r="C950">
        <f t="shared" si="18"/>
        <v>5050819.0307124145</v>
      </c>
    </row>
    <row r="951" spans="1:3" x14ac:dyDescent="0.3">
      <c r="A951" s="1">
        <v>44415</v>
      </c>
      <c r="B951">
        <v>2322353.4058617898</v>
      </c>
      <c r="C951">
        <f t="shared" si="18"/>
        <v>2559233.4532596925</v>
      </c>
    </row>
    <row r="952" spans="1:3" x14ac:dyDescent="0.3">
      <c r="A952" s="1">
        <v>44416</v>
      </c>
      <c r="B952">
        <v>4314886.07364255</v>
      </c>
      <c r="C952">
        <f t="shared" si="18"/>
        <v>4755004.4531540908</v>
      </c>
    </row>
    <row r="953" spans="1:3" x14ac:dyDescent="0.3">
      <c r="A953" s="1">
        <v>44417</v>
      </c>
      <c r="B953">
        <v>3437191.1716509098</v>
      </c>
      <c r="C953">
        <f t="shared" si="18"/>
        <v>3787784.6711593028</v>
      </c>
    </row>
    <row r="954" spans="1:3" x14ac:dyDescent="0.3">
      <c r="A954" s="1">
        <v>44418</v>
      </c>
      <c r="B954">
        <v>3989617.4147842899</v>
      </c>
      <c r="C954">
        <f t="shared" si="18"/>
        <v>4396558.3910922874</v>
      </c>
    </row>
    <row r="955" spans="1:3" x14ac:dyDescent="0.3">
      <c r="A955" s="1">
        <v>44419</v>
      </c>
      <c r="B955">
        <v>2285044.2898214902</v>
      </c>
      <c r="C955">
        <f t="shared" si="18"/>
        <v>2518118.8073832826</v>
      </c>
    </row>
    <row r="956" spans="1:3" x14ac:dyDescent="0.3">
      <c r="A956" s="1">
        <v>44420</v>
      </c>
      <c r="B956">
        <v>4471782.29695265</v>
      </c>
      <c r="C956">
        <f t="shared" si="18"/>
        <v>4927904.0912418207</v>
      </c>
    </row>
    <row r="957" spans="1:3" x14ac:dyDescent="0.3">
      <c r="A957" s="1">
        <v>44421</v>
      </c>
      <c r="B957">
        <v>4735101.6759405602</v>
      </c>
      <c r="C957">
        <f t="shared" si="18"/>
        <v>5218082.0468864981</v>
      </c>
    </row>
    <row r="958" spans="1:3" x14ac:dyDescent="0.3">
      <c r="A958" s="1">
        <v>44422</v>
      </c>
      <c r="B958">
        <v>3590189.5480837501</v>
      </c>
      <c r="C958">
        <f t="shared" si="18"/>
        <v>3956388.881988293</v>
      </c>
    </row>
    <row r="959" spans="1:3" x14ac:dyDescent="0.3">
      <c r="A959" s="1">
        <v>44423</v>
      </c>
      <c r="B959">
        <v>4047455.4800410401</v>
      </c>
      <c r="C959">
        <f t="shared" si="18"/>
        <v>4460295.9390052268</v>
      </c>
    </row>
    <row r="960" spans="1:3" x14ac:dyDescent="0.3">
      <c r="A960" s="1">
        <v>44424</v>
      </c>
      <c r="B960">
        <v>2720100.3079437301</v>
      </c>
      <c r="C960">
        <f t="shared" si="18"/>
        <v>2997550.5393539909</v>
      </c>
    </row>
    <row r="961" spans="1:3" x14ac:dyDescent="0.3">
      <c r="A961" s="1">
        <v>44425</v>
      </c>
      <c r="B961">
        <v>3202689.60770036</v>
      </c>
      <c r="C961">
        <f t="shared" si="18"/>
        <v>3529363.9476857972</v>
      </c>
    </row>
    <row r="962" spans="1:3" x14ac:dyDescent="0.3">
      <c r="A962" s="1">
        <v>44426</v>
      </c>
      <c r="B962">
        <v>3293595.4723123498</v>
      </c>
      <c r="C962">
        <f t="shared" si="18"/>
        <v>3629542.21048821</v>
      </c>
    </row>
    <row r="963" spans="1:3" x14ac:dyDescent="0.3">
      <c r="A963" s="1">
        <v>44427</v>
      </c>
      <c r="B963">
        <v>3189436.4641968301</v>
      </c>
      <c r="C963">
        <f t="shared" ref="C963:C1026" si="19">B963*1.102</f>
        <v>3514758.9835449071</v>
      </c>
    </row>
    <row r="964" spans="1:3" x14ac:dyDescent="0.3">
      <c r="A964" s="1">
        <v>44428</v>
      </c>
      <c r="B964">
        <v>4231564.0435523698</v>
      </c>
      <c r="C964">
        <f t="shared" si="19"/>
        <v>4663183.5759947123</v>
      </c>
    </row>
    <row r="965" spans="1:3" x14ac:dyDescent="0.3">
      <c r="A965" s="1">
        <v>44429</v>
      </c>
      <c r="B965">
        <v>5866942.4593402296</v>
      </c>
      <c r="C965">
        <f t="shared" si="19"/>
        <v>6465370.5901929336</v>
      </c>
    </row>
    <row r="966" spans="1:3" x14ac:dyDescent="0.3">
      <c r="A966" s="1">
        <v>44430</v>
      </c>
      <c r="B966">
        <v>3317223.9849372902</v>
      </c>
      <c r="C966">
        <f t="shared" si="19"/>
        <v>3655580.8314008941</v>
      </c>
    </row>
    <row r="967" spans="1:3" x14ac:dyDescent="0.3">
      <c r="A967" s="1">
        <v>44431</v>
      </c>
      <c r="B967">
        <v>3648064.31349885</v>
      </c>
      <c r="C967">
        <f t="shared" si="19"/>
        <v>4020166.8734757332</v>
      </c>
    </row>
    <row r="968" spans="1:3" x14ac:dyDescent="0.3">
      <c r="A968" s="1">
        <v>44432</v>
      </c>
      <c r="B968">
        <v>3706903.6360462699</v>
      </c>
      <c r="C968">
        <f t="shared" si="19"/>
        <v>4085007.8069229899</v>
      </c>
    </row>
    <row r="969" spans="1:3" x14ac:dyDescent="0.3">
      <c r="A969" s="1">
        <v>44433</v>
      </c>
      <c r="B969">
        <v>3023693.8290713299</v>
      </c>
      <c r="C969">
        <f t="shared" si="19"/>
        <v>3332110.5996366059</v>
      </c>
    </row>
    <row r="970" spans="1:3" x14ac:dyDescent="0.3">
      <c r="A970" s="1">
        <v>44434</v>
      </c>
      <c r="B970">
        <v>3365883.6809206698</v>
      </c>
      <c r="C970">
        <f t="shared" si="19"/>
        <v>3709203.8163745785</v>
      </c>
    </row>
    <row r="971" spans="1:3" x14ac:dyDescent="0.3">
      <c r="A971" s="1">
        <v>44435</v>
      </c>
      <c r="B971">
        <v>3891487.9377540601</v>
      </c>
      <c r="C971">
        <f t="shared" si="19"/>
        <v>4288419.7074049748</v>
      </c>
    </row>
    <row r="972" spans="1:3" x14ac:dyDescent="0.3">
      <c r="A972" s="1">
        <v>44436</v>
      </c>
      <c r="B972">
        <v>3216178.92527099</v>
      </c>
      <c r="C972">
        <f t="shared" si="19"/>
        <v>3544229.1756486311</v>
      </c>
    </row>
    <row r="973" spans="1:3" x14ac:dyDescent="0.3">
      <c r="A973" s="1">
        <v>44437</v>
      </c>
      <c r="B973">
        <v>3352829.2113000001</v>
      </c>
      <c r="C973">
        <f t="shared" si="19"/>
        <v>3694817.7908526002</v>
      </c>
    </row>
    <row r="974" spans="1:3" x14ac:dyDescent="0.3">
      <c r="A974" s="1">
        <v>44438</v>
      </c>
      <c r="B974">
        <v>3838557.8478779001</v>
      </c>
      <c r="C974">
        <f t="shared" si="19"/>
        <v>4230090.748361446</v>
      </c>
    </row>
    <row r="975" spans="1:3" x14ac:dyDescent="0.3">
      <c r="A975" s="1">
        <v>44439</v>
      </c>
      <c r="B975">
        <v>3320460.3222656199</v>
      </c>
      <c r="C975">
        <f t="shared" si="19"/>
        <v>3659147.2751367134</v>
      </c>
    </row>
    <row r="976" spans="1:3" x14ac:dyDescent="0.3">
      <c r="A976" s="1">
        <v>44440</v>
      </c>
      <c r="B976">
        <v>3166856.4565090798</v>
      </c>
      <c r="C976">
        <f t="shared" si="19"/>
        <v>3489875.8150730063</v>
      </c>
    </row>
    <row r="977" spans="1:3" x14ac:dyDescent="0.3">
      <c r="A977" s="1">
        <v>44441</v>
      </c>
      <c r="B977">
        <v>4399870.1525518699</v>
      </c>
      <c r="C977">
        <f t="shared" si="19"/>
        <v>4848656.9081121609</v>
      </c>
    </row>
    <row r="978" spans="1:3" x14ac:dyDescent="0.3">
      <c r="A978" s="1">
        <v>44442</v>
      </c>
      <c r="B978">
        <v>4482090.6961603304</v>
      </c>
      <c r="C978">
        <f t="shared" si="19"/>
        <v>4939263.9471686846</v>
      </c>
    </row>
    <row r="979" spans="1:3" x14ac:dyDescent="0.3">
      <c r="A979" s="1">
        <v>44443</v>
      </c>
      <c r="B979">
        <v>4166688.4788295701</v>
      </c>
      <c r="C979">
        <f t="shared" si="19"/>
        <v>4591690.7036701869</v>
      </c>
    </row>
    <row r="980" spans="1:3" x14ac:dyDescent="0.3">
      <c r="A980" s="1">
        <v>44444</v>
      </c>
      <c r="B980">
        <v>4430199.1567970598</v>
      </c>
      <c r="C980">
        <f t="shared" si="19"/>
        <v>4882079.4707903601</v>
      </c>
    </row>
    <row r="981" spans="1:3" x14ac:dyDescent="0.3">
      <c r="A981" s="1">
        <v>44445</v>
      </c>
      <c r="B981">
        <v>4213571.1268528802</v>
      </c>
      <c r="C981">
        <f t="shared" si="19"/>
        <v>4643355.3817918748</v>
      </c>
    </row>
    <row r="982" spans="1:3" x14ac:dyDescent="0.3">
      <c r="A982" s="1">
        <v>44446</v>
      </c>
      <c r="B982">
        <v>2719952.5753644002</v>
      </c>
      <c r="C982">
        <f t="shared" si="19"/>
        <v>2997387.7380515691</v>
      </c>
    </row>
    <row r="983" spans="1:3" x14ac:dyDescent="0.3">
      <c r="A983" s="1">
        <v>44447</v>
      </c>
      <c r="B983">
        <v>3680667.24677666</v>
      </c>
      <c r="C983">
        <f t="shared" si="19"/>
        <v>4056095.3059478798</v>
      </c>
    </row>
    <row r="984" spans="1:3" x14ac:dyDescent="0.3">
      <c r="A984" s="1">
        <v>44448</v>
      </c>
      <c r="B984">
        <v>4199273.8742322903</v>
      </c>
      <c r="C984">
        <f t="shared" si="19"/>
        <v>4627599.8094039839</v>
      </c>
    </row>
    <row r="985" spans="1:3" x14ac:dyDescent="0.3">
      <c r="A985" s="1">
        <v>44449</v>
      </c>
      <c r="B985">
        <v>3221308.1252705301</v>
      </c>
      <c r="C985">
        <f t="shared" si="19"/>
        <v>3549881.5540481247</v>
      </c>
    </row>
    <row r="986" spans="1:3" x14ac:dyDescent="0.3">
      <c r="A986" s="1">
        <v>44450</v>
      </c>
      <c r="B986">
        <v>3187340.2790608602</v>
      </c>
      <c r="C986">
        <f t="shared" si="19"/>
        <v>3512448.9875250682</v>
      </c>
    </row>
    <row r="987" spans="1:3" x14ac:dyDescent="0.3">
      <c r="A987" s="1">
        <v>44451</v>
      </c>
      <c r="B987">
        <v>2584439.99357541</v>
      </c>
      <c r="C987">
        <f t="shared" si="19"/>
        <v>2848052.872920102</v>
      </c>
    </row>
    <row r="988" spans="1:3" x14ac:dyDescent="0.3">
      <c r="A988" s="1">
        <v>44452</v>
      </c>
      <c r="B988">
        <v>3935964.8576018601</v>
      </c>
      <c r="C988">
        <f t="shared" si="19"/>
        <v>4337433.2730772505</v>
      </c>
    </row>
    <row r="989" spans="1:3" x14ac:dyDescent="0.3">
      <c r="A989" s="1">
        <v>44453</v>
      </c>
      <c r="B989">
        <v>3425945.9499258501</v>
      </c>
      <c r="C989">
        <f t="shared" si="19"/>
        <v>3775392.4368182872</v>
      </c>
    </row>
    <row r="990" spans="1:3" x14ac:dyDescent="0.3">
      <c r="A990" s="1">
        <v>44454</v>
      </c>
      <c r="B990">
        <v>4474596.52316505</v>
      </c>
      <c r="C990">
        <f t="shared" si="19"/>
        <v>4931005.3685278855</v>
      </c>
    </row>
    <row r="991" spans="1:3" x14ac:dyDescent="0.3">
      <c r="A991" s="1">
        <v>44455</v>
      </c>
      <c r="B991">
        <v>5127348.10671914</v>
      </c>
      <c r="C991">
        <f t="shared" si="19"/>
        <v>5650337.6136044925</v>
      </c>
    </row>
    <row r="992" spans="1:3" x14ac:dyDescent="0.3">
      <c r="A992" s="1">
        <v>44456</v>
      </c>
      <c r="B992">
        <v>3902476.49770763</v>
      </c>
      <c r="C992">
        <f t="shared" si="19"/>
        <v>4300529.1004738091</v>
      </c>
    </row>
    <row r="993" spans="1:3" x14ac:dyDescent="0.3">
      <c r="A993" s="1">
        <v>44457</v>
      </c>
      <c r="B993">
        <v>3957455.8398431302</v>
      </c>
      <c r="C993">
        <f t="shared" si="19"/>
        <v>4361116.3355071303</v>
      </c>
    </row>
    <row r="994" spans="1:3" x14ac:dyDescent="0.3">
      <c r="A994" s="1">
        <v>44458</v>
      </c>
      <c r="B994">
        <v>3975284.7294788798</v>
      </c>
      <c r="C994">
        <f t="shared" si="19"/>
        <v>4380763.7718857257</v>
      </c>
    </row>
    <row r="995" spans="1:3" x14ac:dyDescent="0.3">
      <c r="A995" s="1">
        <v>44459</v>
      </c>
      <c r="B995">
        <v>3260643.6586458501</v>
      </c>
      <c r="C995">
        <f t="shared" si="19"/>
        <v>3593229.3118277271</v>
      </c>
    </row>
    <row r="996" spans="1:3" x14ac:dyDescent="0.3">
      <c r="A996" s="1">
        <v>44460</v>
      </c>
      <c r="B996">
        <v>2868773.6405674899</v>
      </c>
      <c r="C996">
        <f t="shared" si="19"/>
        <v>3161388.551905374</v>
      </c>
    </row>
    <row r="997" spans="1:3" x14ac:dyDescent="0.3">
      <c r="A997" s="1">
        <v>44461</v>
      </c>
      <c r="B997">
        <v>4515888.8753173295</v>
      </c>
      <c r="C997">
        <f t="shared" si="19"/>
        <v>4976509.5405996973</v>
      </c>
    </row>
    <row r="998" spans="1:3" x14ac:dyDescent="0.3">
      <c r="A998" s="1">
        <v>44462</v>
      </c>
      <c r="B998">
        <v>3685513.1421029102</v>
      </c>
      <c r="C998">
        <f t="shared" si="19"/>
        <v>4061435.4825974074</v>
      </c>
    </row>
    <row r="999" spans="1:3" x14ac:dyDescent="0.3">
      <c r="A999" s="1">
        <v>44463</v>
      </c>
      <c r="B999">
        <v>4359621.7877297401</v>
      </c>
      <c r="C999">
        <f t="shared" si="19"/>
        <v>4804303.2100781742</v>
      </c>
    </row>
    <row r="1000" spans="1:3" x14ac:dyDescent="0.3">
      <c r="A1000" s="1">
        <v>44464</v>
      </c>
      <c r="B1000">
        <v>4143458.9892895599</v>
      </c>
      <c r="C1000">
        <f t="shared" si="19"/>
        <v>4566091.8061970957</v>
      </c>
    </row>
    <row r="1001" spans="1:3" x14ac:dyDescent="0.3">
      <c r="A1001" s="1">
        <v>44465</v>
      </c>
      <c r="B1001">
        <v>3121401.3278161502</v>
      </c>
      <c r="C1001">
        <f t="shared" si="19"/>
        <v>3439784.2632533978</v>
      </c>
    </row>
    <row r="1002" spans="1:3" x14ac:dyDescent="0.3">
      <c r="A1002" s="1">
        <v>44466</v>
      </c>
      <c r="B1002">
        <v>4175932.3587768101</v>
      </c>
      <c r="C1002">
        <f t="shared" si="19"/>
        <v>4601877.4593720455</v>
      </c>
    </row>
    <row r="1003" spans="1:3" x14ac:dyDescent="0.3">
      <c r="A1003" s="1">
        <v>44467</v>
      </c>
      <c r="B1003">
        <v>2904508.7999549899</v>
      </c>
      <c r="C1003">
        <f t="shared" si="19"/>
        <v>3200768.6975503992</v>
      </c>
    </row>
    <row r="1004" spans="1:3" x14ac:dyDescent="0.3">
      <c r="A1004" s="1">
        <v>44468</v>
      </c>
      <c r="B1004">
        <v>3933156.87645743</v>
      </c>
      <c r="C1004">
        <f t="shared" si="19"/>
        <v>4334338.8778560879</v>
      </c>
    </row>
    <row r="1005" spans="1:3" x14ac:dyDescent="0.3">
      <c r="A1005" s="1">
        <v>44469</v>
      </c>
      <c r="B1005">
        <v>3536653.05483315</v>
      </c>
      <c r="C1005">
        <f t="shared" si="19"/>
        <v>3897391.6664261315</v>
      </c>
    </row>
    <row r="1006" spans="1:3" x14ac:dyDescent="0.3">
      <c r="A1006" s="1">
        <v>44470</v>
      </c>
      <c r="B1006">
        <v>3874155.48340913</v>
      </c>
      <c r="C1006">
        <f t="shared" si="19"/>
        <v>4269319.3427168615</v>
      </c>
    </row>
    <row r="1007" spans="1:3" x14ac:dyDescent="0.3">
      <c r="A1007" s="1">
        <v>44471</v>
      </c>
      <c r="B1007">
        <v>2464901.1675994</v>
      </c>
      <c r="C1007">
        <f t="shared" si="19"/>
        <v>2716321.0866945391</v>
      </c>
    </row>
    <row r="1008" spans="1:3" x14ac:dyDescent="0.3">
      <c r="A1008" s="1">
        <v>44472</v>
      </c>
      <c r="B1008">
        <v>3443642.9076918098</v>
      </c>
      <c r="C1008">
        <f t="shared" si="19"/>
        <v>3794894.4842763748</v>
      </c>
    </row>
    <row r="1009" spans="1:3" x14ac:dyDescent="0.3">
      <c r="A1009" s="1">
        <v>44473</v>
      </c>
      <c r="B1009">
        <v>5610816.0427390896</v>
      </c>
      <c r="C1009">
        <f t="shared" si="19"/>
        <v>6183119.2790984772</v>
      </c>
    </row>
    <row r="1010" spans="1:3" x14ac:dyDescent="0.3">
      <c r="A1010" s="1">
        <v>44474</v>
      </c>
      <c r="B1010">
        <v>4871037.8070885697</v>
      </c>
      <c r="C1010">
        <f t="shared" si="19"/>
        <v>5367883.6634116042</v>
      </c>
    </row>
    <row r="1011" spans="1:3" x14ac:dyDescent="0.3">
      <c r="A1011" s="1">
        <v>44475</v>
      </c>
      <c r="B1011">
        <v>3387002.5577419698</v>
      </c>
      <c r="C1011">
        <f t="shared" si="19"/>
        <v>3732476.8186316509</v>
      </c>
    </row>
    <row r="1012" spans="1:3" x14ac:dyDescent="0.3">
      <c r="A1012" s="1">
        <v>44476</v>
      </c>
      <c r="B1012">
        <v>4260532.9153691297</v>
      </c>
      <c r="C1012">
        <f t="shared" si="19"/>
        <v>4695107.2727367813</v>
      </c>
    </row>
    <row r="1013" spans="1:3" x14ac:dyDescent="0.3">
      <c r="A1013" s="1">
        <v>44477</v>
      </c>
      <c r="B1013">
        <v>4331157.3294684803</v>
      </c>
      <c r="C1013">
        <f t="shared" si="19"/>
        <v>4772935.3770742659</v>
      </c>
    </row>
    <row r="1014" spans="1:3" x14ac:dyDescent="0.3">
      <c r="A1014" s="1">
        <v>44478</v>
      </c>
      <c r="B1014">
        <v>4457089.2522850903</v>
      </c>
      <c r="C1014">
        <f t="shared" si="19"/>
        <v>4911712.3560181698</v>
      </c>
    </row>
    <row r="1015" spans="1:3" x14ac:dyDescent="0.3">
      <c r="A1015" s="1">
        <v>44479</v>
      </c>
      <c r="B1015">
        <v>3316273.4012209801</v>
      </c>
      <c r="C1015">
        <f t="shared" si="19"/>
        <v>3654533.2881455203</v>
      </c>
    </row>
    <row r="1016" spans="1:3" x14ac:dyDescent="0.3">
      <c r="A1016" s="1">
        <v>44480</v>
      </c>
      <c r="B1016">
        <v>2641494.1003982499</v>
      </c>
      <c r="C1016">
        <f t="shared" si="19"/>
        <v>2910926.4986388716</v>
      </c>
    </row>
    <row r="1017" spans="1:3" x14ac:dyDescent="0.3">
      <c r="A1017" s="1">
        <v>44481</v>
      </c>
      <c r="B1017">
        <v>4136903.2770509198</v>
      </c>
      <c r="C1017">
        <f t="shared" si="19"/>
        <v>4558867.411310114</v>
      </c>
    </row>
    <row r="1018" spans="1:3" x14ac:dyDescent="0.3">
      <c r="A1018" s="1">
        <v>44482</v>
      </c>
      <c r="B1018">
        <v>3171189.73374965</v>
      </c>
      <c r="C1018">
        <f t="shared" si="19"/>
        <v>3494651.0865921145</v>
      </c>
    </row>
    <row r="1019" spans="1:3" x14ac:dyDescent="0.3">
      <c r="A1019" s="1">
        <v>44483</v>
      </c>
      <c r="B1019">
        <v>3590699.9169033198</v>
      </c>
      <c r="C1019">
        <f t="shared" si="19"/>
        <v>3956951.3084274586</v>
      </c>
    </row>
    <row r="1020" spans="1:3" x14ac:dyDescent="0.3">
      <c r="A1020" s="1">
        <v>44484</v>
      </c>
      <c r="B1020">
        <v>3929878.5446687602</v>
      </c>
      <c r="C1020">
        <f t="shared" si="19"/>
        <v>4330726.1562249744</v>
      </c>
    </row>
    <row r="1021" spans="1:3" x14ac:dyDescent="0.3">
      <c r="A1021" s="1">
        <v>44485</v>
      </c>
      <c r="B1021">
        <v>3099070.80645832</v>
      </c>
      <c r="C1021">
        <f t="shared" si="19"/>
        <v>3415176.028717069</v>
      </c>
    </row>
    <row r="1022" spans="1:3" x14ac:dyDescent="0.3">
      <c r="A1022" s="1">
        <v>44486</v>
      </c>
      <c r="B1022">
        <v>4648238.02839325</v>
      </c>
      <c r="C1022">
        <f t="shared" si="19"/>
        <v>5122358.307289362</v>
      </c>
    </row>
    <row r="1023" spans="1:3" x14ac:dyDescent="0.3">
      <c r="A1023" s="1">
        <v>44487</v>
      </c>
      <c r="B1023">
        <v>4597842.66820978</v>
      </c>
      <c r="C1023">
        <f t="shared" si="19"/>
        <v>5066822.6203671778</v>
      </c>
    </row>
    <row r="1024" spans="1:3" x14ac:dyDescent="0.3">
      <c r="A1024" s="1">
        <v>44488</v>
      </c>
      <c r="B1024">
        <v>3021571.5283769001</v>
      </c>
      <c r="C1024">
        <f t="shared" si="19"/>
        <v>3329771.8242713441</v>
      </c>
    </row>
    <row r="1025" spans="1:3" x14ac:dyDescent="0.3">
      <c r="A1025" s="1">
        <v>44489</v>
      </c>
      <c r="B1025">
        <v>4965921.4407882299</v>
      </c>
      <c r="C1025">
        <f t="shared" si="19"/>
        <v>5472445.4277486298</v>
      </c>
    </row>
    <row r="1026" spans="1:3" x14ac:dyDescent="0.3">
      <c r="A1026" s="1">
        <v>44490</v>
      </c>
      <c r="B1026">
        <v>3080838.0911882399</v>
      </c>
      <c r="C1026">
        <f t="shared" si="19"/>
        <v>3395083.5764894406</v>
      </c>
    </row>
    <row r="1027" spans="1:3" x14ac:dyDescent="0.3">
      <c r="A1027" s="1">
        <v>44491</v>
      </c>
      <c r="B1027">
        <v>4258714.0854502199</v>
      </c>
      <c r="C1027">
        <f t="shared" ref="C1027:C1090" si="20">B1027*1.102</f>
        <v>4693102.9221661426</v>
      </c>
    </row>
    <row r="1028" spans="1:3" x14ac:dyDescent="0.3">
      <c r="A1028" s="1">
        <v>44492</v>
      </c>
      <c r="B1028">
        <v>2784437.4940226399</v>
      </c>
      <c r="C1028">
        <f t="shared" si="20"/>
        <v>3068450.1184129496</v>
      </c>
    </row>
    <row r="1029" spans="1:3" x14ac:dyDescent="0.3">
      <c r="A1029" s="1">
        <v>44493</v>
      </c>
      <c r="B1029">
        <v>4140473.37937298</v>
      </c>
      <c r="C1029">
        <f t="shared" si="20"/>
        <v>4562801.6640690239</v>
      </c>
    </row>
    <row r="1030" spans="1:3" x14ac:dyDescent="0.3">
      <c r="A1030" s="1">
        <v>44494</v>
      </c>
      <c r="B1030">
        <v>4169154.58123921</v>
      </c>
      <c r="C1030">
        <f t="shared" si="20"/>
        <v>4594408.3485256098</v>
      </c>
    </row>
    <row r="1031" spans="1:3" x14ac:dyDescent="0.3">
      <c r="A1031" s="1">
        <v>44495</v>
      </c>
      <c r="B1031">
        <v>3300959.1598396301</v>
      </c>
      <c r="C1031">
        <f t="shared" si="20"/>
        <v>3637656.9941432728</v>
      </c>
    </row>
    <row r="1032" spans="1:3" x14ac:dyDescent="0.3">
      <c r="A1032" s="1">
        <v>44496</v>
      </c>
      <c r="B1032">
        <v>3612062.9719411498</v>
      </c>
      <c r="C1032">
        <f t="shared" si="20"/>
        <v>3980493.3950791475</v>
      </c>
    </row>
    <row r="1033" spans="1:3" x14ac:dyDescent="0.3">
      <c r="A1033" s="1">
        <v>44497</v>
      </c>
      <c r="B1033">
        <v>3661080.7719332399</v>
      </c>
      <c r="C1033">
        <f t="shared" si="20"/>
        <v>4034511.0106704305</v>
      </c>
    </row>
    <row r="1034" spans="1:3" x14ac:dyDescent="0.3">
      <c r="A1034" s="1">
        <v>44498</v>
      </c>
      <c r="B1034">
        <v>4195175.23398552</v>
      </c>
      <c r="C1034">
        <f t="shared" si="20"/>
        <v>4623083.1078520436</v>
      </c>
    </row>
    <row r="1035" spans="1:3" x14ac:dyDescent="0.3">
      <c r="A1035" s="1">
        <v>44499</v>
      </c>
      <c r="B1035">
        <v>4765918.7632039599</v>
      </c>
      <c r="C1035">
        <f t="shared" si="20"/>
        <v>5252042.4770507645</v>
      </c>
    </row>
    <row r="1036" spans="1:3" x14ac:dyDescent="0.3">
      <c r="A1036" s="1">
        <v>44500</v>
      </c>
      <c r="B1036">
        <v>3359584.4037011699</v>
      </c>
      <c r="C1036">
        <f t="shared" si="20"/>
        <v>3702262.0128786894</v>
      </c>
    </row>
    <row r="1037" spans="1:3" x14ac:dyDescent="0.3">
      <c r="A1037" s="1">
        <v>44501</v>
      </c>
      <c r="B1037">
        <v>3540046.7503927001</v>
      </c>
      <c r="C1037">
        <f t="shared" si="20"/>
        <v>3901131.518932756</v>
      </c>
    </row>
    <row r="1038" spans="1:3" x14ac:dyDescent="0.3">
      <c r="A1038" s="1">
        <v>44502</v>
      </c>
      <c r="B1038">
        <v>4010143.5861018701</v>
      </c>
      <c r="C1038">
        <f t="shared" si="20"/>
        <v>4419178.2318842616</v>
      </c>
    </row>
    <row r="1039" spans="1:3" x14ac:dyDescent="0.3">
      <c r="A1039" s="1">
        <v>44503</v>
      </c>
      <c r="B1039">
        <v>4316444.4167692102</v>
      </c>
      <c r="C1039">
        <f t="shared" si="20"/>
        <v>4756721.7472796701</v>
      </c>
    </row>
    <row r="1040" spans="1:3" x14ac:dyDescent="0.3">
      <c r="A1040" s="1">
        <v>44504</v>
      </c>
      <c r="B1040">
        <v>2899285.0187396901</v>
      </c>
      <c r="C1040">
        <f t="shared" si="20"/>
        <v>3195012.0906511387</v>
      </c>
    </row>
    <row r="1041" spans="1:3" x14ac:dyDescent="0.3">
      <c r="A1041" s="1">
        <v>44505</v>
      </c>
      <c r="B1041">
        <v>3926746.18366746</v>
      </c>
      <c r="C1041">
        <f t="shared" si="20"/>
        <v>4327274.2944015414</v>
      </c>
    </row>
    <row r="1042" spans="1:3" x14ac:dyDescent="0.3">
      <c r="A1042" s="1">
        <v>44506</v>
      </c>
      <c r="B1042">
        <v>3640083.4522363199</v>
      </c>
      <c r="C1042">
        <f t="shared" si="20"/>
        <v>4011371.9643644248</v>
      </c>
    </row>
    <row r="1043" spans="1:3" x14ac:dyDescent="0.3">
      <c r="A1043" s="1">
        <v>44507</v>
      </c>
      <c r="B1043">
        <v>2956302.4471429298</v>
      </c>
      <c r="C1043">
        <f t="shared" si="20"/>
        <v>3257845.296751509</v>
      </c>
    </row>
    <row r="1044" spans="1:3" x14ac:dyDescent="0.3">
      <c r="A1044" s="1">
        <v>44508</v>
      </c>
      <c r="B1044">
        <v>2316374.5052101002</v>
      </c>
      <c r="C1044">
        <f t="shared" si="20"/>
        <v>2552644.7047415306</v>
      </c>
    </row>
    <row r="1045" spans="1:3" x14ac:dyDescent="0.3">
      <c r="A1045" s="1">
        <v>44509</v>
      </c>
      <c r="B1045">
        <v>4101942.5701439301</v>
      </c>
      <c r="C1045">
        <f t="shared" si="20"/>
        <v>4520340.7122986112</v>
      </c>
    </row>
    <row r="1046" spans="1:3" x14ac:dyDescent="0.3">
      <c r="A1046" s="1">
        <v>44510</v>
      </c>
      <c r="B1046">
        <v>3514285.8968264102</v>
      </c>
      <c r="C1046">
        <f t="shared" si="20"/>
        <v>3872743.0583027042</v>
      </c>
    </row>
    <row r="1047" spans="1:3" x14ac:dyDescent="0.3">
      <c r="A1047" s="1">
        <v>44511</v>
      </c>
      <c r="B1047">
        <v>5045900.8223904902</v>
      </c>
      <c r="C1047">
        <f t="shared" si="20"/>
        <v>5560582.7062743204</v>
      </c>
    </row>
    <row r="1048" spans="1:3" x14ac:dyDescent="0.3">
      <c r="A1048" s="1">
        <v>44512</v>
      </c>
      <c r="B1048">
        <v>3589708.6414994299</v>
      </c>
      <c r="C1048">
        <f t="shared" si="20"/>
        <v>3955858.922932372</v>
      </c>
    </row>
    <row r="1049" spans="1:3" x14ac:dyDescent="0.3">
      <c r="A1049" s="1">
        <v>44513</v>
      </c>
      <c r="B1049">
        <v>3729209.2620258499</v>
      </c>
      <c r="C1049">
        <f t="shared" si="20"/>
        <v>4109588.6067524869</v>
      </c>
    </row>
    <row r="1050" spans="1:3" x14ac:dyDescent="0.3">
      <c r="A1050" s="1">
        <v>44514</v>
      </c>
      <c r="B1050">
        <v>4052992.1582113001</v>
      </c>
      <c r="C1050">
        <f t="shared" si="20"/>
        <v>4466397.358348853</v>
      </c>
    </row>
    <row r="1051" spans="1:3" x14ac:dyDescent="0.3">
      <c r="A1051" s="1">
        <v>44515</v>
      </c>
      <c r="B1051">
        <v>3201379.6089691198</v>
      </c>
      <c r="C1051">
        <f t="shared" si="20"/>
        <v>3527920.3290839703</v>
      </c>
    </row>
    <row r="1052" spans="1:3" x14ac:dyDescent="0.3">
      <c r="A1052" s="1">
        <v>44516</v>
      </c>
      <c r="B1052">
        <v>4865592.4682855699</v>
      </c>
      <c r="C1052">
        <f t="shared" si="20"/>
        <v>5361882.9000506988</v>
      </c>
    </row>
    <row r="1053" spans="1:3" x14ac:dyDescent="0.3">
      <c r="A1053" s="1">
        <v>44517</v>
      </c>
      <c r="B1053">
        <v>3278722.3715696302</v>
      </c>
      <c r="C1053">
        <f t="shared" si="20"/>
        <v>3613152.0534697329</v>
      </c>
    </row>
    <row r="1054" spans="1:3" x14ac:dyDescent="0.3">
      <c r="A1054" s="1">
        <v>44518</v>
      </c>
      <c r="B1054">
        <v>2436708.8040489499</v>
      </c>
      <c r="C1054">
        <f t="shared" si="20"/>
        <v>2685253.1020619432</v>
      </c>
    </row>
    <row r="1055" spans="1:3" x14ac:dyDescent="0.3">
      <c r="A1055" s="1">
        <v>44519</v>
      </c>
      <c r="B1055">
        <v>3724184.8091114</v>
      </c>
      <c r="C1055">
        <f t="shared" si="20"/>
        <v>4104051.659640763</v>
      </c>
    </row>
    <row r="1056" spans="1:3" x14ac:dyDescent="0.3">
      <c r="A1056" s="1">
        <v>44520</v>
      </c>
      <c r="B1056">
        <v>4254366.8026497299</v>
      </c>
      <c r="C1056">
        <f t="shared" si="20"/>
        <v>4688312.216520003</v>
      </c>
    </row>
    <row r="1057" spans="1:3" x14ac:dyDescent="0.3">
      <c r="A1057" s="1">
        <v>44521</v>
      </c>
      <c r="B1057">
        <v>3029605.7076492598</v>
      </c>
      <c r="C1057">
        <f t="shared" si="20"/>
        <v>3338625.4898294844</v>
      </c>
    </row>
    <row r="1058" spans="1:3" x14ac:dyDescent="0.3">
      <c r="A1058" s="1">
        <v>44522</v>
      </c>
      <c r="B1058">
        <v>4894328.5704896701</v>
      </c>
      <c r="C1058">
        <f t="shared" si="20"/>
        <v>5393550.0846796166</v>
      </c>
    </row>
    <row r="1059" spans="1:3" x14ac:dyDescent="0.3">
      <c r="A1059" s="1">
        <v>44523</v>
      </c>
      <c r="B1059">
        <v>4183986.4981562202</v>
      </c>
      <c r="C1059">
        <f t="shared" si="20"/>
        <v>4610753.1209681546</v>
      </c>
    </row>
    <row r="1060" spans="1:3" x14ac:dyDescent="0.3">
      <c r="A1060" s="1">
        <v>44524</v>
      </c>
      <c r="B1060">
        <v>3393052.9107203698</v>
      </c>
      <c r="C1060">
        <f t="shared" si="20"/>
        <v>3739144.3076138478</v>
      </c>
    </row>
    <row r="1061" spans="1:3" x14ac:dyDescent="0.3">
      <c r="A1061" s="1">
        <v>44525</v>
      </c>
      <c r="B1061">
        <v>4442898.0556219397</v>
      </c>
      <c r="C1061">
        <f t="shared" si="20"/>
        <v>4896073.6572953779</v>
      </c>
    </row>
    <row r="1062" spans="1:3" x14ac:dyDescent="0.3">
      <c r="A1062" s="1">
        <v>44526</v>
      </c>
      <c r="B1062">
        <v>4193873.5447513401</v>
      </c>
      <c r="C1062">
        <f t="shared" si="20"/>
        <v>4621648.646315977</v>
      </c>
    </row>
    <row r="1063" spans="1:3" x14ac:dyDescent="0.3">
      <c r="A1063" s="1">
        <v>44527</v>
      </c>
      <c r="B1063">
        <v>4518311.8862023503</v>
      </c>
      <c r="C1063">
        <f t="shared" si="20"/>
        <v>4979179.6985949902</v>
      </c>
    </row>
    <row r="1064" spans="1:3" x14ac:dyDescent="0.3">
      <c r="A1064" s="1">
        <v>44528</v>
      </c>
      <c r="B1064">
        <v>3474300.8279250599</v>
      </c>
      <c r="C1064">
        <f t="shared" si="20"/>
        <v>3828679.5123734162</v>
      </c>
    </row>
    <row r="1065" spans="1:3" x14ac:dyDescent="0.3">
      <c r="A1065" s="1">
        <v>44529</v>
      </c>
      <c r="B1065">
        <v>3522342.4368888601</v>
      </c>
      <c r="C1065">
        <f t="shared" si="20"/>
        <v>3881621.365451524</v>
      </c>
    </row>
    <row r="1066" spans="1:3" x14ac:dyDescent="0.3">
      <c r="A1066" s="1">
        <v>44530</v>
      </c>
      <c r="B1066">
        <v>3134230.1972217201</v>
      </c>
      <c r="C1066">
        <f t="shared" si="20"/>
        <v>3453921.6773383357</v>
      </c>
    </row>
    <row r="1067" spans="1:3" x14ac:dyDescent="0.3">
      <c r="A1067" s="1">
        <v>44531</v>
      </c>
      <c r="B1067">
        <v>4838631.0878914203</v>
      </c>
      <c r="C1067">
        <f t="shared" si="20"/>
        <v>5332171.4588563461</v>
      </c>
    </row>
    <row r="1068" spans="1:3" x14ac:dyDescent="0.3">
      <c r="A1068" s="1">
        <v>44532</v>
      </c>
      <c r="B1068">
        <v>3481046.6766033401</v>
      </c>
      <c r="C1068">
        <f t="shared" si="20"/>
        <v>3836113.437616881</v>
      </c>
    </row>
    <row r="1069" spans="1:3" x14ac:dyDescent="0.3">
      <c r="A1069" s="1">
        <v>44533</v>
      </c>
      <c r="B1069">
        <v>4500555.2360025998</v>
      </c>
      <c r="C1069">
        <f t="shared" si="20"/>
        <v>4959611.8700748654</v>
      </c>
    </row>
    <row r="1070" spans="1:3" x14ac:dyDescent="0.3">
      <c r="A1070" s="1">
        <v>44534</v>
      </c>
      <c r="B1070">
        <v>2779226.7313503502</v>
      </c>
      <c r="C1070">
        <f t="shared" si="20"/>
        <v>3062707.8579480862</v>
      </c>
    </row>
    <row r="1071" spans="1:3" x14ac:dyDescent="0.3">
      <c r="A1071" s="1">
        <v>44535</v>
      </c>
      <c r="B1071">
        <v>4749331.9689338002</v>
      </c>
      <c r="C1071">
        <f t="shared" si="20"/>
        <v>5233763.8297650479</v>
      </c>
    </row>
    <row r="1072" spans="1:3" x14ac:dyDescent="0.3">
      <c r="A1072" s="1">
        <v>44536</v>
      </c>
      <c r="B1072">
        <v>3328913.1415941999</v>
      </c>
      <c r="C1072">
        <f t="shared" si="20"/>
        <v>3668462.2820368088</v>
      </c>
    </row>
    <row r="1073" spans="1:3" x14ac:dyDescent="0.3">
      <c r="A1073" s="1">
        <v>44537</v>
      </c>
      <c r="B1073">
        <v>2913019.4893802898</v>
      </c>
      <c r="C1073">
        <f t="shared" si="20"/>
        <v>3210147.4772970797</v>
      </c>
    </row>
    <row r="1074" spans="1:3" x14ac:dyDescent="0.3">
      <c r="A1074" s="1">
        <v>44538</v>
      </c>
      <c r="B1074">
        <v>3633975.2376552201</v>
      </c>
      <c r="C1074">
        <f t="shared" si="20"/>
        <v>4004640.711896053</v>
      </c>
    </row>
    <row r="1075" spans="1:3" x14ac:dyDescent="0.3">
      <c r="A1075" s="1">
        <v>44539</v>
      </c>
      <c r="B1075">
        <v>4646554.3579088701</v>
      </c>
      <c r="C1075">
        <f t="shared" si="20"/>
        <v>5120502.9024155755</v>
      </c>
    </row>
    <row r="1076" spans="1:3" x14ac:dyDescent="0.3">
      <c r="A1076" s="1">
        <v>44540</v>
      </c>
      <c r="B1076">
        <v>4761813.7783660498</v>
      </c>
      <c r="C1076">
        <f t="shared" si="20"/>
        <v>5247518.7837593872</v>
      </c>
    </row>
    <row r="1077" spans="1:3" x14ac:dyDescent="0.3">
      <c r="A1077" s="1">
        <v>44541</v>
      </c>
      <c r="B1077">
        <v>2894497.1527664</v>
      </c>
      <c r="C1077">
        <f t="shared" si="20"/>
        <v>3189735.8623485733</v>
      </c>
    </row>
    <row r="1078" spans="1:3" x14ac:dyDescent="0.3">
      <c r="A1078" s="1">
        <v>44542</v>
      </c>
      <c r="B1078">
        <v>3815830.1949707</v>
      </c>
      <c r="C1078">
        <f t="shared" si="20"/>
        <v>4205044.8748577116</v>
      </c>
    </row>
    <row r="1079" spans="1:3" x14ac:dyDescent="0.3">
      <c r="A1079" s="1">
        <v>44543</v>
      </c>
      <c r="B1079">
        <v>4500965.1259123404</v>
      </c>
      <c r="C1079">
        <f t="shared" si="20"/>
        <v>4960063.5687553994</v>
      </c>
    </row>
    <row r="1080" spans="1:3" x14ac:dyDescent="0.3">
      <c r="A1080" s="1">
        <v>44544</v>
      </c>
      <c r="B1080">
        <v>3770963.2808097401</v>
      </c>
      <c r="C1080">
        <f t="shared" si="20"/>
        <v>4155601.5354523337</v>
      </c>
    </row>
    <row r="1081" spans="1:3" x14ac:dyDescent="0.3">
      <c r="A1081" s="1">
        <v>44545</v>
      </c>
      <c r="B1081">
        <v>3844237.2475641998</v>
      </c>
      <c r="C1081">
        <f t="shared" si="20"/>
        <v>4236349.4468157487</v>
      </c>
    </row>
    <row r="1082" spans="1:3" x14ac:dyDescent="0.3">
      <c r="A1082" s="1">
        <v>44546</v>
      </c>
      <c r="B1082">
        <v>2692525.7875750298</v>
      </c>
      <c r="C1082">
        <f t="shared" si="20"/>
        <v>2967163.4179076832</v>
      </c>
    </row>
    <row r="1083" spans="1:3" x14ac:dyDescent="0.3">
      <c r="A1083" s="1">
        <v>44547</v>
      </c>
      <c r="B1083">
        <v>2968765.98490396</v>
      </c>
      <c r="C1083">
        <f t="shared" si="20"/>
        <v>3271580.1153641641</v>
      </c>
    </row>
    <row r="1084" spans="1:3" x14ac:dyDescent="0.3">
      <c r="A1084" s="1">
        <v>44548</v>
      </c>
      <c r="B1084">
        <v>4056532.3913167999</v>
      </c>
      <c r="C1084">
        <f t="shared" si="20"/>
        <v>4470298.6952311136</v>
      </c>
    </row>
    <row r="1085" spans="1:3" x14ac:dyDescent="0.3">
      <c r="A1085" s="1">
        <v>44549</v>
      </c>
      <c r="B1085">
        <v>3967787.9820141699</v>
      </c>
      <c r="C1085">
        <f t="shared" si="20"/>
        <v>4372502.3561796155</v>
      </c>
    </row>
    <row r="1086" spans="1:3" x14ac:dyDescent="0.3">
      <c r="A1086" s="1">
        <v>44550</v>
      </c>
      <c r="B1086">
        <v>2877678.7936484702</v>
      </c>
      <c r="C1086">
        <f t="shared" si="20"/>
        <v>3171202.0306006144</v>
      </c>
    </row>
    <row r="1087" spans="1:3" x14ac:dyDescent="0.3">
      <c r="A1087" s="1">
        <v>44551</v>
      </c>
      <c r="B1087">
        <v>2021543.5710766199</v>
      </c>
      <c r="C1087">
        <f t="shared" si="20"/>
        <v>2227741.0153264352</v>
      </c>
    </row>
    <row r="1088" spans="1:3" x14ac:dyDescent="0.3">
      <c r="A1088" s="1">
        <v>44552</v>
      </c>
      <c r="B1088">
        <v>4457033.3706136299</v>
      </c>
      <c r="C1088">
        <f t="shared" si="20"/>
        <v>4911650.7744162204</v>
      </c>
    </row>
    <row r="1089" spans="1:3" x14ac:dyDescent="0.3">
      <c r="A1089" s="1">
        <v>44553</v>
      </c>
      <c r="B1089">
        <v>2637522.78188171</v>
      </c>
      <c r="C1089">
        <f t="shared" si="20"/>
        <v>2906550.1056336449</v>
      </c>
    </row>
    <row r="1090" spans="1:3" x14ac:dyDescent="0.3">
      <c r="A1090" s="1">
        <v>44554</v>
      </c>
      <c r="B1090">
        <v>4366810.9147038404</v>
      </c>
      <c r="C1090">
        <f t="shared" si="20"/>
        <v>4812225.6280036326</v>
      </c>
    </row>
    <row r="1091" spans="1:3" x14ac:dyDescent="0.3">
      <c r="A1091" s="1">
        <v>44555</v>
      </c>
      <c r="B1091">
        <v>4576834.2518802099</v>
      </c>
      <c r="C1091">
        <f t="shared" ref="C1091:C1154" si="21">B1091*1.102</f>
        <v>5043671.345571992</v>
      </c>
    </row>
    <row r="1092" spans="1:3" x14ac:dyDescent="0.3">
      <c r="A1092" s="1">
        <v>44556</v>
      </c>
      <c r="B1092">
        <v>4257854.7183338804</v>
      </c>
      <c r="C1092">
        <f t="shared" si="21"/>
        <v>4692155.8996039368</v>
      </c>
    </row>
    <row r="1093" spans="1:3" x14ac:dyDescent="0.3">
      <c r="A1093" s="1">
        <v>44557</v>
      </c>
      <c r="B1093">
        <v>2419072.8013004502</v>
      </c>
      <c r="C1093">
        <f t="shared" si="21"/>
        <v>2665818.2270330964</v>
      </c>
    </row>
    <row r="1094" spans="1:3" x14ac:dyDescent="0.3">
      <c r="A1094" s="1">
        <v>44558</v>
      </c>
      <c r="B1094">
        <v>3314931.8730014199</v>
      </c>
      <c r="C1094">
        <f t="shared" si="21"/>
        <v>3653054.9240475651</v>
      </c>
    </row>
    <row r="1095" spans="1:3" x14ac:dyDescent="0.3">
      <c r="A1095" s="1">
        <v>44559</v>
      </c>
      <c r="B1095">
        <v>4499796.0384536497</v>
      </c>
      <c r="C1095">
        <f t="shared" si="21"/>
        <v>4958775.234375922</v>
      </c>
    </row>
    <row r="1096" spans="1:3" x14ac:dyDescent="0.3">
      <c r="A1096" s="1">
        <v>44560</v>
      </c>
      <c r="B1096">
        <v>3974184.6553782099</v>
      </c>
      <c r="C1096">
        <f t="shared" si="21"/>
        <v>4379551.4902267875</v>
      </c>
    </row>
    <row r="1097" spans="1:3" x14ac:dyDescent="0.3">
      <c r="A1097" s="1">
        <v>44561</v>
      </c>
      <c r="B1097">
        <v>2572977.4109272701</v>
      </c>
      <c r="C1097">
        <f t="shared" si="21"/>
        <v>2835421.106841852</v>
      </c>
    </row>
    <row r="1098" spans="1:3" x14ac:dyDescent="0.3">
      <c r="A1098" s="1">
        <v>44562</v>
      </c>
      <c r="B1098">
        <v>3787918.79777984</v>
      </c>
      <c r="C1098">
        <f t="shared" si="21"/>
        <v>4174286.5151533838</v>
      </c>
    </row>
    <row r="1099" spans="1:3" x14ac:dyDescent="0.3">
      <c r="A1099" s="1">
        <v>44563</v>
      </c>
      <c r="B1099">
        <v>2959287.4959194399</v>
      </c>
      <c r="C1099">
        <f t="shared" si="21"/>
        <v>3261134.8205032232</v>
      </c>
    </row>
    <row r="1100" spans="1:3" x14ac:dyDescent="0.3">
      <c r="A1100" s="1">
        <v>44564</v>
      </c>
      <c r="B1100">
        <v>4657215.0055087004</v>
      </c>
      <c r="C1100">
        <f t="shared" si="21"/>
        <v>5132250.9360705884</v>
      </c>
    </row>
    <row r="1101" spans="1:3" x14ac:dyDescent="0.3">
      <c r="A1101" s="1">
        <v>44565</v>
      </c>
      <c r="B1101">
        <v>2797825.0712090801</v>
      </c>
      <c r="C1101">
        <f t="shared" si="21"/>
        <v>3083203.2284724065</v>
      </c>
    </row>
    <row r="1102" spans="1:3" x14ac:dyDescent="0.3">
      <c r="A1102" s="1">
        <v>44566</v>
      </c>
      <c r="B1102">
        <v>4202258.5253774496</v>
      </c>
      <c r="C1102">
        <f t="shared" si="21"/>
        <v>4630888.8949659495</v>
      </c>
    </row>
    <row r="1103" spans="1:3" x14ac:dyDescent="0.3">
      <c r="A1103" s="1">
        <v>44567</v>
      </c>
      <c r="B1103">
        <v>2219908.0611411198</v>
      </c>
      <c r="C1103">
        <f t="shared" si="21"/>
        <v>2446338.6833775141</v>
      </c>
    </row>
    <row r="1104" spans="1:3" x14ac:dyDescent="0.3">
      <c r="A1104" s="1">
        <v>44568</v>
      </c>
      <c r="B1104">
        <v>3833954.8166527599</v>
      </c>
      <c r="C1104">
        <f t="shared" si="21"/>
        <v>4225018.2079513418</v>
      </c>
    </row>
    <row r="1105" spans="1:3" x14ac:dyDescent="0.3">
      <c r="A1105" s="1">
        <v>44569</v>
      </c>
      <c r="B1105">
        <v>4460055.4938181797</v>
      </c>
      <c r="C1105">
        <f t="shared" si="21"/>
        <v>4914981.1541876346</v>
      </c>
    </row>
    <row r="1106" spans="1:3" x14ac:dyDescent="0.3">
      <c r="A1106" s="1">
        <v>44570</v>
      </c>
      <c r="B1106">
        <v>4039366.4070920101</v>
      </c>
      <c r="C1106">
        <f t="shared" si="21"/>
        <v>4451381.7806153959</v>
      </c>
    </row>
    <row r="1107" spans="1:3" x14ac:dyDescent="0.3">
      <c r="A1107" s="1">
        <v>44571</v>
      </c>
      <c r="B1107">
        <v>4072776.4726411798</v>
      </c>
      <c r="C1107">
        <f t="shared" si="21"/>
        <v>4488199.6728505809</v>
      </c>
    </row>
    <row r="1108" spans="1:3" x14ac:dyDescent="0.3">
      <c r="A1108" s="1">
        <v>44572</v>
      </c>
      <c r="B1108">
        <v>3936706.2899860102</v>
      </c>
      <c r="C1108">
        <f t="shared" si="21"/>
        <v>4338250.3315645838</v>
      </c>
    </row>
    <row r="1109" spans="1:3" x14ac:dyDescent="0.3">
      <c r="A1109" s="1">
        <v>44573</v>
      </c>
      <c r="B1109">
        <v>3355634.76000279</v>
      </c>
      <c r="C1109">
        <f t="shared" si="21"/>
        <v>3697909.5055230749</v>
      </c>
    </row>
    <row r="1110" spans="1:3" x14ac:dyDescent="0.3">
      <c r="A1110" s="1">
        <v>44574</v>
      </c>
      <c r="B1110">
        <v>3208893.3930145898</v>
      </c>
      <c r="C1110">
        <f t="shared" si="21"/>
        <v>3536200.5191020784</v>
      </c>
    </row>
    <row r="1111" spans="1:3" x14ac:dyDescent="0.3">
      <c r="A1111" s="1">
        <v>44575</v>
      </c>
      <c r="B1111">
        <v>3806118.0550951799</v>
      </c>
      <c r="C1111">
        <f t="shared" si="21"/>
        <v>4194342.0967148887</v>
      </c>
    </row>
    <row r="1112" spans="1:3" x14ac:dyDescent="0.3">
      <c r="A1112" s="1">
        <v>44576</v>
      </c>
      <c r="B1112">
        <v>3555016.0943762101</v>
      </c>
      <c r="C1112">
        <f t="shared" si="21"/>
        <v>3917627.736002584</v>
      </c>
    </row>
    <row r="1113" spans="1:3" x14ac:dyDescent="0.3">
      <c r="A1113" s="1">
        <v>44577</v>
      </c>
      <c r="B1113">
        <v>3459787.7068837001</v>
      </c>
      <c r="C1113">
        <f t="shared" si="21"/>
        <v>3812686.0529858377</v>
      </c>
    </row>
    <row r="1114" spans="1:3" x14ac:dyDescent="0.3">
      <c r="A1114" s="1">
        <v>44578</v>
      </c>
      <c r="B1114">
        <v>4171207.7469166899</v>
      </c>
      <c r="C1114">
        <f t="shared" si="21"/>
        <v>4596670.937102193</v>
      </c>
    </row>
    <row r="1115" spans="1:3" x14ac:dyDescent="0.3">
      <c r="A1115" s="1">
        <v>44579</v>
      </c>
      <c r="B1115">
        <v>3725412.398</v>
      </c>
      <c r="C1115">
        <f t="shared" si="21"/>
        <v>4105404.4625960002</v>
      </c>
    </row>
    <row r="1116" spans="1:3" x14ac:dyDescent="0.3">
      <c r="A1116" s="1">
        <v>44580</v>
      </c>
      <c r="B1116">
        <v>3482536.4262965298</v>
      </c>
      <c r="C1116">
        <f t="shared" si="21"/>
        <v>3837755.141778776</v>
      </c>
    </row>
    <row r="1117" spans="1:3" x14ac:dyDescent="0.3">
      <c r="A1117" s="1">
        <v>44581</v>
      </c>
      <c r="B1117">
        <v>5250261.7456261804</v>
      </c>
      <c r="C1117">
        <f t="shared" si="21"/>
        <v>5785788.4436800517</v>
      </c>
    </row>
    <row r="1118" spans="1:3" x14ac:dyDescent="0.3">
      <c r="A1118" s="1">
        <v>44582</v>
      </c>
      <c r="B1118">
        <v>2569545.7086838</v>
      </c>
      <c r="C1118">
        <f t="shared" si="21"/>
        <v>2831639.3709695479</v>
      </c>
    </row>
    <row r="1119" spans="1:3" x14ac:dyDescent="0.3">
      <c r="A1119" s="1">
        <v>44583</v>
      </c>
      <c r="B1119">
        <v>3492252.01341744</v>
      </c>
      <c r="C1119">
        <f t="shared" si="21"/>
        <v>3848461.7187860194</v>
      </c>
    </row>
    <row r="1120" spans="1:3" x14ac:dyDescent="0.3">
      <c r="A1120" s="1">
        <v>44584</v>
      </c>
      <c r="B1120">
        <v>2349599.7200924102</v>
      </c>
      <c r="C1120">
        <f t="shared" si="21"/>
        <v>2589258.8915418363</v>
      </c>
    </row>
    <row r="1121" spans="1:3" x14ac:dyDescent="0.3">
      <c r="A1121" s="1">
        <v>44585</v>
      </c>
      <c r="B1121">
        <v>3943926.6043598601</v>
      </c>
      <c r="C1121">
        <f t="shared" si="21"/>
        <v>4346207.1180045661</v>
      </c>
    </row>
    <row r="1122" spans="1:3" x14ac:dyDescent="0.3">
      <c r="A1122" s="1">
        <v>44586</v>
      </c>
      <c r="B1122">
        <v>4449511.6909417799</v>
      </c>
      <c r="C1122">
        <f t="shared" si="21"/>
        <v>4903361.883417842</v>
      </c>
    </row>
    <row r="1123" spans="1:3" x14ac:dyDescent="0.3">
      <c r="A1123" s="1">
        <v>44587</v>
      </c>
      <c r="B1123">
        <v>4258880.5811070297</v>
      </c>
      <c r="C1123">
        <f t="shared" si="21"/>
        <v>4693286.4003799474</v>
      </c>
    </row>
    <row r="1124" spans="1:3" x14ac:dyDescent="0.3">
      <c r="A1124" s="1">
        <v>44588</v>
      </c>
      <c r="B1124">
        <v>4215241.1069844998</v>
      </c>
      <c r="C1124">
        <f t="shared" si="21"/>
        <v>4645195.6998969195</v>
      </c>
    </row>
    <row r="1125" spans="1:3" x14ac:dyDescent="0.3">
      <c r="A1125" s="1">
        <v>44589</v>
      </c>
      <c r="B1125">
        <v>4363747.4538850002</v>
      </c>
      <c r="C1125">
        <f t="shared" si="21"/>
        <v>4808849.6941812709</v>
      </c>
    </row>
    <row r="1126" spans="1:3" x14ac:dyDescent="0.3">
      <c r="A1126" s="1">
        <v>44590</v>
      </c>
      <c r="B1126">
        <v>3880371.85076492</v>
      </c>
      <c r="C1126">
        <f t="shared" si="21"/>
        <v>4276169.7795429425</v>
      </c>
    </row>
    <row r="1127" spans="1:3" x14ac:dyDescent="0.3">
      <c r="A1127" s="1">
        <v>44591</v>
      </c>
      <c r="B1127">
        <v>3600927.2930600401</v>
      </c>
      <c r="C1127">
        <f t="shared" si="21"/>
        <v>3968221.8769521643</v>
      </c>
    </row>
    <row r="1128" spans="1:3" x14ac:dyDescent="0.3">
      <c r="A1128" s="1">
        <v>44592</v>
      </c>
      <c r="B1128">
        <v>4020063.22367304</v>
      </c>
      <c r="C1128">
        <f t="shared" si="21"/>
        <v>4430109.6724876901</v>
      </c>
    </row>
    <row r="1129" spans="1:3" x14ac:dyDescent="0.3">
      <c r="A1129" s="1">
        <v>44593</v>
      </c>
      <c r="B1129">
        <v>3547702.2803540998</v>
      </c>
      <c r="C1129">
        <f t="shared" si="21"/>
        <v>3909567.9129502182</v>
      </c>
    </row>
    <row r="1130" spans="1:3" x14ac:dyDescent="0.3">
      <c r="A1130" s="1">
        <v>44594</v>
      </c>
      <c r="B1130">
        <v>4063484.17500991</v>
      </c>
      <c r="C1130">
        <f t="shared" si="21"/>
        <v>4477959.5608609216</v>
      </c>
    </row>
    <row r="1131" spans="1:3" x14ac:dyDescent="0.3">
      <c r="A1131" s="1">
        <v>44595</v>
      </c>
      <c r="B1131">
        <v>4500522.8846129598</v>
      </c>
      <c r="C1131">
        <f t="shared" si="21"/>
        <v>4959576.2188434824</v>
      </c>
    </row>
    <row r="1132" spans="1:3" x14ac:dyDescent="0.3">
      <c r="A1132" s="1">
        <v>44596</v>
      </c>
      <c r="B1132">
        <v>3995435.7791092698</v>
      </c>
      <c r="C1132">
        <f t="shared" si="21"/>
        <v>4402970.2285784157</v>
      </c>
    </row>
    <row r="1133" spans="1:3" x14ac:dyDescent="0.3">
      <c r="A1133" s="1">
        <v>44597</v>
      </c>
      <c r="B1133">
        <v>4356994.6933191204</v>
      </c>
      <c r="C1133">
        <f t="shared" si="21"/>
        <v>4801408.1520376708</v>
      </c>
    </row>
    <row r="1134" spans="1:3" x14ac:dyDescent="0.3">
      <c r="A1134" s="1">
        <v>44598</v>
      </c>
      <c r="B1134">
        <v>3985299.8755993298</v>
      </c>
      <c r="C1134">
        <f t="shared" si="21"/>
        <v>4391800.4629104622</v>
      </c>
    </row>
    <row r="1135" spans="1:3" x14ac:dyDescent="0.3">
      <c r="A1135" s="1">
        <v>44599</v>
      </c>
      <c r="B1135">
        <v>2415641.53848293</v>
      </c>
      <c r="C1135">
        <f t="shared" si="21"/>
        <v>2662036.975408189</v>
      </c>
    </row>
    <row r="1136" spans="1:3" x14ac:dyDescent="0.3">
      <c r="A1136" s="1">
        <v>44600</v>
      </c>
      <c r="B1136">
        <v>3247811.2742464002</v>
      </c>
      <c r="C1136">
        <f t="shared" si="21"/>
        <v>3579088.0242195334</v>
      </c>
    </row>
    <row r="1137" spans="1:3" x14ac:dyDescent="0.3">
      <c r="A1137" s="1">
        <v>44601</v>
      </c>
      <c r="B1137">
        <v>5279310.3441184703</v>
      </c>
      <c r="C1137">
        <f t="shared" si="21"/>
        <v>5817799.9992185552</v>
      </c>
    </row>
    <row r="1138" spans="1:3" x14ac:dyDescent="0.3">
      <c r="A1138" s="1">
        <v>44602</v>
      </c>
      <c r="B1138">
        <v>3795931.8435714198</v>
      </c>
      <c r="C1138">
        <f t="shared" si="21"/>
        <v>4183116.8916157051</v>
      </c>
    </row>
    <row r="1139" spans="1:3" x14ac:dyDescent="0.3">
      <c r="A1139" s="1">
        <v>44603</v>
      </c>
      <c r="B1139">
        <v>5679353.4099687804</v>
      </c>
      <c r="C1139">
        <f t="shared" si="21"/>
        <v>6258647.4577855961</v>
      </c>
    </row>
    <row r="1140" spans="1:3" x14ac:dyDescent="0.3">
      <c r="A1140" s="1">
        <v>44604</v>
      </c>
      <c r="B1140">
        <v>5041479.5880390396</v>
      </c>
      <c r="C1140">
        <f t="shared" si="21"/>
        <v>5555710.5060190223</v>
      </c>
    </row>
    <row r="1141" spans="1:3" x14ac:dyDescent="0.3">
      <c r="A1141" s="1">
        <v>44605</v>
      </c>
      <c r="B1141">
        <v>3266146.6136998702</v>
      </c>
      <c r="C1141">
        <f t="shared" si="21"/>
        <v>3599293.5682972572</v>
      </c>
    </row>
    <row r="1142" spans="1:3" x14ac:dyDescent="0.3">
      <c r="A1142" s="1">
        <v>44606</v>
      </c>
      <c r="B1142">
        <v>3811362.5919266101</v>
      </c>
      <c r="C1142">
        <f t="shared" si="21"/>
        <v>4200121.5763031244</v>
      </c>
    </row>
    <row r="1143" spans="1:3" x14ac:dyDescent="0.3">
      <c r="A1143" s="1">
        <v>44607</v>
      </c>
      <c r="B1143">
        <v>4051507.0750988601</v>
      </c>
      <c r="C1143">
        <f t="shared" si="21"/>
        <v>4464760.7967589442</v>
      </c>
    </row>
    <row r="1144" spans="1:3" x14ac:dyDescent="0.3">
      <c r="A1144" s="1">
        <v>44608</v>
      </c>
      <c r="B1144">
        <v>3989351.7644875199</v>
      </c>
      <c r="C1144">
        <f t="shared" si="21"/>
        <v>4396265.6444652472</v>
      </c>
    </row>
    <row r="1145" spans="1:3" x14ac:dyDescent="0.3">
      <c r="A1145" s="1">
        <v>44609</v>
      </c>
      <c r="B1145">
        <v>4234583.9023742098</v>
      </c>
      <c r="C1145">
        <f t="shared" si="21"/>
        <v>4666511.4604163794</v>
      </c>
    </row>
    <row r="1146" spans="1:3" x14ac:dyDescent="0.3">
      <c r="A1146" s="1">
        <v>44610</v>
      </c>
      <c r="B1146">
        <v>3883152.0800084402</v>
      </c>
      <c r="C1146">
        <f t="shared" si="21"/>
        <v>4279233.5921693016</v>
      </c>
    </row>
    <row r="1147" spans="1:3" x14ac:dyDescent="0.3">
      <c r="A1147" s="1">
        <v>44611</v>
      </c>
      <c r="B1147">
        <v>4529940.77990817</v>
      </c>
      <c r="C1147">
        <f t="shared" si="21"/>
        <v>4991994.739458804</v>
      </c>
    </row>
    <row r="1148" spans="1:3" x14ac:dyDescent="0.3">
      <c r="A1148" s="1">
        <v>44612</v>
      </c>
      <c r="B1148">
        <v>4163976.2341984399</v>
      </c>
      <c r="C1148">
        <f t="shared" si="21"/>
        <v>4588701.8100866815</v>
      </c>
    </row>
    <row r="1149" spans="1:3" x14ac:dyDescent="0.3">
      <c r="A1149" s="1">
        <v>44613</v>
      </c>
      <c r="B1149">
        <v>4497213.7717150198</v>
      </c>
      <c r="C1149">
        <f t="shared" si="21"/>
        <v>4955929.5764299519</v>
      </c>
    </row>
    <row r="1150" spans="1:3" x14ac:dyDescent="0.3">
      <c r="A1150" s="1">
        <v>44614</v>
      </c>
      <c r="B1150">
        <v>3382234.7425820301</v>
      </c>
      <c r="C1150">
        <f t="shared" si="21"/>
        <v>3727222.6863253973</v>
      </c>
    </row>
    <row r="1151" spans="1:3" x14ac:dyDescent="0.3">
      <c r="A1151" s="1">
        <v>44615</v>
      </c>
      <c r="B1151">
        <v>3346249.7758208602</v>
      </c>
      <c r="C1151">
        <f t="shared" si="21"/>
        <v>3687567.2529545883</v>
      </c>
    </row>
    <row r="1152" spans="1:3" x14ac:dyDescent="0.3">
      <c r="A1152" s="1">
        <v>44616</v>
      </c>
      <c r="B1152">
        <v>3746011.33016726</v>
      </c>
      <c r="C1152">
        <f t="shared" si="21"/>
        <v>4128104.4858443211</v>
      </c>
    </row>
    <row r="1153" spans="1:3" x14ac:dyDescent="0.3">
      <c r="A1153" s="1">
        <v>44617</v>
      </c>
      <c r="B1153">
        <v>4933691.04557765</v>
      </c>
      <c r="C1153">
        <f t="shared" si="21"/>
        <v>5436927.5322265709</v>
      </c>
    </row>
    <row r="1154" spans="1:3" x14ac:dyDescent="0.3">
      <c r="A1154" s="1">
        <v>44618</v>
      </c>
      <c r="B1154">
        <v>4512337.2925029304</v>
      </c>
      <c r="C1154">
        <f t="shared" si="21"/>
        <v>4972595.6963382298</v>
      </c>
    </row>
    <row r="1155" spans="1:3" x14ac:dyDescent="0.3">
      <c r="A1155" s="1">
        <v>44619</v>
      </c>
      <c r="B1155">
        <v>4019647.2468774202</v>
      </c>
      <c r="C1155">
        <f t="shared" ref="C1155:C1218" si="22">B1155*1.102</f>
        <v>4429651.2660589172</v>
      </c>
    </row>
    <row r="1156" spans="1:3" x14ac:dyDescent="0.3">
      <c r="A1156" s="1">
        <v>44620</v>
      </c>
      <c r="B1156">
        <v>2139713.0350957001</v>
      </c>
      <c r="C1156">
        <f t="shared" si="22"/>
        <v>2357963.7646754617</v>
      </c>
    </row>
    <row r="1157" spans="1:3" x14ac:dyDescent="0.3">
      <c r="A1157" s="1">
        <v>44621</v>
      </c>
      <c r="B1157">
        <v>2903907.9027392599</v>
      </c>
      <c r="C1157">
        <f t="shared" si="22"/>
        <v>3200106.5088186646</v>
      </c>
    </row>
    <row r="1158" spans="1:3" x14ac:dyDescent="0.3">
      <c r="A1158" s="1">
        <v>44622</v>
      </c>
      <c r="B1158">
        <v>3639391.30334925</v>
      </c>
      <c r="C1158">
        <f t="shared" si="22"/>
        <v>4010609.2162908739</v>
      </c>
    </row>
    <row r="1159" spans="1:3" x14ac:dyDescent="0.3">
      <c r="A1159" s="1">
        <v>44623</v>
      </c>
      <c r="B1159">
        <v>6042202.49319949</v>
      </c>
      <c r="C1159">
        <f t="shared" si="22"/>
        <v>6658507.1475058384</v>
      </c>
    </row>
    <row r="1160" spans="1:3" x14ac:dyDescent="0.3">
      <c r="A1160" s="1">
        <v>44624</v>
      </c>
      <c r="B1160">
        <v>4007812.0670920601</v>
      </c>
      <c r="C1160">
        <f t="shared" si="22"/>
        <v>4416608.897935451</v>
      </c>
    </row>
    <row r="1161" spans="1:3" x14ac:dyDescent="0.3">
      <c r="A1161" s="1">
        <v>44625</v>
      </c>
      <c r="B1161">
        <v>4972281.0941175297</v>
      </c>
      <c r="C1161">
        <f t="shared" si="22"/>
        <v>5479453.7657175185</v>
      </c>
    </row>
    <row r="1162" spans="1:3" x14ac:dyDescent="0.3">
      <c r="A1162" s="1">
        <v>44626</v>
      </c>
      <c r="B1162">
        <v>3518747.0743605499</v>
      </c>
      <c r="C1162">
        <f t="shared" si="22"/>
        <v>3877659.2759453263</v>
      </c>
    </row>
    <row r="1163" spans="1:3" x14ac:dyDescent="0.3">
      <c r="A1163" s="1">
        <v>44627</v>
      </c>
      <c r="B1163">
        <v>3711127.7760932101</v>
      </c>
      <c r="C1163">
        <f t="shared" si="22"/>
        <v>4089662.809254718</v>
      </c>
    </row>
    <row r="1164" spans="1:3" x14ac:dyDescent="0.3">
      <c r="A1164" s="1">
        <v>44628</v>
      </c>
      <c r="B1164">
        <v>4485200.6104825996</v>
      </c>
      <c r="C1164">
        <f t="shared" si="22"/>
        <v>4942691.0727518247</v>
      </c>
    </row>
    <row r="1165" spans="1:3" x14ac:dyDescent="0.3">
      <c r="A1165" s="1">
        <v>44629</v>
      </c>
      <c r="B1165">
        <v>4648609.0943904398</v>
      </c>
      <c r="C1165">
        <f t="shared" si="22"/>
        <v>5122767.2220182652</v>
      </c>
    </row>
    <row r="1166" spans="1:3" x14ac:dyDescent="0.3">
      <c r="A1166" s="1">
        <v>44630</v>
      </c>
      <c r="B1166">
        <v>3571132.98029783</v>
      </c>
      <c r="C1166">
        <f t="shared" si="22"/>
        <v>3935388.5442882087</v>
      </c>
    </row>
    <row r="1167" spans="1:3" x14ac:dyDescent="0.3">
      <c r="A1167" s="1">
        <v>44631</v>
      </c>
      <c r="B1167">
        <v>4564776.5339468801</v>
      </c>
      <c r="C1167">
        <f t="shared" si="22"/>
        <v>5030383.7404094627</v>
      </c>
    </row>
    <row r="1168" spans="1:3" x14ac:dyDescent="0.3">
      <c r="A1168" s="1">
        <v>44632</v>
      </c>
      <c r="B1168">
        <v>4425162.5485938601</v>
      </c>
      <c r="C1168">
        <f t="shared" si="22"/>
        <v>4876529.1285504345</v>
      </c>
    </row>
    <row r="1169" spans="1:3" x14ac:dyDescent="0.3">
      <c r="A1169" s="1">
        <v>44633</v>
      </c>
      <c r="B1169">
        <v>4916163.78773659</v>
      </c>
      <c r="C1169">
        <f t="shared" si="22"/>
        <v>5417612.4940857226</v>
      </c>
    </row>
    <row r="1170" spans="1:3" x14ac:dyDescent="0.3">
      <c r="A1170" s="1">
        <v>44634</v>
      </c>
      <c r="B1170">
        <v>4230955.1401048303</v>
      </c>
      <c r="C1170">
        <f t="shared" si="22"/>
        <v>4662512.5643955236</v>
      </c>
    </row>
    <row r="1171" spans="1:3" x14ac:dyDescent="0.3">
      <c r="A1171" s="1">
        <v>44635</v>
      </c>
      <c r="B1171">
        <v>3450873.2500998601</v>
      </c>
      <c r="C1171">
        <f t="shared" si="22"/>
        <v>3802862.3216100461</v>
      </c>
    </row>
    <row r="1172" spans="1:3" x14ac:dyDescent="0.3">
      <c r="A1172" s="1">
        <v>44636</v>
      </c>
      <c r="B1172">
        <v>5258007.5658841999</v>
      </c>
      <c r="C1172">
        <f t="shared" si="22"/>
        <v>5794324.3376043886</v>
      </c>
    </row>
    <row r="1173" spans="1:3" x14ac:dyDescent="0.3">
      <c r="A1173" s="1">
        <v>44637</v>
      </c>
      <c r="B1173">
        <v>3226774.5558337099</v>
      </c>
      <c r="C1173">
        <f t="shared" si="22"/>
        <v>3555905.5605287487</v>
      </c>
    </row>
    <row r="1174" spans="1:3" x14ac:dyDescent="0.3">
      <c r="A1174" s="1">
        <v>44638</v>
      </c>
      <c r="B1174">
        <v>2264885.6042812001</v>
      </c>
      <c r="C1174">
        <f t="shared" si="22"/>
        <v>2495903.9359178827</v>
      </c>
    </row>
    <row r="1175" spans="1:3" x14ac:dyDescent="0.3">
      <c r="A1175" s="1">
        <v>44639</v>
      </c>
      <c r="B1175">
        <v>3841758.5450923801</v>
      </c>
      <c r="C1175">
        <f t="shared" si="22"/>
        <v>4233617.9166918034</v>
      </c>
    </row>
    <row r="1176" spans="1:3" x14ac:dyDescent="0.3">
      <c r="A1176" s="1">
        <v>44640</v>
      </c>
      <c r="B1176">
        <v>2798580.1824018899</v>
      </c>
      <c r="C1176">
        <f t="shared" si="22"/>
        <v>3084035.361006883</v>
      </c>
    </row>
    <row r="1177" spans="1:3" x14ac:dyDescent="0.3">
      <c r="A1177" s="1">
        <v>44641</v>
      </c>
      <c r="B1177">
        <v>4489906.9463941902</v>
      </c>
      <c r="C1177">
        <f t="shared" si="22"/>
        <v>4947877.4549263977</v>
      </c>
    </row>
    <row r="1178" spans="1:3" x14ac:dyDescent="0.3">
      <c r="A1178" s="1">
        <v>44642</v>
      </c>
      <c r="B1178">
        <v>4454283.12728291</v>
      </c>
      <c r="C1178">
        <f t="shared" si="22"/>
        <v>4908620.0062657669</v>
      </c>
    </row>
    <row r="1179" spans="1:3" x14ac:dyDescent="0.3">
      <c r="A1179" s="1">
        <v>44643</v>
      </c>
      <c r="B1179">
        <v>4715958.87450743</v>
      </c>
      <c r="C1179">
        <f t="shared" si="22"/>
        <v>5196986.6797071882</v>
      </c>
    </row>
    <row r="1180" spans="1:3" x14ac:dyDescent="0.3">
      <c r="A1180" s="1">
        <v>44644</v>
      </c>
      <c r="B1180">
        <v>5246739.8785961997</v>
      </c>
      <c r="C1180">
        <f t="shared" si="22"/>
        <v>5781907.3462130129</v>
      </c>
    </row>
    <row r="1181" spans="1:3" x14ac:dyDescent="0.3">
      <c r="A1181" s="1">
        <v>44645</v>
      </c>
      <c r="B1181">
        <v>5578545.2215671698</v>
      </c>
      <c r="C1181">
        <f t="shared" si="22"/>
        <v>6147556.8341670213</v>
      </c>
    </row>
    <row r="1182" spans="1:3" x14ac:dyDescent="0.3">
      <c r="A1182" s="1">
        <v>44646</v>
      </c>
      <c r="B1182">
        <v>4441442.1897248598</v>
      </c>
      <c r="C1182">
        <f t="shared" si="22"/>
        <v>4894469.2930767955</v>
      </c>
    </row>
    <row r="1183" spans="1:3" x14ac:dyDescent="0.3">
      <c r="A1183" s="1">
        <v>44647</v>
      </c>
      <c r="B1183">
        <v>2559673.4592164201</v>
      </c>
      <c r="C1183">
        <f t="shared" si="22"/>
        <v>2820760.1520564952</v>
      </c>
    </row>
    <row r="1184" spans="1:3" x14ac:dyDescent="0.3">
      <c r="A1184" s="1">
        <v>44648</v>
      </c>
      <c r="B1184">
        <v>3163924.4615946501</v>
      </c>
      <c r="C1184">
        <f t="shared" si="22"/>
        <v>3486644.7566773049</v>
      </c>
    </row>
    <row r="1185" spans="1:3" x14ac:dyDescent="0.3">
      <c r="A1185" s="1">
        <v>44649</v>
      </c>
      <c r="B1185">
        <v>2888761.23380512</v>
      </c>
      <c r="C1185">
        <f t="shared" si="22"/>
        <v>3183414.8796532424</v>
      </c>
    </row>
    <row r="1186" spans="1:3" x14ac:dyDescent="0.3">
      <c r="A1186" s="1">
        <v>44650</v>
      </c>
      <c r="B1186">
        <v>2677410.0342051499</v>
      </c>
      <c r="C1186">
        <f t="shared" si="22"/>
        <v>2950505.8576940754</v>
      </c>
    </row>
    <row r="1187" spans="1:3" x14ac:dyDescent="0.3">
      <c r="A1187" s="1">
        <v>44651</v>
      </c>
      <c r="B1187">
        <v>5581372.3744715797</v>
      </c>
      <c r="C1187">
        <f t="shared" si="22"/>
        <v>6150672.3566676816</v>
      </c>
    </row>
    <row r="1188" spans="1:3" x14ac:dyDescent="0.3">
      <c r="A1188" s="1">
        <v>44652</v>
      </c>
      <c r="B1188">
        <v>5188351.6207520002</v>
      </c>
      <c r="C1188">
        <f t="shared" si="22"/>
        <v>5717563.4860687051</v>
      </c>
    </row>
    <row r="1189" spans="1:3" x14ac:dyDescent="0.3">
      <c r="A1189" s="1">
        <v>44653</v>
      </c>
      <c r="B1189">
        <v>4950952.8016940001</v>
      </c>
      <c r="C1189">
        <f t="shared" si="22"/>
        <v>5455949.9874667889</v>
      </c>
    </row>
    <row r="1190" spans="1:3" x14ac:dyDescent="0.3">
      <c r="A1190" s="1">
        <v>44654</v>
      </c>
      <c r="B1190">
        <v>4395152.5119240498</v>
      </c>
      <c r="C1190">
        <f t="shared" si="22"/>
        <v>4843458.0681403037</v>
      </c>
    </row>
    <row r="1191" spans="1:3" x14ac:dyDescent="0.3">
      <c r="A1191" s="1">
        <v>44655</v>
      </c>
      <c r="B1191">
        <v>5419842.8876451701</v>
      </c>
      <c r="C1191">
        <f t="shared" si="22"/>
        <v>5972666.8621849781</v>
      </c>
    </row>
    <row r="1192" spans="1:3" x14ac:dyDescent="0.3">
      <c r="A1192" s="1">
        <v>44656</v>
      </c>
      <c r="B1192">
        <v>3127186.79948594</v>
      </c>
      <c r="C1192">
        <f t="shared" si="22"/>
        <v>3446159.8530335063</v>
      </c>
    </row>
    <row r="1193" spans="1:3" x14ac:dyDescent="0.3">
      <c r="A1193" s="1">
        <v>44657</v>
      </c>
      <c r="B1193">
        <v>4769030.3219454503</v>
      </c>
      <c r="C1193">
        <f t="shared" si="22"/>
        <v>5255471.4147838866</v>
      </c>
    </row>
    <row r="1194" spans="1:3" x14ac:dyDescent="0.3">
      <c r="A1194" s="1">
        <v>44658</v>
      </c>
      <c r="B1194">
        <v>4123075.04224172</v>
      </c>
      <c r="C1194">
        <f t="shared" si="22"/>
        <v>4543628.6965503758</v>
      </c>
    </row>
    <row r="1195" spans="1:3" x14ac:dyDescent="0.3">
      <c r="A1195" s="1">
        <v>44659</v>
      </c>
      <c r="B1195">
        <v>3877115.60401328</v>
      </c>
      <c r="C1195">
        <f t="shared" si="22"/>
        <v>4272581.3956226353</v>
      </c>
    </row>
    <row r="1196" spans="1:3" x14ac:dyDescent="0.3">
      <c r="A1196" s="1">
        <v>44660</v>
      </c>
      <c r="B1196">
        <v>5451526.0661109602</v>
      </c>
      <c r="C1196">
        <f t="shared" si="22"/>
        <v>6007581.7248542784</v>
      </c>
    </row>
    <row r="1197" spans="1:3" x14ac:dyDescent="0.3">
      <c r="A1197" s="1">
        <v>44661</v>
      </c>
      <c r="B1197">
        <v>5247419.0109371496</v>
      </c>
      <c r="C1197">
        <f t="shared" si="22"/>
        <v>5782655.7500527389</v>
      </c>
    </row>
    <row r="1198" spans="1:3" x14ac:dyDescent="0.3">
      <c r="A1198" s="1">
        <v>44662</v>
      </c>
      <c r="B1198">
        <v>3555355.4426458101</v>
      </c>
      <c r="C1198">
        <f t="shared" si="22"/>
        <v>3918001.6977956831</v>
      </c>
    </row>
    <row r="1199" spans="1:3" x14ac:dyDescent="0.3">
      <c r="A1199" s="1">
        <v>44663</v>
      </c>
      <c r="B1199">
        <v>4159922.8871669201</v>
      </c>
      <c r="C1199">
        <f t="shared" si="22"/>
        <v>4584235.0216579465</v>
      </c>
    </row>
    <row r="1200" spans="1:3" x14ac:dyDescent="0.3">
      <c r="A1200" s="1">
        <v>44664</v>
      </c>
      <c r="B1200">
        <v>4104050.8206207901</v>
      </c>
      <c r="C1200">
        <f t="shared" si="22"/>
        <v>4522664.0043241112</v>
      </c>
    </row>
    <row r="1201" spans="1:3" x14ac:dyDescent="0.3">
      <c r="A1201" s="1">
        <v>44665</v>
      </c>
      <c r="B1201">
        <v>4109169.4545954699</v>
      </c>
      <c r="C1201">
        <f t="shared" si="22"/>
        <v>4528304.7389642084</v>
      </c>
    </row>
    <row r="1202" spans="1:3" x14ac:dyDescent="0.3">
      <c r="A1202" s="1">
        <v>44666</v>
      </c>
      <c r="B1202">
        <v>3674650.8484697999</v>
      </c>
      <c r="C1202">
        <f t="shared" si="22"/>
        <v>4049465.2350137196</v>
      </c>
    </row>
    <row r="1203" spans="1:3" x14ac:dyDescent="0.3">
      <c r="A1203" s="1">
        <v>44667</v>
      </c>
      <c r="B1203">
        <v>3397682.2680219002</v>
      </c>
      <c r="C1203">
        <f t="shared" si="22"/>
        <v>3744245.8593601342</v>
      </c>
    </row>
    <row r="1204" spans="1:3" x14ac:dyDescent="0.3">
      <c r="A1204" s="1">
        <v>44668</v>
      </c>
      <c r="B1204">
        <v>5963527.6477343803</v>
      </c>
      <c r="C1204">
        <f t="shared" si="22"/>
        <v>6571807.4678032873</v>
      </c>
    </row>
    <row r="1205" spans="1:3" x14ac:dyDescent="0.3">
      <c r="A1205" s="1">
        <v>44669</v>
      </c>
      <c r="B1205">
        <v>3604809.7899131002</v>
      </c>
      <c r="C1205">
        <f t="shared" si="22"/>
        <v>3972500.3884842368</v>
      </c>
    </row>
    <row r="1206" spans="1:3" x14ac:dyDescent="0.3">
      <c r="A1206" s="1">
        <v>44670</v>
      </c>
      <c r="B1206">
        <v>4533804.6601911802</v>
      </c>
      <c r="C1206">
        <f t="shared" si="22"/>
        <v>4996252.735530681</v>
      </c>
    </row>
    <row r="1207" spans="1:3" x14ac:dyDescent="0.3">
      <c r="A1207" s="1">
        <v>44671</v>
      </c>
      <c r="B1207">
        <v>4645081.5712724403</v>
      </c>
      <c r="C1207">
        <f t="shared" si="22"/>
        <v>5118879.8915422298</v>
      </c>
    </row>
    <row r="1208" spans="1:3" x14ac:dyDescent="0.3">
      <c r="A1208" s="1">
        <v>44672</v>
      </c>
      <c r="B1208">
        <v>3329937.8151848698</v>
      </c>
      <c r="C1208">
        <f t="shared" si="22"/>
        <v>3669591.4723337269</v>
      </c>
    </row>
    <row r="1209" spans="1:3" x14ac:dyDescent="0.3">
      <c r="A1209" s="1">
        <v>44673</v>
      </c>
      <c r="B1209">
        <v>4096428.3572709002</v>
      </c>
      <c r="C1209">
        <f t="shared" si="22"/>
        <v>4514264.0497125322</v>
      </c>
    </row>
    <row r="1210" spans="1:3" x14ac:dyDescent="0.3">
      <c r="A1210" s="1">
        <v>44674</v>
      </c>
      <c r="B1210">
        <v>4806924.9429062903</v>
      </c>
      <c r="C1210">
        <f t="shared" si="22"/>
        <v>5297231.2870827327</v>
      </c>
    </row>
    <row r="1211" spans="1:3" x14ac:dyDescent="0.3">
      <c r="A1211" s="1">
        <v>44675</v>
      </c>
      <c r="B1211">
        <v>3801911.19551859</v>
      </c>
      <c r="C1211">
        <f t="shared" si="22"/>
        <v>4189706.1374614867</v>
      </c>
    </row>
    <row r="1212" spans="1:3" x14ac:dyDescent="0.3">
      <c r="A1212" s="1">
        <v>44676</v>
      </c>
      <c r="B1212">
        <v>3966474.0660164799</v>
      </c>
      <c r="C1212">
        <f t="shared" si="22"/>
        <v>4371054.4207501607</v>
      </c>
    </row>
    <row r="1213" spans="1:3" x14ac:dyDescent="0.3">
      <c r="A1213" s="1">
        <v>44677</v>
      </c>
      <c r="B1213">
        <v>4356920.6242755298</v>
      </c>
      <c r="C1213">
        <f t="shared" si="22"/>
        <v>4801326.5279516345</v>
      </c>
    </row>
    <row r="1214" spans="1:3" x14ac:dyDescent="0.3">
      <c r="A1214" s="1">
        <v>44678</v>
      </c>
      <c r="B1214">
        <v>4178391.3017167002</v>
      </c>
      <c r="C1214">
        <f t="shared" si="22"/>
        <v>4604587.2144918041</v>
      </c>
    </row>
    <row r="1215" spans="1:3" x14ac:dyDescent="0.3">
      <c r="A1215" s="1">
        <v>44679</v>
      </c>
      <c r="B1215">
        <v>4410666.5966791697</v>
      </c>
      <c r="C1215">
        <f t="shared" si="22"/>
        <v>4860554.5895404452</v>
      </c>
    </row>
    <row r="1216" spans="1:3" x14ac:dyDescent="0.3">
      <c r="A1216" s="1">
        <v>44680</v>
      </c>
      <c r="B1216">
        <v>4194197.5129505801</v>
      </c>
      <c r="C1216">
        <f t="shared" si="22"/>
        <v>4622005.6592715392</v>
      </c>
    </row>
    <row r="1217" spans="1:3" x14ac:dyDescent="0.3">
      <c r="A1217" s="1">
        <v>44681</v>
      </c>
      <c r="B1217">
        <v>3818948.5401710002</v>
      </c>
      <c r="C1217">
        <f t="shared" si="22"/>
        <v>4208481.2912684428</v>
      </c>
    </row>
    <row r="1218" spans="1:3" x14ac:dyDescent="0.3">
      <c r="A1218" s="1">
        <v>44682</v>
      </c>
      <c r="B1218">
        <v>3105216.7362299701</v>
      </c>
      <c r="C1218">
        <f t="shared" si="22"/>
        <v>3421948.8433254273</v>
      </c>
    </row>
    <row r="1219" spans="1:3" x14ac:dyDescent="0.3">
      <c r="A1219" s="1">
        <v>44683</v>
      </c>
      <c r="B1219">
        <v>3999793.9289275301</v>
      </c>
      <c r="C1219">
        <f t="shared" ref="C1219:C1282" si="23">B1219*1.102</f>
        <v>4407772.9096781388</v>
      </c>
    </row>
    <row r="1220" spans="1:3" x14ac:dyDescent="0.3">
      <c r="A1220" s="1">
        <v>44684</v>
      </c>
      <c r="B1220">
        <v>4806132.2656518603</v>
      </c>
      <c r="C1220">
        <f t="shared" si="23"/>
        <v>5296357.7567483503</v>
      </c>
    </row>
    <row r="1221" spans="1:3" x14ac:dyDescent="0.3">
      <c r="A1221" s="1">
        <v>44685</v>
      </c>
      <c r="B1221">
        <v>3444703.2119710301</v>
      </c>
      <c r="C1221">
        <f t="shared" si="23"/>
        <v>3796062.9395920755</v>
      </c>
    </row>
    <row r="1222" spans="1:3" x14ac:dyDescent="0.3">
      <c r="A1222" s="1">
        <v>44686</v>
      </c>
      <c r="B1222">
        <v>3831923.9007579298</v>
      </c>
      <c r="C1222">
        <f t="shared" si="23"/>
        <v>4222780.1386352386</v>
      </c>
    </row>
    <row r="1223" spans="1:3" x14ac:dyDescent="0.3">
      <c r="A1223" s="1">
        <v>44687</v>
      </c>
      <c r="B1223">
        <v>4803954.9393607099</v>
      </c>
      <c r="C1223">
        <f t="shared" si="23"/>
        <v>5293958.3431755025</v>
      </c>
    </row>
    <row r="1224" spans="1:3" x14ac:dyDescent="0.3">
      <c r="A1224" s="1">
        <v>44688</v>
      </c>
      <c r="B1224">
        <v>3848674.7074730201</v>
      </c>
      <c r="C1224">
        <f t="shared" si="23"/>
        <v>4241239.5276352689</v>
      </c>
    </row>
    <row r="1225" spans="1:3" x14ac:dyDescent="0.3">
      <c r="A1225" s="1">
        <v>44689</v>
      </c>
      <c r="B1225">
        <v>5267665.9642944103</v>
      </c>
      <c r="C1225">
        <f t="shared" si="23"/>
        <v>5804967.8926524408</v>
      </c>
    </row>
    <row r="1226" spans="1:3" x14ac:dyDescent="0.3">
      <c r="A1226" s="1">
        <v>44690</v>
      </c>
      <c r="B1226">
        <v>3531645.9929887601</v>
      </c>
      <c r="C1226">
        <f t="shared" si="23"/>
        <v>3891873.8842736138</v>
      </c>
    </row>
    <row r="1227" spans="1:3" x14ac:dyDescent="0.3">
      <c r="A1227" s="1">
        <v>44691</v>
      </c>
      <c r="B1227">
        <v>3273288.2701286199</v>
      </c>
      <c r="C1227">
        <f t="shared" si="23"/>
        <v>3607163.6736817393</v>
      </c>
    </row>
    <row r="1228" spans="1:3" x14ac:dyDescent="0.3">
      <c r="A1228" s="1">
        <v>44692</v>
      </c>
      <c r="B1228">
        <v>4900862.0509106005</v>
      </c>
      <c r="C1228">
        <f t="shared" si="23"/>
        <v>5400749.9801034825</v>
      </c>
    </row>
    <row r="1229" spans="1:3" x14ac:dyDescent="0.3">
      <c r="A1229" s="1">
        <v>44693</v>
      </c>
      <c r="B1229">
        <v>4262679.9712052997</v>
      </c>
      <c r="C1229">
        <f t="shared" si="23"/>
        <v>4697473.3282682411</v>
      </c>
    </row>
    <row r="1230" spans="1:3" x14ac:dyDescent="0.3">
      <c r="A1230" s="1">
        <v>44694</v>
      </c>
      <c r="B1230">
        <v>4516073.7246661503</v>
      </c>
      <c r="C1230">
        <f t="shared" si="23"/>
        <v>4976713.244582098</v>
      </c>
    </row>
    <row r="1231" spans="1:3" x14ac:dyDescent="0.3">
      <c r="A1231" s="1">
        <v>44695</v>
      </c>
      <c r="B1231">
        <v>3079418.4635857199</v>
      </c>
      <c r="C1231">
        <f t="shared" si="23"/>
        <v>3393519.1468714639</v>
      </c>
    </row>
    <row r="1232" spans="1:3" x14ac:dyDescent="0.3">
      <c r="A1232" s="1">
        <v>44696</v>
      </c>
      <c r="B1232">
        <v>2739617.3168250299</v>
      </c>
      <c r="C1232">
        <f t="shared" si="23"/>
        <v>3019058.2831411832</v>
      </c>
    </row>
    <row r="1233" spans="1:3" x14ac:dyDescent="0.3">
      <c r="A1233" s="1">
        <v>44697</v>
      </c>
      <c r="B1233">
        <v>3097407.5676662899</v>
      </c>
      <c r="C1233">
        <f t="shared" si="23"/>
        <v>3413343.1395682516</v>
      </c>
    </row>
    <row r="1234" spans="1:3" x14ac:dyDescent="0.3">
      <c r="A1234" s="1">
        <v>44698</v>
      </c>
      <c r="B1234">
        <v>5130731.5864739204</v>
      </c>
      <c r="C1234">
        <f t="shared" si="23"/>
        <v>5654066.2082942603</v>
      </c>
    </row>
    <row r="1235" spans="1:3" x14ac:dyDescent="0.3">
      <c r="A1235" s="1">
        <v>44699</v>
      </c>
      <c r="B1235">
        <v>3121466.6550881602</v>
      </c>
      <c r="C1235">
        <f t="shared" si="23"/>
        <v>3439856.2539071529</v>
      </c>
    </row>
    <row r="1236" spans="1:3" x14ac:dyDescent="0.3">
      <c r="A1236" s="1">
        <v>44700</v>
      </c>
      <c r="B1236">
        <v>3998580.99665527</v>
      </c>
      <c r="C1236">
        <f t="shared" si="23"/>
        <v>4406436.2583141075</v>
      </c>
    </row>
    <row r="1237" spans="1:3" x14ac:dyDescent="0.3">
      <c r="A1237" s="1">
        <v>44701</v>
      </c>
      <c r="B1237">
        <v>3312076.63221204</v>
      </c>
      <c r="C1237">
        <f t="shared" si="23"/>
        <v>3649908.4486976685</v>
      </c>
    </row>
    <row r="1238" spans="1:3" x14ac:dyDescent="0.3">
      <c r="A1238" s="1">
        <v>44702</v>
      </c>
      <c r="B1238">
        <v>4496177.70909598</v>
      </c>
      <c r="C1238">
        <f t="shared" si="23"/>
        <v>4954787.8354237704</v>
      </c>
    </row>
    <row r="1239" spans="1:3" x14ac:dyDescent="0.3">
      <c r="A1239" s="1">
        <v>44703</v>
      </c>
      <c r="B1239">
        <v>4325700.2719333703</v>
      </c>
      <c r="C1239">
        <f t="shared" si="23"/>
        <v>4766921.6996705746</v>
      </c>
    </row>
    <row r="1240" spans="1:3" x14ac:dyDescent="0.3">
      <c r="A1240" s="1">
        <v>44704</v>
      </c>
      <c r="B1240">
        <v>3723802.3874761201</v>
      </c>
      <c r="C1240">
        <f t="shared" si="23"/>
        <v>4103630.2309986847</v>
      </c>
    </row>
    <row r="1241" spans="1:3" x14ac:dyDescent="0.3">
      <c r="A1241" s="1">
        <v>44705</v>
      </c>
      <c r="B1241">
        <v>4200367.3960443595</v>
      </c>
      <c r="C1241">
        <f t="shared" si="23"/>
        <v>4628804.8704408845</v>
      </c>
    </row>
    <row r="1242" spans="1:3" x14ac:dyDescent="0.3">
      <c r="A1242" s="1">
        <v>44706</v>
      </c>
      <c r="B1242">
        <v>3880971.7039724402</v>
      </c>
      <c r="C1242">
        <f t="shared" si="23"/>
        <v>4276830.817777629</v>
      </c>
    </row>
    <row r="1243" spans="1:3" x14ac:dyDescent="0.3">
      <c r="A1243" s="1">
        <v>44707</v>
      </c>
      <c r="B1243">
        <v>2741707.5231281002</v>
      </c>
      <c r="C1243">
        <f t="shared" si="23"/>
        <v>3021361.6904871669</v>
      </c>
    </row>
    <row r="1244" spans="1:3" x14ac:dyDescent="0.3">
      <c r="A1244" s="1">
        <v>44708</v>
      </c>
      <c r="B1244">
        <v>5295357.2909040097</v>
      </c>
      <c r="C1244">
        <f t="shared" si="23"/>
        <v>5835483.7345762188</v>
      </c>
    </row>
    <row r="1245" spans="1:3" x14ac:dyDescent="0.3">
      <c r="A1245" s="1">
        <v>44709</v>
      </c>
      <c r="B1245">
        <v>3858365.6908072699</v>
      </c>
      <c r="C1245">
        <f t="shared" si="23"/>
        <v>4251918.9912696118</v>
      </c>
    </row>
    <row r="1246" spans="1:3" x14ac:dyDescent="0.3">
      <c r="A1246" s="1">
        <v>44710</v>
      </c>
      <c r="B1246">
        <v>4180018.7489739</v>
      </c>
      <c r="C1246">
        <f t="shared" si="23"/>
        <v>4606380.661369238</v>
      </c>
    </row>
    <row r="1247" spans="1:3" x14ac:dyDescent="0.3">
      <c r="A1247" s="1">
        <v>44711</v>
      </c>
      <c r="B1247">
        <v>3874845.0624278202</v>
      </c>
      <c r="C1247">
        <f t="shared" si="23"/>
        <v>4270079.2587954579</v>
      </c>
    </row>
    <row r="1248" spans="1:3" x14ac:dyDescent="0.3">
      <c r="A1248" s="1">
        <v>44712</v>
      </c>
      <c r="B1248">
        <v>3285852.8955893498</v>
      </c>
      <c r="C1248">
        <f t="shared" si="23"/>
        <v>3621009.8909394639</v>
      </c>
    </row>
    <row r="1249" spans="1:3" x14ac:dyDescent="0.3">
      <c r="A1249" s="1">
        <v>44713</v>
      </c>
      <c r="B1249">
        <v>3613765.9584293198</v>
      </c>
      <c r="C1249">
        <f t="shared" si="23"/>
        <v>3982370.0861891108</v>
      </c>
    </row>
    <row r="1250" spans="1:3" x14ac:dyDescent="0.3">
      <c r="A1250" s="1">
        <v>44714</v>
      </c>
      <c r="B1250">
        <v>4830848.0324500101</v>
      </c>
      <c r="C1250">
        <f t="shared" si="23"/>
        <v>5323594.5317599112</v>
      </c>
    </row>
    <row r="1251" spans="1:3" x14ac:dyDescent="0.3">
      <c r="A1251" s="1">
        <v>44715</v>
      </c>
      <c r="B1251">
        <v>5129250.4779316597</v>
      </c>
      <c r="C1251">
        <f t="shared" si="23"/>
        <v>5652434.0266806893</v>
      </c>
    </row>
    <row r="1252" spans="1:3" x14ac:dyDescent="0.3">
      <c r="A1252" s="1">
        <v>44716</v>
      </c>
      <c r="B1252">
        <v>3224327.5898775901</v>
      </c>
      <c r="C1252">
        <f t="shared" si="23"/>
        <v>3553209.0040451046</v>
      </c>
    </row>
    <row r="1253" spans="1:3" x14ac:dyDescent="0.3">
      <c r="A1253" s="1">
        <v>44717</v>
      </c>
      <c r="B1253">
        <v>4201670.9129328504</v>
      </c>
      <c r="C1253">
        <f t="shared" si="23"/>
        <v>4630241.3460520012</v>
      </c>
    </row>
    <row r="1254" spans="1:3" x14ac:dyDescent="0.3">
      <c r="A1254" s="1">
        <v>44718</v>
      </c>
      <c r="B1254">
        <v>3033766.4481124398</v>
      </c>
      <c r="C1254">
        <f t="shared" si="23"/>
        <v>3343210.6258199089</v>
      </c>
    </row>
    <row r="1255" spans="1:3" x14ac:dyDescent="0.3">
      <c r="A1255" s="1">
        <v>44719</v>
      </c>
      <c r="B1255">
        <v>4977359.1980630904</v>
      </c>
      <c r="C1255">
        <f t="shared" si="23"/>
        <v>5485049.8362655258</v>
      </c>
    </row>
    <row r="1256" spans="1:3" x14ac:dyDescent="0.3">
      <c r="A1256" s="1">
        <v>44720</v>
      </c>
      <c r="B1256">
        <v>4878526.3436802505</v>
      </c>
      <c r="C1256">
        <f t="shared" si="23"/>
        <v>5376136.0307356361</v>
      </c>
    </row>
    <row r="1257" spans="1:3" x14ac:dyDescent="0.3">
      <c r="A1257" s="1">
        <v>44721</v>
      </c>
      <c r="B1257">
        <v>2625971.9435944399</v>
      </c>
      <c r="C1257">
        <f t="shared" si="23"/>
        <v>2893821.081841073</v>
      </c>
    </row>
    <row r="1258" spans="1:3" x14ac:dyDescent="0.3">
      <c r="A1258" s="1">
        <v>44722</v>
      </c>
      <c r="B1258">
        <v>5376891.8457736103</v>
      </c>
      <c r="C1258">
        <f t="shared" si="23"/>
        <v>5925334.8140425188</v>
      </c>
    </row>
    <row r="1259" spans="1:3" x14ac:dyDescent="0.3">
      <c r="A1259" s="1">
        <v>44723</v>
      </c>
      <c r="B1259">
        <v>4319436.1546371598</v>
      </c>
      <c r="C1259">
        <f t="shared" si="23"/>
        <v>4760018.6424101507</v>
      </c>
    </row>
    <row r="1260" spans="1:3" x14ac:dyDescent="0.3">
      <c r="A1260" s="1">
        <v>44724</v>
      </c>
      <c r="B1260">
        <v>3115971.73214059</v>
      </c>
      <c r="C1260">
        <f t="shared" si="23"/>
        <v>3433800.8488189303</v>
      </c>
    </row>
    <row r="1261" spans="1:3" x14ac:dyDescent="0.3">
      <c r="A1261" s="1">
        <v>44725</v>
      </c>
      <c r="B1261">
        <v>2931258.7238765098</v>
      </c>
      <c r="C1261">
        <f t="shared" si="23"/>
        <v>3230247.113711914</v>
      </c>
    </row>
    <row r="1262" spans="1:3" x14ac:dyDescent="0.3">
      <c r="A1262" s="1">
        <v>44726</v>
      </c>
      <c r="B1262">
        <v>6787236.9123088997</v>
      </c>
      <c r="C1262">
        <f t="shared" si="23"/>
        <v>7479535.0773644084</v>
      </c>
    </row>
    <row r="1263" spans="1:3" x14ac:dyDescent="0.3">
      <c r="A1263" s="1">
        <v>44727</v>
      </c>
      <c r="B1263">
        <v>4180417.2871793001</v>
      </c>
      <c r="C1263">
        <f t="shared" si="23"/>
        <v>4606819.8504715888</v>
      </c>
    </row>
    <row r="1264" spans="1:3" x14ac:dyDescent="0.3">
      <c r="A1264" s="1">
        <v>44728</v>
      </c>
      <c r="B1264">
        <v>4985250.3717127396</v>
      </c>
      <c r="C1264">
        <f t="shared" si="23"/>
        <v>5493745.9096274395</v>
      </c>
    </row>
    <row r="1265" spans="1:3" x14ac:dyDescent="0.3">
      <c r="A1265" s="1">
        <v>44729</v>
      </c>
      <c r="B1265">
        <v>3039690.9563519899</v>
      </c>
      <c r="C1265">
        <f t="shared" si="23"/>
        <v>3349739.433899893</v>
      </c>
    </row>
    <row r="1266" spans="1:3" x14ac:dyDescent="0.3">
      <c r="A1266" s="1">
        <v>44730</v>
      </c>
      <c r="B1266">
        <v>3719660.0271275798</v>
      </c>
      <c r="C1266">
        <f t="shared" si="23"/>
        <v>4099065.3498945935</v>
      </c>
    </row>
    <row r="1267" spans="1:3" x14ac:dyDescent="0.3">
      <c r="A1267" s="1">
        <v>44731</v>
      </c>
      <c r="B1267">
        <v>4091799.3727430501</v>
      </c>
      <c r="C1267">
        <f t="shared" si="23"/>
        <v>4509162.9087628415</v>
      </c>
    </row>
    <row r="1268" spans="1:3" x14ac:dyDescent="0.3">
      <c r="A1268" s="1">
        <v>44732</v>
      </c>
      <c r="B1268">
        <v>4070638.06855183</v>
      </c>
      <c r="C1268">
        <f t="shared" si="23"/>
        <v>4485843.1515441174</v>
      </c>
    </row>
    <row r="1269" spans="1:3" x14ac:dyDescent="0.3">
      <c r="A1269" s="1">
        <v>44733</v>
      </c>
      <c r="B1269">
        <v>2316806.7527987398</v>
      </c>
      <c r="C1269">
        <f t="shared" si="23"/>
        <v>2553121.0415842114</v>
      </c>
    </row>
    <row r="1270" spans="1:3" x14ac:dyDescent="0.3">
      <c r="A1270" s="1">
        <v>44734</v>
      </c>
      <c r="B1270">
        <v>5697238.7384996898</v>
      </c>
      <c r="C1270">
        <f t="shared" si="23"/>
        <v>6278357.0898266584</v>
      </c>
    </row>
    <row r="1271" spans="1:3" x14ac:dyDescent="0.3">
      <c r="A1271" s="1">
        <v>44735</v>
      </c>
      <c r="B1271">
        <v>3349705.4229510198</v>
      </c>
      <c r="C1271">
        <f t="shared" si="23"/>
        <v>3691375.3760920241</v>
      </c>
    </row>
    <row r="1272" spans="1:3" x14ac:dyDescent="0.3">
      <c r="A1272" s="1">
        <v>44736</v>
      </c>
      <c r="B1272">
        <v>4981004.08864839</v>
      </c>
      <c r="C1272">
        <f t="shared" si="23"/>
        <v>5489066.5056905262</v>
      </c>
    </row>
    <row r="1273" spans="1:3" x14ac:dyDescent="0.3">
      <c r="A1273" s="1">
        <v>44737</v>
      </c>
      <c r="B1273">
        <v>4596153.8492268799</v>
      </c>
      <c r="C1273">
        <f t="shared" si="23"/>
        <v>5064961.5418480225</v>
      </c>
    </row>
    <row r="1274" spans="1:3" x14ac:dyDescent="0.3">
      <c r="A1274" s="1">
        <v>44738</v>
      </c>
      <c r="B1274">
        <v>4639497.3835212896</v>
      </c>
      <c r="C1274">
        <f t="shared" si="23"/>
        <v>5112726.1166404616</v>
      </c>
    </row>
    <row r="1275" spans="1:3" x14ac:dyDescent="0.3">
      <c r="A1275" s="1">
        <v>44739</v>
      </c>
      <c r="B1275">
        <v>3661424.3795973002</v>
      </c>
      <c r="C1275">
        <f t="shared" si="23"/>
        <v>4034889.6663162252</v>
      </c>
    </row>
    <row r="1276" spans="1:3" x14ac:dyDescent="0.3">
      <c r="A1276" s="1">
        <v>44740</v>
      </c>
      <c r="B1276">
        <v>3255695.0836404501</v>
      </c>
      <c r="C1276">
        <f t="shared" si="23"/>
        <v>3587775.9821717762</v>
      </c>
    </row>
    <row r="1277" spans="1:3" x14ac:dyDescent="0.3">
      <c r="A1277" s="1">
        <v>44741</v>
      </c>
      <c r="B1277">
        <v>3600658.61266784</v>
      </c>
      <c r="C1277">
        <f t="shared" si="23"/>
        <v>3967925.79115996</v>
      </c>
    </row>
    <row r="1278" spans="1:3" x14ac:dyDescent="0.3">
      <c r="A1278" s="1">
        <v>44742</v>
      </c>
      <c r="B1278">
        <v>4600298.2547324896</v>
      </c>
      <c r="C1278">
        <f t="shared" si="23"/>
        <v>5069528.6767152036</v>
      </c>
    </row>
    <row r="1279" spans="1:3" x14ac:dyDescent="0.3">
      <c r="A1279" s="1">
        <v>44743</v>
      </c>
      <c r="B1279">
        <v>3563552.5977495001</v>
      </c>
      <c r="C1279">
        <f t="shared" si="23"/>
        <v>3927034.9627199494</v>
      </c>
    </row>
    <row r="1280" spans="1:3" x14ac:dyDescent="0.3">
      <c r="A1280" s="1">
        <v>44744</v>
      </c>
      <c r="B1280">
        <v>4819422.4197223298</v>
      </c>
      <c r="C1280">
        <f t="shared" si="23"/>
        <v>5311003.5065340083</v>
      </c>
    </row>
    <row r="1281" spans="1:3" x14ac:dyDescent="0.3">
      <c r="A1281" s="1">
        <v>44745</v>
      </c>
      <c r="B1281">
        <v>5236158.4848478604</v>
      </c>
      <c r="C1281">
        <f t="shared" si="23"/>
        <v>5770246.6503023431</v>
      </c>
    </row>
    <row r="1282" spans="1:3" x14ac:dyDescent="0.3">
      <c r="A1282" s="1">
        <v>44746</v>
      </c>
      <c r="B1282">
        <v>4046880.3903679801</v>
      </c>
      <c r="C1282">
        <f t="shared" si="23"/>
        <v>4459662.1901855143</v>
      </c>
    </row>
    <row r="1283" spans="1:3" x14ac:dyDescent="0.3">
      <c r="A1283" s="1">
        <v>44747</v>
      </c>
      <c r="B1283">
        <v>3909834.1513733999</v>
      </c>
      <c r="C1283">
        <f t="shared" ref="C1283:C1346" si="24">B1283*1.102</f>
        <v>4308637.2348134872</v>
      </c>
    </row>
    <row r="1284" spans="1:3" x14ac:dyDescent="0.3">
      <c r="A1284" s="1">
        <v>44748</v>
      </c>
      <c r="B1284">
        <v>3375706.1110347998</v>
      </c>
      <c r="C1284">
        <f t="shared" si="24"/>
        <v>3720028.1343603497</v>
      </c>
    </row>
    <row r="1285" spans="1:3" x14ac:dyDescent="0.3">
      <c r="A1285" s="1">
        <v>44749</v>
      </c>
      <c r="B1285">
        <v>3816782.1286838399</v>
      </c>
      <c r="C1285">
        <f t="shared" si="24"/>
        <v>4206093.9058095915</v>
      </c>
    </row>
    <row r="1286" spans="1:3" x14ac:dyDescent="0.3">
      <c r="A1286" s="1">
        <v>44750</v>
      </c>
      <c r="B1286">
        <v>5433414.2722312296</v>
      </c>
      <c r="C1286">
        <f t="shared" si="24"/>
        <v>5987622.5279988153</v>
      </c>
    </row>
    <row r="1287" spans="1:3" x14ac:dyDescent="0.3">
      <c r="A1287" s="1">
        <v>44751</v>
      </c>
      <c r="B1287">
        <v>3883151.5177958701</v>
      </c>
      <c r="C1287">
        <f t="shared" si="24"/>
        <v>4279232.9726110492</v>
      </c>
    </row>
    <row r="1288" spans="1:3" x14ac:dyDescent="0.3">
      <c r="A1288" s="1">
        <v>44752</v>
      </c>
      <c r="B1288">
        <v>3743175.6709458502</v>
      </c>
      <c r="C1288">
        <f t="shared" si="24"/>
        <v>4124979.5893823272</v>
      </c>
    </row>
    <row r="1289" spans="1:3" x14ac:dyDescent="0.3">
      <c r="A1289" s="1">
        <v>44753</v>
      </c>
      <c r="B1289">
        <v>4027269.2732336102</v>
      </c>
      <c r="C1289">
        <f t="shared" si="24"/>
        <v>4438050.7391034393</v>
      </c>
    </row>
    <row r="1290" spans="1:3" x14ac:dyDescent="0.3">
      <c r="A1290" s="1">
        <v>44754</v>
      </c>
      <c r="B1290">
        <v>3535675.6203662199</v>
      </c>
      <c r="C1290">
        <f t="shared" si="24"/>
        <v>3896314.5336435745</v>
      </c>
    </row>
    <row r="1291" spans="1:3" x14ac:dyDescent="0.3">
      <c r="A1291" s="1">
        <v>44755</v>
      </c>
      <c r="B1291">
        <v>3799946.1738425302</v>
      </c>
      <c r="C1291">
        <f t="shared" si="24"/>
        <v>4187540.6835744688</v>
      </c>
    </row>
    <row r="1292" spans="1:3" x14ac:dyDescent="0.3">
      <c r="A1292" s="1">
        <v>44756</v>
      </c>
      <c r="B1292">
        <v>4353223.8526573796</v>
      </c>
      <c r="C1292">
        <f t="shared" si="24"/>
        <v>4797252.6856284328</v>
      </c>
    </row>
    <row r="1293" spans="1:3" x14ac:dyDescent="0.3">
      <c r="A1293" s="1">
        <v>44757</v>
      </c>
      <c r="B1293">
        <v>5707130.7371714199</v>
      </c>
      <c r="C1293">
        <f t="shared" si="24"/>
        <v>6289258.0723629054</v>
      </c>
    </row>
    <row r="1294" spans="1:3" x14ac:dyDescent="0.3">
      <c r="A1294" s="1">
        <v>44758</v>
      </c>
      <c r="B1294">
        <v>3922769.9911592398</v>
      </c>
      <c r="C1294">
        <f t="shared" si="24"/>
        <v>4322892.530257483</v>
      </c>
    </row>
    <row r="1295" spans="1:3" x14ac:dyDescent="0.3">
      <c r="A1295" s="1">
        <v>44759</v>
      </c>
      <c r="B1295">
        <v>4100329.9571332699</v>
      </c>
      <c r="C1295">
        <f t="shared" si="24"/>
        <v>4518563.6127608642</v>
      </c>
    </row>
    <row r="1296" spans="1:3" x14ac:dyDescent="0.3">
      <c r="A1296" s="1">
        <v>44760</v>
      </c>
      <c r="B1296">
        <v>4893759.5324863102</v>
      </c>
      <c r="C1296">
        <f t="shared" si="24"/>
        <v>5392923.0047999145</v>
      </c>
    </row>
    <row r="1297" spans="1:3" x14ac:dyDescent="0.3">
      <c r="A1297" s="1">
        <v>44761</v>
      </c>
      <c r="B1297">
        <v>3901353.8846645602</v>
      </c>
      <c r="C1297">
        <f t="shared" si="24"/>
        <v>4299291.9809003454</v>
      </c>
    </row>
    <row r="1298" spans="1:3" x14ac:dyDescent="0.3">
      <c r="A1298" s="1">
        <v>44762</v>
      </c>
      <c r="B1298">
        <v>4107585.12629986</v>
      </c>
      <c r="C1298">
        <f t="shared" si="24"/>
        <v>4526558.8091824464</v>
      </c>
    </row>
    <row r="1299" spans="1:3" x14ac:dyDescent="0.3">
      <c r="A1299" s="1">
        <v>44763</v>
      </c>
      <c r="B1299">
        <v>4525914.9509188198</v>
      </c>
      <c r="C1299">
        <f t="shared" si="24"/>
        <v>4987558.27591254</v>
      </c>
    </row>
    <row r="1300" spans="1:3" x14ac:dyDescent="0.3">
      <c r="A1300" s="1">
        <v>44764</v>
      </c>
      <c r="B1300">
        <v>3865829.1137282299</v>
      </c>
      <c r="C1300">
        <f t="shared" si="24"/>
        <v>4260143.6833285093</v>
      </c>
    </row>
    <row r="1301" spans="1:3" x14ac:dyDescent="0.3">
      <c r="A1301" s="1">
        <v>44765</v>
      </c>
      <c r="B1301">
        <v>3993253.0866007898</v>
      </c>
      <c r="C1301">
        <f t="shared" si="24"/>
        <v>4400564.9014340704</v>
      </c>
    </row>
    <row r="1302" spans="1:3" x14ac:dyDescent="0.3">
      <c r="A1302" s="1">
        <v>44766</v>
      </c>
      <c r="B1302">
        <v>3433773.19528946</v>
      </c>
      <c r="C1302">
        <f t="shared" si="24"/>
        <v>3784018.0612089853</v>
      </c>
    </row>
    <row r="1303" spans="1:3" x14ac:dyDescent="0.3">
      <c r="A1303" s="1">
        <v>44767</v>
      </c>
      <c r="B1303">
        <v>4051760.8184860898</v>
      </c>
      <c r="C1303">
        <f t="shared" si="24"/>
        <v>4465040.4219716713</v>
      </c>
    </row>
    <row r="1304" spans="1:3" x14ac:dyDescent="0.3">
      <c r="A1304" s="1">
        <v>44768</v>
      </c>
      <c r="B1304">
        <v>3758962.3814950101</v>
      </c>
      <c r="C1304">
        <f t="shared" si="24"/>
        <v>4142376.5444075014</v>
      </c>
    </row>
    <row r="1305" spans="1:3" x14ac:dyDescent="0.3">
      <c r="A1305" s="1">
        <v>44769</v>
      </c>
      <c r="B1305">
        <v>3971469.5900257598</v>
      </c>
      <c r="C1305">
        <f t="shared" si="24"/>
        <v>4376559.488208388</v>
      </c>
    </row>
    <row r="1306" spans="1:3" x14ac:dyDescent="0.3">
      <c r="A1306" s="1">
        <v>44770</v>
      </c>
      <c r="B1306">
        <v>3780403.1342839599</v>
      </c>
      <c r="C1306">
        <f t="shared" si="24"/>
        <v>4166004.2539809239</v>
      </c>
    </row>
    <row r="1307" spans="1:3" x14ac:dyDescent="0.3">
      <c r="A1307" s="1">
        <v>44771</v>
      </c>
      <c r="B1307">
        <v>3978997.4334609499</v>
      </c>
      <c r="C1307">
        <f t="shared" si="24"/>
        <v>4384855.1716739675</v>
      </c>
    </row>
    <row r="1308" spans="1:3" x14ac:dyDescent="0.3">
      <c r="A1308" s="1">
        <v>44772</v>
      </c>
      <c r="B1308">
        <v>3676020.6311393301</v>
      </c>
      <c r="C1308">
        <f t="shared" si="24"/>
        <v>4050974.7355155423</v>
      </c>
    </row>
    <row r="1309" spans="1:3" x14ac:dyDescent="0.3">
      <c r="A1309" s="1">
        <v>44773</v>
      </c>
      <c r="B1309">
        <v>4940986.8194529898</v>
      </c>
      <c r="C1309">
        <f t="shared" si="24"/>
        <v>5444967.4750371957</v>
      </c>
    </row>
    <row r="1310" spans="1:3" x14ac:dyDescent="0.3">
      <c r="A1310" s="1">
        <v>44774</v>
      </c>
      <c r="B1310">
        <v>4457708.5437916899</v>
      </c>
      <c r="C1310">
        <f t="shared" si="24"/>
        <v>4912394.8152584424</v>
      </c>
    </row>
    <row r="1311" spans="1:3" x14ac:dyDescent="0.3">
      <c r="A1311" s="1">
        <v>44775</v>
      </c>
      <c r="B1311">
        <v>3650761.8409340899</v>
      </c>
      <c r="C1311">
        <f t="shared" si="24"/>
        <v>4023139.5487093674</v>
      </c>
    </row>
    <row r="1312" spans="1:3" x14ac:dyDescent="0.3">
      <c r="A1312" s="1">
        <v>44776</v>
      </c>
      <c r="B1312">
        <v>4179971.8599537401</v>
      </c>
      <c r="C1312">
        <f t="shared" si="24"/>
        <v>4606328.9896690222</v>
      </c>
    </row>
    <row r="1313" spans="1:3" x14ac:dyDescent="0.3">
      <c r="A1313" s="1">
        <v>44777</v>
      </c>
      <c r="B1313">
        <v>4165165.9198697899</v>
      </c>
      <c r="C1313">
        <f t="shared" si="24"/>
        <v>4590012.8436965086</v>
      </c>
    </row>
    <row r="1314" spans="1:3" x14ac:dyDescent="0.3">
      <c r="A1314" s="1">
        <v>44778</v>
      </c>
      <c r="B1314">
        <v>4932168.7859270005</v>
      </c>
      <c r="C1314">
        <f t="shared" si="24"/>
        <v>5435250.0020915549</v>
      </c>
    </row>
    <row r="1315" spans="1:3" x14ac:dyDescent="0.3">
      <c r="A1315" s="1">
        <v>44779</v>
      </c>
      <c r="B1315">
        <v>4481070.0725754602</v>
      </c>
      <c r="C1315">
        <f t="shared" si="24"/>
        <v>4938139.2199781574</v>
      </c>
    </row>
    <row r="1316" spans="1:3" x14ac:dyDescent="0.3">
      <c r="A1316" s="1">
        <v>44780</v>
      </c>
      <c r="B1316">
        <v>3017884.32675872</v>
      </c>
      <c r="C1316">
        <f t="shared" si="24"/>
        <v>3325708.5280881096</v>
      </c>
    </row>
    <row r="1317" spans="1:3" x14ac:dyDescent="0.3">
      <c r="A1317" s="1">
        <v>44781</v>
      </c>
      <c r="B1317">
        <v>4853385.69166758</v>
      </c>
      <c r="C1317">
        <f t="shared" si="24"/>
        <v>5348431.032217674</v>
      </c>
    </row>
    <row r="1318" spans="1:3" x14ac:dyDescent="0.3">
      <c r="A1318" s="1">
        <v>44782</v>
      </c>
      <c r="B1318">
        <v>3205430.8410530798</v>
      </c>
      <c r="C1318">
        <f t="shared" si="24"/>
        <v>3532384.7868404943</v>
      </c>
    </row>
    <row r="1319" spans="1:3" x14ac:dyDescent="0.3">
      <c r="A1319" s="1">
        <v>44783</v>
      </c>
      <c r="B1319">
        <v>5109169.0254090503</v>
      </c>
      <c r="C1319">
        <f t="shared" si="24"/>
        <v>5630304.2660007738</v>
      </c>
    </row>
    <row r="1320" spans="1:3" x14ac:dyDescent="0.3">
      <c r="A1320" s="1">
        <v>44784</v>
      </c>
      <c r="B1320">
        <v>3951748.9109472302</v>
      </c>
      <c r="C1320">
        <f t="shared" si="24"/>
        <v>4354827.2998638479</v>
      </c>
    </row>
    <row r="1321" spans="1:3" x14ac:dyDescent="0.3">
      <c r="A1321" s="1">
        <v>44785</v>
      </c>
      <c r="B1321">
        <v>4094766.1785383299</v>
      </c>
      <c r="C1321">
        <f t="shared" si="24"/>
        <v>4512432.3287492404</v>
      </c>
    </row>
    <row r="1322" spans="1:3" x14ac:dyDescent="0.3">
      <c r="A1322" s="1">
        <v>44786</v>
      </c>
      <c r="B1322">
        <v>3680789.0894516301</v>
      </c>
      <c r="C1322">
        <f t="shared" si="24"/>
        <v>4056229.5765756969</v>
      </c>
    </row>
    <row r="1323" spans="1:3" x14ac:dyDescent="0.3">
      <c r="A1323" s="1">
        <v>44787</v>
      </c>
      <c r="B1323">
        <v>4617664.5056648003</v>
      </c>
      <c r="C1323">
        <f t="shared" si="24"/>
        <v>5088666.2852426106</v>
      </c>
    </row>
    <row r="1324" spans="1:3" x14ac:dyDescent="0.3">
      <c r="A1324" s="1">
        <v>44788</v>
      </c>
      <c r="B1324">
        <v>3877187.0345899002</v>
      </c>
      <c r="C1324">
        <f t="shared" si="24"/>
        <v>4272660.11211807</v>
      </c>
    </row>
    <row r="1325" spans="1:3" x14ac:dyDescent="0.3">
      <c r="A1325" s="1">
        <v>44789</v>
      </c>
      <c r="B1325">
        <v>4096114.7890812601</v>
      </c>
      <c r="C1325">
        <f t="shared" si="24"/>
        <v>4513918.4975675493</v>
      </c>
    </row>
    <row r="1326" spans="1:3" x14ac:dyDescent="0.3">
      <c r="A1326" s="1">
        <v>44790</v>
      </c>
      <c r="B1326">
        <v>5987440.9304521503</v>
      </c>
      <c r="C1326">
        <f t="shared" si="24"/>
        <v>6598159.9053582698</v>
      </c>
    </row>
    <row r="1327" spans="1:3" x14ac:dyDescent="0.3">
      <c r="A1327" s="1">
        <v>44791</v>
      </c>
      <c r="B1327">
        <v>3943185.74629759</v>
      </c>
      <c r="C1327">
        <f t="shared" si="24"/>
        <v>4345390.6924199443</v>
      </c>
    </row>
    <row r="1328" spans="1:3" x14ac:dyDescent="0.3">
      <c r="A1328" s="1">
        <v>44792</v>
      </c>
      <c r="B1328">
        <v>4056809.2987179002</v>
      </c>
      <c r="C1328">
        <f t="shared" si="24"/>
        <v>4470603.8471871261</v>
      </c>
    </row>
    <row r="1329" spans="1:3" x14ac:dyDescent="0.3">
      <c r="A1329" s="1">
        <v>44793</v>
      </c>
      <c r="B1329">
        <v>3669676.4510024199</v>
      </c>
      <c r="C1329">
        <f t="shared" si="24"/>
        <v>4043983.4490046669</v>
      </c>
    </row>
    <row r="1330" spans="1:3" x14ac:dyDescent="0.3">
      <c r="A1330" s="1">
        <v>44794</v>
      </c>
      <c r="B1330">
        <v>4039431.3886464001</v>
      </c>
      <c r="C1330">
        <f t="shared" si="24"/>
        <v>4451453.3902883334</v>
      </c>
    </row>
    <row r="1331" spans="1:3" x14ac:dyDescent="0.3">
      <c r="A1331" s="1">
        <v>44795</v>
      </c>
      <c r="B1331">
        <v>4043900.6356628099</v>
      </c>
      <c r="C1331">
        <f t="shared" si="24"/>
        <v>4456378.5005004173</v>
      </c>
    </row>
    <row r="1332" spans="1:3" x14ac:dyDescent="0.3">
      <c r="A1332" s="1">
        <v>44796</v>
      </c>
      <c r="B1332">
        <v>3357478.7552036699</v>
      </c>
      <c r="C1332">
        <f t="shared" si="24"/>
        <v>3699941.5882344446</v>
      </c>
    </row>
    <row r="1333" spans="1:3" x14ac:dyDescent="0.3">
      <c r="A1333" s="1">
        <v>44797</v>
      </c>
      <c r="B1333">
        <v>4791265.4971841099</v>
      </c>
      <c r="C1333">
        <f t="shared" si="24"/>
        <v>5279974.5778968893</v>
      </c>
    </row>
    <row r="1334" spans="1:3" x14ac:dyDescent="0.3">
      <c r="A1334" s="1">
        <v>44798</v>
      </c>
      <c r="B1334">
        <v>3651028.5465047602</v>
      </c>
      <c r="C1334">
        <f t="shared" si="24"/>
        <v>4023433.458248246</v>
      </c>
    </row>
    <row r="1335" spans="1:3" x14ac:dyDescent="0.3">
      <c r="A1335" s="1">
        <v>44799</v>
      </c>
      <c r="B1335">
        <v>5347016.9482618701</v>
      </c>
      <c r="C1335">
        <f t="shared" si="24"/>
        <v>5892412.6769845812</v>
      </c>
    </row>
    <row r="1336" spans="1:3" x14ac:dyDescent="0.3">
      <c r="A1336" s="1">
        <v>44800</v>
      </c>
      <c r="B1336">
        <v>4706199.0623071203</v>
      </c>
      <c r="C1336">
        <f t="shared" si="24"/>
        <v>5186231.3666624473</v>
      </c>
    </row>
    <row r="1337" spans="1:3" x14ac:dyDescent="0.3">
      <c r="A1337" s="1">
        <v>44801</v>
      </c>
      <c r="B1337">
        <v>4964909.6775440201</v>
      </c>
      <c r="C1337">
        <f t="shared" si="24"/>
        <v>5471330.4646535106</v>
      </c>
    </row>
    <row r="1338" spans="1:3" x14ac:dyDescent="0.3">
      <c r="A1338" s="1">
        <v>44802</v>
      </c>
      <c r="B1338">
        <v>4666546.5681298599</v>
      </c>
      <c r="C1338">
        <f t="shared" si="24"/>
        <v>5142534.3180791056</v>
      </c>
    </row>
    <row r="1339" spans="1:3" x14ac:dyDescent="0.3">
      <c r="A1339" s="1">
        <v>44803</v>
      </c>
      <c r="B1339">
        <v>3683089.0364398798</v>
      </c>
      <c r="C1339">
        <f t="shared" si="24"/>
        <v>4058764.1181567479</v>
      </c>
    </row>
    <row r="1340" spans="1:3" x14ac:dyDescent="0.3">
      <c r="A1340" s="1">
        <v>44804</v>
      </c>
      <c r="B1340">
        <v>6087641.4575655004</v>
      </c>
      <c r="C1340">
        <f t="shared" si="24"/>
        <v>6708580.8862371817</v>
      </c>
    </row>
    <row r="1341" spans="1:3" x14ac:dyDescent="0.3">
      <c r="A1341" s="1">
        <v>44805</v>
      </c>
      <c r="B1341">
        <v>4277737.7919813497</v>
      </c>
      <c r="C1341">
        <f t="shared" si="24"/>
        <v>4714067.046763448</v>
      </c>
    </row>
    <row r="1342" spans="1:3" x14ac:dyDescent="0.3">
      <c r="A1342" s="1">
        <v>44806</v>
      </c>
      <c r="B1342">
        <v>4413804.2827336797</v>
      </c>
      <c r="C1342">
        <f t="shared" si="24"/>
        <v>4864012.3195725158</v>
      </c>
    </row>
    <row r="1343" spans="1:3" x14ac:dyDescent="0.3">
      <c r="A1343" s="1">
        <v>44807</v>
      </c>
      <c r="B1343">
        <v>5003165.8927458003</v>
      </c>
      <c r="C1343">
        <f t="shared" si="24"/>
        <v>5513488.8138058726</v>
      </c>
    </row>
    <row r="1344" spans="1:3" x14ac:dyDescent="0.3">
      <c r="A1344" s="1">
        <v>44808</v>
      </c>
      <c r="B1344">
        <v>5725369.5099654598</v>
      </c>
      <c r="C1344">
        <f t="shared" si="24"/>
        <v>6309357.1999819372</v>
      </c>
    </row>
    <row r="1345" spans="1:3" x14ac:dyDescent="0.3">
      <c r="A1345" s="1">
        <v>44809</v>
      </c>
      <c r="B1345">
        <v>5273117.8910935996</v>
      </c>
      <c r="C1345">
        <f t="shared" si="24"/>
        <v>5810975.9159851475</v>
      </c>
    </row>
    <row r="1346" spans="1:3" x14ac:dyDescent="0.3">
      <c r="A1346" s="1">
        <v>44810</v>
      </c>
      <c r="B1346">
        <v>3612478.4062127001</v>
      </c>
      <c r="C1346">
        <f t="shared" si="24"/>
        <v>3980951.2036463958</v>
      </c>
    </row>
    <row r="1347" spans="1:3" x14ac:dyDescent="0.3">
      <c r="A1347" s="1">
        <v>44811</v>
      </c>
      <c r="B1347">
        <v>3775479.5556202</v>
      </c>
      <c r="C1347">
        <f t="shared" ref="C1347:C1410" si="25">B1347*1.102</f>
        <v>4160578.4702934609</v>
      </c>
    </row>
    <row r="1348" spans="1:3" x14ac:dyDescent="0.3">
      <c r="A1348" s="1">
        <v>44812</v>
      </c>
      <c r="B1348">
        <v>5152043.0131632499</v>
      </c>
      <c r="C1348">
        <f t="shared" si="25"/>
        <v>5677551.4005059022</v>
      </c>
    </row>
    <row r="1349" spans="1:3" x14ac:dyDescent="0.3">
      <c r="A1349" s="1">
        <v>44813</v>
      </c>
      <c r="B1349">
        <v>3979020.9272162402</v>
      </c>
      <c r="C1349">
        <f t="shared" si="25"/>
        <v>4384881.0617922973</v>
      </c>
    </row>
    <row r="1350" spans="1:3" x14ac:dyDescent="0.3">
      <c r="A1350" s="1">
        <v>44814</v>
      </c>
      <c r="B1350">
        <v>4006932.7201698599</v>
      </c>
      <c r="C1350">
        <f t="shared" si="25"/>
        <v>4415639.857627186</v>
      </c>
    </row>
    <row r="1351" spans="1:3" x14ac:dyDescent="0.3">
      <c r="A1351" s="1">
        <v>44815</v>
      </c>
      <c r="B1351">
        <v>3828148.8769875201</v>
      </c>
      <c r="C1351">
        <f t="shared" si="25"/>
        <v>4218620.0624402473</v>
      </c>
    </row>
    <row r="1352" spans="1:3" x14ac:dyDescent="0.3">
      <c r="A1352" s="1">
        <v>44816</v>
      </c>
      <c r="B1352">
        <v>4936120.6623389702</v>
      </c>
      <c r="C1352">
        <f t="shared" si="25"/>
        <v>5439604.9698975459</v>
      </c>
    </row>
    <row r="1353" spans="1:3" x14ac:dyDescent="0.3">
      <c r="A1353" s="1">
        <v>44817</v>
      </c>
      <c r="B1353">
        <v>3785256.3900850001</v>
      </c>
      <c r="C1353">
        <f t="shared" si="25"/>
        <v>4171352.5418736706</v>
      </c>
    </row>
    <row r="1354" spans="1:3" x14ac:dyDescent="0.3">
      <c r="A1354" s="1">
        <v>44818</v>
      </c>
      <c r="B1354">
        <v>4221247.8295117803</v>
      </c>
      <c r="C1354">
        <f t="shared" si="25"/>
        <v>4651815.1081219818</v>
      </c>
    </row>
    <row r="1355" spans="1:3" x14ac:dyDescent="0.3">
      <c r="A1355" s="1">
        <v>44819</v>
      </c>
      <c r="B1355">
        <v>5053740.0235251496</v>
      </c>
      <c r="C1355">
        <f t="shared" si="25"/>
        <v>5569221.5059247157</v>
      </c>
    </row>
    <row r="1356" spans="1:3" x14ac:dyDescent="0.3">
      <c r="A1356" s="1">
        <v>44820</v>
      </c>
      <c r="B1356">
        <v>3259863.4199301698</v>
      </c>
      <c r="C1356">
        <f t="shared" si="25"/>
        <v>3592369.4887630474</v>
      </c>
    </row>
    <row r="1357" spans="1:3" x14ac:dyDescent="0.3">
      <c r="A1357" s="1">
        <v>44821</v>
      </c>
      <c r="B1357">
        <v>3128393.2944129701</v>
      </c>
      <c r="C1357">
        <f t="shared" si="25"/>
        <v>3447489.4104430932</v>
      </c>
    </row>
    <row r="1358" spans="1:3" x14ac:dyDescent="0.3">
      <c r="A1358" s="1">
        <v>44822</v>
      </c>
      <c r="B1358">
        <v>3708851.62129938</v>
      </c>
      <c r="C1358">
        <f t="shared" si="25"/>
        <v>4087154.4866719171</v>
      </c>
    </row>
    <row r="1359" spans="1:3" x14ac:dyDescent="0.3">
      <c r="A1359" s="1">
        <v>44823</v>
      </c>
      <c r="B1359">
        <v>3251276.7957011401</v>
      </c>
      <c r="C1359">
        <f t="shared" si="25"/>
        <v>3582907.0288626566</v>
      </c>
    </row>
    <row r="1360" spans="1:3" x14ac:dyDescent="0.3">
      <c r="A1360" s="1">
        <v>44824</v>
      </c>
      <c r="B1360">
        <v>4715184.3851144398</v>
      </c>
      <c r="C1360">
        <f t="shared" si="25"/>
        <v>5196133.1923961127</v>
      </c>
    </row>
    <row r="1361" spans="1:3" x14ac:dyDescent="0.3">
      <c r="A1361" s="1">
        <v>44825</v>
      </c>
      <c r="B1361">
        <v>4706865.7198158801</v>
      </c>
      <c r="C1361">
        <f t="shared" si="25"/>
        <v>5186966.0232370999</v>
      </c>
    </row>
    <row r="1362" spans="1:3" x14ac:dyDescent="0.3">
      <c r="A1362" s="1">
        <v>44826</v>
      </c>
      <c r="B1362">
        <v>3935449.76015343</v>
      </c>
      <c r="C1362">
        <f t="shared" si="25"/>
        <v>4336865.6356890807</v>
      </c>
    </row>
    <row r="1363" spans="1:3" x14ac:dyDescent="0.3">
      <c r="A1363" s="1">
        <v>44827</v>
      </c>
      <c r="B1363">
        <v>4016773.58063439</v>
      </c>
      <c r="C1363">
        <f t="shared" si="25"/>
        <v>4426484.4858590979</v>
      </c>
    </row>
    <row r="1364" spans="1:3" x14ac:dyDescent="0.3">
      <c r="A1364" s="1">
        <v>44828</v>
      </c>
      <c r="B1364">
        <v>4567806.9611885203</v>
      </c>
      <c r="C1364">
        <f t="shared" si="25"/>
        <v>5033723.2712297495</v>
      </c>
    </row>
    <row r="1365" spans="1:3" x14ac:dyDescent="0.3">
      <c r="A1365" s="1">
        <v>44829</v>
      </c>
      <c r="B1365">
        <v>5035127.0538304299</v>
      </c>
      <c r="C1365">
        <f t="shared" si="25"/>
        <v>5548710.0133211343</v>
      </c>
    </row>
    <row r="1366" spans="1:3" x14ac:dyDescent="0.3">
      <c r="A1366" s="1">
        <v>44830</v>
      </c>
      <c r="B1366">
        <v>3137745.2932494599</v>
      </c>
      <c r="C1366">
        <f t="shared" si="25"/>
        <v>3457795.3131609051</v>
      </c>
    </row>
    <row r="1367" spans="1:3" x14ac:dyDescent="0.3">
      <c r="A1367" s="1">
        <v>44831</v>
      </c>
      <c r="B1367">
        <v>3394543.0333772399</v>
      </c>
      <c r="C1367">
        <f t="shared" si="25"/>
        <v>3740786.4227817189</v>
      </c>
    </row>
    <row r="1368" spans="1:3" x14ac:dyDescent="0.3">
      <c r="A1368" s="1">
        <v>44832</v>
      </c>
      <c r="B1368">
        <v>3623334.94213311</v>
      </c>
      <c r="C1368">
        <f t="shared" si="25"/>
        <v>3992915.1062306874</v>
      </c>
    </row>
    <row r="1369" spans="1:3" x14ac:dyDescent="0.3">
      <c r="A1369" s="1">
        <v>44833</v>
      </c>
      <c r="B1369">
        <v>3634016.7571681999</v>
      </c>
      <c r="C1369">
        <f t="shared" si="25"/>
        <v>4004686.4663993567</v>
      </c>
    </row>
    <row r="1370" spans="1:3" x14ac:dyDescent="0.3">
      <c r="A1370" s="1">
        <v>44834</v>
      </c>
      <c r="B1370">
        <v>4262401.5495171295</v>
      </c>
      <c r="C1370">
        <f t="shared" si="25"/>
        <v>4697166.5075678769</v>
      </c>
    </row>
    <row r="1371" spans="1:3" x14ac:dyDescent="0.3">
      <c r="A1371" s="1">
        <v>44835</v>
      </c>
      <c r="B1371">
        <v>4699271.83920654</v>
      </c>
      <c r="C1371">
        <f t="shared" si="25"/>
        <v>5178597.5668056076</v>
      </c>
    </row>
    <row r="1372" spans="1:3" x14ac:dyDescent="0.3">
      <c r="A1372" s="1">
        <v>44836</v>
      </c>
      <c r="B1372">
        <v>4471277.2169022001</v>
      </c>
      <c r="C1372">
        <f t="shared" si="25"/>
        <v>4927347.4930262249</v>
      </c>
    </row>
    <row r="1373" spans="1:3" x14ac:dyDescent="0.3">
      <c r="A1373" s="1">
        <v>44837</v>
      </c>
      <c r="B1373">
        <v>4988231.94204346</v>
      </c>
      <c r="C1373">
        <f t="shared" si="25"/>
        <v>5497031.6001318935</v>
      </c>
    </row>
    <row r="1374" spans="1:3" x14ac:dyDescent="0.3">
      <c r="A1374" s="1">
        <v>44838</v>
      </c>
      <c r="B1374">
        <v>4687082.4423186798</v>
      </c>
      <c r="C1374">
        <f t="shared" si="25"/>
        <v>5165164.8514351854</v>
      </c>
    </row>
    <row r="1375" spans="1:3" x14ac:dyDescent="0.3">
      <c r="A1375" s="1">
        <v>44839</v>
      </c>
      <c r="B1375">
        <v>4959523.5080305804</v>
      </c>
      <c r="C1375">
        <f t="shared" si="25"/>
        <v>5465394.9058496999</v>
      </c>
    </row>
    <row r="1376" spans="1:3" x14ac:dyDescent="0.3">
      <c r="A1376" s="1">
        <v>44840</v>
      </c>
      <c r="B1376">
        <v>2911586.0205376698</v>
      </c>
      <c r="C1376">
        <f t="shared" si="25"/>
        <v>3208567.7946325121</v>
      </c>
    </row>
    <row r="1377" spans="1:3" x14ac:dyDescent="0.3">
      <c r="A1377" s="1">
        <v>44841</v>
      </c>
      <c r="B1377">
        <v>4515968.8884780696</v>
      </c>
      <c r="C1377">
        <f t="shared" si="25"/>
        <v>4976597.7151028328</v>
      </c>
    </row>
    <row r="1378" spans="1:3" x14ac:dyDescent="0.3">
      <c r="A1378" s="1">
        <v>44842</v>
      </c>
      <c r="B1378">
        <v>3647461.0195007101</v>
      </c>
      <c r="C1378">
        <f t="shared" si="25"/>
        <v>4019502.0434897826</v>
      </c>
    </row>
    <row r="1379" spans="1:3" x14ac:dyDescent="0.3">
      <c r="A1379" s="1">
        <v>44843</v>
      </c>
      <c r="B1379">
        <v>3525864.2557757599</v>
      </c>
      <c r="C1379">
        <f t="shared" si="25"/>
        <v>3885502.4098648876</v>
      </c>
    </row>
    <row r="1380" spans="1:3" x14ac:dyDescent="0.3">
      <c r="A1380" s="1">
        <v>44844</v>
      </c>
      <c r="B1380">
        <v>4042631.29967666</v>
      </c>
      <c r="C1380">
        <f t="shared" si="25"/>
        <v>4454979.6922436794</v>
      </c>
    </row>
    <row r="1381" spans="1:3" x14ac:dyDescent="0.3">
      <c r="A1381" s="1">
        <v>44845</v>
      </c>
      <c r="B1381">
        <v>3073071.5365921101</v>
      </c>
      <c r="C1381">
        <f t="shared" si="25"/>
        <v>3386524.8333245055</v>
      </c>
    </row>
    <row r="1382" spans="1:3" x14ac:dyDescent="0.3">
      <c r="A1382" s="1">
        <v>44846</v>
      </c>
      <c r="B1382">
        <v>4784552.5592604103</v>
      </c>
      <c r="C1382">
        <f t="shared" si="25"/>
        <v>5272576.9203049727</v>
      </c>
    </row>
    <row r="1383" spans="1:3" x14ac:dyDescent="0.3">
      <c r="A1383" s="1">
        <v>44847</v>
      </c>
      <c r="B1383">
        <v>4070309.4402377</v>
      </c>
      <c r="C1383">
        <f t="shared" si="25"/>
        <v>4485481.0031419462</v>
      </c>
    </row>
    <row r="1384" spans="1:3" x14ac:dyDescent="0.3">
      <c r="A1384" s="1">
        <v>44848</v>
      </c>
      <c r="B1384">
        <v>3207731.3066771301</v>
      </c>
      <c r="C1384">
        <f t="shared" si="25"/>
        <v>3534919.8999581975</v>
      </c>
    </row>
    <row r="1385" spans="1:3" x14ac:dyDescent="0.3">
      <c r="A1385" s="1">
        <v>44849</v>
      </c>
      <c r="B1385">
        <v>4668716.8681457601</v>
      </c>
      <c r="C1385">
        <f t="shared" si="25"/>
        <v>5144925.9886966283</v>
      </c>
    </row>
    <row r="1386" spans="1:3" x14ac:dyDescent="0.3">
      <c r="A1386" s="1">
        <v>44850</v>
      </c>
      <c r="B1386">
        <v>4548246.3383707898</v>
      </c>
      <c r="C1386">
        <f t="shared" si="25"/>
        <v>5012167.4648846108</v>
      </c>
    </row>
    <row r="1387" spans="1:3" x14ac:dyDescent="0.3">
      <c r="A1387" s="1">
        <v>44851</v>
      </c>
      <c r="B1387">
        <v>5581464.52459771</v>
      </c>
      <c r="C1387">
        <f t="shared" si="25"/>
        <v>6150773.9061066769</v>
      </c>
    </row>
    <row r="1388" spans="1:3" x14ac:dyDescent="0.3">
      <c r="A1388" s="1">
        <v>44852</v>
      </c>
      <c r="B1388">
        <v>2986019.8439816101</v>
      </c>
      <c r="C1388">
        <f t="shared" si="25"/>
        <v>3290593.8680677349</v>
      </c>
    </row>
    <row r="1389" spans="1:3" x14ac:dyDescent="0.3">
      <c r="A1389" s="1">
        <v>44853</v>
      </c>
      <c r="B1389">
        <v>5042462.8240496097</v>
      </c>
      <c r="C1389">
        <f t="shared" si="25"/>
        <v>5556794.0321026705</v>
      </c>
    </row>
    <row r="1390" spans="1:3" x14ac:dyDescent="0.3">
      <c r="A1390" s="1">
        <v>44854</v>
      </c>
      <c r="B1390">
        <v>3194840.2865982498</v>
      </c>
      <c r="C1390">
        <f t="shared" si="25"/>
        <v>3520713.9958312716</v>
      </c>
    </row>
    <row r="1391" spans="1:3" x14ac:dyDescent="0.3">
      <c r="A1391" s="1">
        <v>44855</v>
      </c>
      <c r="B1391">
        <v>3587523.1605949099</v>
      </c>
      <c r="C1391">
        <f t="shared" si="25"/>
        <v>3953450.522975591</v>
      </c>
    </row>
    <row r="1392" spans="1:3" x14ac:dyDescent="0.3">
      <c r="A1392" s="1">
        <v>44856</v>
      </c>
      <c r="B1392">
        <v>4001367.5181085998</v>
      </c>
      <c r="C1392">
        <f t="shared" si="25"/>
        <v>4409507.0049556773</v>
      </c>
    </row>
    <row r="1393" spans="1:3" x14ac:dyDescent="0.3">
      <c r="A1393" s="1">
        <v>44857</v>
      </c>
      <c r="B1393">
        <v>2801013.5195359001</v>
      </c>
      <c r="C1393">
        <f t="shared" si="25"/>
        <v>3086716.8985285619</v>
      </c>
    </row>
    <row r="1394" spans="1:3" x14ac:dyDescent="0.3">
      <c r="A1394" s="1">
        <v>44858</v>
      </c>
      <c r="B1394">
        <v>5306096.8574032197</v>
      </c>
      <c r="C1394">
        <f t="shared" si="25"/>
        <v>5847318.7368583484</v>
      </c>
    </row>
    <row r="1395" spans="1:3" x14ac:dyDescent="0.3">
      <c r="A1395" s="1">
        <v>44859</v>
      </c>
      <c r="B1395">
        <v>4350718.2717541596</v>
      </c>
      <c r="C1395">
        <f t="shared" si="25"/>
        <v>4794491.5354730841</v>
      </c>
    </row>
    <row r="1396" spans="1:3" x14ac:dyDescent="0.3">
      <c r="A1396" s="1">
        <v>44860</v>
      </c>
      <c r="B1396">
        <v>4487901.5650508096</v>
      </c>
      <c r="C1396">
        <f t="shared" si="25"/>
        <v>4945667.5246859929</v>
      </c>
    </row>
    <row r="1397" spans="1:3" x14ac:dyDescent="0.3">
      <c r="A1397" s="1">
        <v>44861</v>
      </c>
      <c r="B1397">
        <v>4208542.6223007599</v>
      </c>
      <c r="C1397">
        <f t="shared" si="25"/>
        <v>4637813.9697754374</v>
      </c>
    </row>
    <row r="1398" spans="1:3" x14ac:dyDescent="0.3">
      <c r="A1398" s="1">
        <v>44862</v>
      </c>
      <c r="B1398">
        <v>4477158.3348718099</v>
      </c>
      <c r="C1398">
        <f t="shared" si="25"/>
        <v>4933828.4850287354</v>
      </c>
    </row>
    <row r="1399" spans="1:3" x14ac:dyDescent="0.3">
      <c r="A1399" s="1">
        <v>44863</v>
      </c>
      <c r="B1399">
        <v>3946610.9999828599</v>
      </c>
      <c r="C1399">
        <f t="shared" si="25"/>
        <v>4349165.3219811125</v>
      </c>
    </row>
    <row r="1400" spans="1:3" x14ac:dyDescent="0.3">
      <c r="A1400" s="1">
        <v>44864</v>
      </c>
      <c r="B1400">
        <v>4457115.2873647902</v>
      </c>
      <c r="C1400">
        <f t="shared" si="25"/>
        <v>4911741.0466759996</v>
      </c>
    </row>
    <row r="1401" spans="1:3" x14ac:dyDescent="0.3">
      <c r="A1401" s="1">
        <v>44865</v>
      </c>
      <c r="B1401">
        <v>3067038.9370467402</v>
      </c>
      <c r="C1401">
        <f t="shared" si="25"/>
        <v>3379876.9086255082</v>
      </c>
    </row>
    <row r="1402" spans="1:3" x14ac:dyDescent="0.3">
      <c r="A1402" s="1">
        <v>44866</v>
      </c>
      <c r="B1402">
        <v>4518660.2664166903</v>
      </c>
      <c r="C1402">
        <f t="shared" si="25"/>
        <v>4979563.6135911932</v>
      </c>
    </row>
    <row r="1403" spans="1:3" x14ac:dyDescent="0.3">
      <c r="A1403" s="1">
        <v>44867</v>
      </c>
      <c r="B1403">
        <v>5066697.3133798102</v>
      </c>
      <c r="C1403">
        <f t="shared" si="25"/>
        <v>5583500.4393445514</v>
      </c>
    </row>
    <row r="1404" spans="1:3" x14ac:dyDescent="0.3">
      <c r="A1404" s="1">
        <v>44868</v>
      </c>
      <c r="B1404">
        <v>4190778.76551709</v>
      </c>
      <c r="C1404">
        <f t="shared" si="25"/>
        <v>4618238.1995998332</v>
      </c>
    </row>
    <row r="1405" spans="1:3" x14ac:dyDescent="0.3">
      <c r="A1405" s="1">
        <v>44869</v>
      </c>
      <c r="B1405">
        <v>4001467.3576761</v>
      </c>
      <c r="C1405">
        <f t="shared" si="25"/>
        <v>4409617.0281590624</v>
      </c>
    </row>
    <row r="1406" spans="1:3" x14ac:dyDescent="0.3">
      <c r="A1406" s="1">
        <v>44870</v>
      </c>
      <c r="B1406">
        <v>3347619.2870621001</v>
      </c>
      <c r="C1406">
        <f t="shared" si="25"/>
        <v>3689076.4543424346</v>
      </c>
    </row>
    <row r="1407" spans="1:3" x14ac:dyDescent="0.3">
      <c r="A1407" s="1">
        <v>44871</v>
      </c>
      <c r="B1407">
        <v>3691909.2570895501</v>
      </c>
      <c r="C1407">
        <f t="shared" si="25"/>
        <v>4068484.0013126847</v>
      </c>
    </row>
    <row r="1408" spans="1:3" x14ac:dyDescent="0.3">
      <c r="A1408" s="1">
        <v>44872</v>
      </c>
      <c r="B1408">
        <v>3757217.6264587101</v>
      </c>
      <c r="C1408">
        <f t="shared" si="25"/>
        <v>4140453.8243574989</v>
      </c>
    </row>
    <row r="1409" spans="1:3" x14ac:dyDescent="0.3">
      <c r="A1409" s="1">
        <v>44873</v>
      </c>
      <c r="B1409">
        <v>3690448.2492521601</v>
      </c>
      <c r="C1409">
        <f t="shared" si="25"/>
        <v>4066873.9706758806</v>
      </c>
    </row>
    <row r="1410" spans="1:3" x14ac:dyDescent="0.3">
      <c r="A1410" s="1">
        <v>44874</v>
      </c>
      <c r="B1410">
        <v>4117075.4019167898</v>
      </c>
      <c r="C1410">
        <f t="shared" si="25"/>
        <v>4537017.0929123024</v>
      </c>
    </row>
    <row r="1411" spans="1:3" x14ac:dyDescent="0.3">
      <c r="A1411" s="1">
        <v>44875</v>
      </c>
      <c r="B1411">
        <v>4398576.1910765301</v>
      </c>
      <c r="C1411">
        <f t="shared" ref="C1411:C1474" si="26">B1411*1.102</f>
        <v>4847230.9625663366</v>
      </c>
    </row>
    <row r="1412" spans="1:3" x14ac:dyDescent="0.3">
      <c r="A1412" s="1">
        <v>44876</v>
      </c>
      <c r="B1412">
        <v>4801022.0950545203</v>
      </c>
      <c r="C1412">
        <f t="shared" si="26"/>
        <v>5290726.3487500818</v>
      </c>
    </row>
    <row r="1413" spans="1:3" x14ac:dyDescent="0.3">
      <c r="A1413" s="1">
        <v>44877</v>
      </c>
      <c r="B1413">
        <v>3228610.6964970999</v>
      </c>
      <c r="C1413">
        <f t="shared" si="26"/>
        <v>3557928.9875398045</v>
      </c>
    </row>
    <row r="1414" spans="1:3" x14ac:dyDescent="0.3">
      <c r="A1414" s="1">
        <v>44878</v>
      </c>
      <c r="B1414">
        <v>4533210.3287391802</v>
      </c>
      <c r="C1414">
        <f t="shared" si="26"/>
        <v>4995597.7822705768</v>
      </c>
    </row>
    <row r="1415" spans="1:3" x14ac:dyDescent="0.3">
      <c r="A1415" s="1">
        <v>44879</v>
      </c>
      <c r="B1415">
        <v>2258543.0673654699</v>
      </c>
      <c r="C1415">
        <f t="shared" si="26"/>
        <v>2488914.4602367482</v>
      </c>
    </row>
    <row r="1416" spans="1:3" x14ac:dyDescent="0.3">
      <c r="A1416" s="1">
        <v>44880</v>
      </c>
      <c r="B1416">
        <v>3328536.8860122301</v>
      </c>
      <c r="C1416">
        <f t="shared" si="26"/>
        <v>3668047.6483854777</v>
      </c>
    </row>
    <row r="1417" spans="1:3" x14ac:dyDescent="0.3">
      <c r="A1417" s="1">
        <v>44881</v>
      </c>
      <c r="B1417">
        <v>4897080.1252835803</v>
      </c>
      <c r="C1417">
        <f t="shared" si="26"/>
        <v>5396582.2980625061</v>
      </c>
    </row>
    <row r="1418" spans="1:3" x14ac:dyDescent="0.3">
      <c r="A1418" s="1">
        <v>44882</v>
      </c>
      <c r="B1418">
        <v>5351774.5029035201</v>
      </c>
      <c r="C1418">
        <f t="shared" si="26"/>
        <v>5897655.5021996796</v>
      </c>
    </row>
    <row r="1419" spans="1:3" x14ac:dyDescent="0.3">
      <c r="A1419" s="1">
        <v>44883</v>
      </c>
      <c r="B1419">
        <v>3951148.7253551399</v>
      </c>
      <c r="C1419">
        <f t="shared" si="26"/>
        <v>4354165.8953413647</v>
      </c>
    </row>
    <row r="1420" spans="1:3" x14ac:dyDescent="0.3">
      <c r="A1420" s="1">
        <v>44884</v>
      </c>
      <c r="B1420">
        <v>3433878.34221324</v>
      </c>
      <c r="C1420">
        <f t="shared" si="26"/>
        <v>3784133.9331189906</v>
      </c>
    </row>
    <row r="1421" spans="1:3" x14ac:dyDescent="0.3">
      <c r="A1421" s="1">
        <v>44885</v>
      </c>
      <c r="B1421">
        <v>3768941.8267408302</v>
      </c>
      <c r="C1421">
        <f t="shared" si="26"/>
        <v>4153373.8930683951</v>
      </c>
    </row>
    <row r="1422" spans="1:3" x14ac:dyDescent="0.3">
      <c r="A1422" s="1">
        <v>44886</v>
      </c>
      <c r="B1422">
        <v>3414029.7002266399</v>
      </c>
      <c r="C1422">
        <f t="shared" si="26"/>
        <v>3762260.7296497575</v>
      </c>
    </row>
    <row r="1423" spans="1:3" x14ac:dyDescent="0.3">
      <c r="A1423" s="1">
        <v>44887</v>
      </c>
      <c r="B1423">
        <v>3285135.6208611298</v>
      </c>
      <c r="C1423">
        <f t="shared" si="26"/>
        <v>3620219.4541889653</v>
      </c>
    </row>
    <row r="1424" spans="1:3" x14ac:dyDescent="0.3">
      <c r="A1424" s="1">
        <v>44888</v>
      </c>
      <c r="B1424">
        <v>4302910.48819522</v>
      </c>
      <c r="C1424">
        <f t="shared" si="26"/>
        <v>4741807.3579911329</v>
      </c>
    </row>
    <row r="1425" spans="1:3" x14ac:dyDescent="0.3">
      <c r="A1425" s="1">
        <v>44889</v>
      </c>
      <c r="B1425">
        <v>4017082.42521615</v>
      </c>
      <c r="C1425">
        <f t="shared" si="26"/>
        <v>4426824.8325881977</v>
      </c>
    </row>
    <row r="1426" spans="1:3" x14ac:dyDescent="0.3">
      <c r="A1426" s="1">
        <v>44890</v>
      </c>
      <c r="B1426">
        <v>3883004.9225428398</v>
      </c>
      <c r="C1426">
        <f t="shared" si="26"/>
        <v>4279071.4246422099</v>
      </c>
    </row>
    <row r="1427" spans="1:3" x14ac:dyDescent="0.3">
      <c r="A1427" s="1">
        <v>44891</v>
      </c>
      <c r="B1427">
        <v>3373206.9592585699</v>
      </c>
      <c r="C1427">
        <f t="shared" si="26"/>
        <v>3717274.0691029443</v>
      </c>
    </row>
    <row r="1428" spans="1:3" x14ac:dyDescent="0.3">
      <c r="A1428" s="1">
        <v>44892</v>
      </c>
      <c r="B1428">
        <v>4611734.9682673896</v>
      </c>
      <c r="C1428">
        <f t="shared" si="26"/>
        <v>5082131.9350306634</v>
      </c>
    </row>
    <row r="1429" spans="1:3" x14ac:dyDescent="0.3">
      <c r="A1429" s="1">
        <v>44893</v>
      </c>
      <c r="B1429">
        <v>3958359.5136180702</v>
      </c>
      <c r="C1429">
        <f t="shared" si="26"/>
        <v>4362112.1840071138</v>
      </c>
    </row>
    <row r="1430" spans="1:3" x14ac:dyDescent="0.3">
      <c r="A1430" s="1">
        <v>44894</v>
      </c>
      <c r="B1430">
        <v>3414267.46466687</v>
      </c>
      <c r="C1430">
        <f t="shared" si="26"/>
        <v>3762522.7460628911</v>
      </c>
    </row>
    <row r="1431" spans="1:3" x14ac:dyDescent="0.3">
      <c r="A1431" s="1">
        <v>44895</v>
      </c>
      <c r="B1431">
        <v>4225120.7218169104</v>
      </c>
      <c r="C1431">
        <f t="shared" si="26"/>
        <v>4656083.0354422359</v>
      </c>
    </row>
    <row r="1432" spans="1:3" x14ac:dyDescent="0.3">
      <c r="A1432" s="1">
        <v>44896</v>
      </c>
      <c r="B1432">
        <v>3174146.4602744598</v>
      </c>
      <c r="C1432">
        <f t="shared" si="26"/>
        <v>3497909.399222455</v>
      </c>
    </row>
    <row r="1433" spans="1:3" x14ac:dyDescent="0.3">
      <c r="A1433" s="1">
        <v>44897</v>
      </c>
      <c r="B1433">
        <v>5045659.8096664296</v>
      </c>
      <c r="C1433">
        <f t="shared" si="26"/>
        <v>5560317.1102524055</v>
      </c>
    </row>
    <row r="1434" spans="1:3" x14ac:dyDescent="0.3">
      <c r="A1434" s="1">
        <v>44898</v>
      </c>
      <c r="B1434">
        <v>4758502.2562987497</v>
      </c>
      <c r="C1434">
        <f t="shared" si="26"/>
        <v>5243869.486441223</v>
      </c>
    </row>
    <row r="1435" spans="1:3" x14ac:dyDescent="0.3">
      <c r="A1435" s="1">
        <v>44899</v>
      </c>
      <c r="B1435">
        <v>4383207.50532516</v>
      </c>
      <c r="C1435">
        <f t="shared" si="26"/>
        <v>4830294.6708683269</v>
      </c>
    </row>
    <row r="1436" spans="1:3" x14ac:dyDescent="0.3">
      <c r="A1436" s="1">
        <v>44900</v>
      </c>
      <c r="B1436">
        <v>3968391.33699117</v>
      </c>
      <c r="C1436">
        <f t="shared" si="26"/>
        <v>4373167.2533642696</v>
      </c>
    </row>
    <row r="1437" spans="1:3" x14ac:dyDescent="0.3">
      <c r="A1437" s="1">
        <v>44901</v>
      </c>
      <c r="B1437">
        <v>2924925.0297176</v>
      </c>
      <c r="C1437">
        <f t="shared" si="26"/>
        <v>3223267.3827487952</v>
      </c>
    </row>
    <row r="1438" spans="1:3" x14ac:dyDescent="0.3">
      <c r="A1438" s="1">
        <v>44902</v>
      </c>
      <c r="B1438">
        <v>5242843.71944011</v>
      </c>
      <c r="C1438">
        <f t="shared" si="26"/>
        <v>5777613.7788230013</v>
      </c>
    </row>
    <row r="1439" spans="1:3" x14ac:dyDescent="0.3">
      <c r="A1439" s="1">
        <v>44903</v>
      </c>
      <c r="B1439">
        <v>3165929.50817829</v>
      </c>
      <c r="C1439">
        <f t="shared" si="26"/>
        <v>3488854.318012476</v>
      </c>
    </row>
    <row r="1440" spans="1:3" x14ac:dyDescent="0.3">
      <c r="A1440" s="1">
        <v>44904</v>
      </c>
      <c r="B1440">
        <v>3048984.8624717402</v>
      </c>
      <c r="C1440">
        <f t="shared" si="26"/>
        <v>3359981.3184438581</v>
      </c>
    </row>
    <row r="1441" spans="1:3" x14ac:dyDescent="0.3">
      <c r="A1441" s="1">
        <v>44905</v>
      </c>
      <c r="B1441">
        <v>3674872.3057526299</v>
      </c>
      <c r="C1441">
        <f t="shared" si="26"/>
        <v>4049709.2809393983</v>
      </c>
    </row>
    <row r="1442" spans="1:3" x14ac:dyDescent="0.3">
      <c r="A1442" s="1">
        <v>44906</v>
      </c>
      <c r="B1442">
        <v>3243085.6118255798</v>
      </c>
      <c r="C1442">
        <f t="shared" si="26"/>
        <v>3573880.344231789</v>
      </c>
    </row>
    <row r="1443" spans="1:3" x14ac:dyDescent="0.3">
      <c r="A1443" s="1">
        <v>44907</v>
      </c>
      <c r="B1443">
        <v>3955671.4886408802</v>
      </c>
      <c r="C1443">
        <f t="shared" si="26"/>
        <v>4359149.9804822505</v>
      </c>
    </row>
    <row r="1444" spans="1:3" x14ac:dyDescent="0.3">
      <c r="A1444" s="1">
        <v>44908</v>
      </c>
      <c r="B1444">
        <v>2567678.4185637701</v>
      </c>
      <c r="C1444">
        <f t="shared" si="26"/>
        <v>2829581.6172572747</v>
      </c>
    </row>
    <row r="1445" spans="1:3" x14ac:dyDescent="0.3">
      <c r="A1445" s="1">
        <v>44909</v>
      </c>
      <c r="B1445">
        <v>4758691.2403197503</v>
      </c>
      <c r="C1445">
        <f t="shared" si="26"/>
        <v>5244077.7468323652</v>
      </c>
    </row>
    <row r="1446" spans="1:3" x14ac:dyDescent="0.3">
      <c r="A1446" s="1">
        <v>44910</v>
      </c>
      <c r="B1446">
        <v>3805644.5344477198</v>
      </c>
      <c r="C1446">
        <f t="shared" si="26"/>
        <v>4193820.2769613876</v>
      </c>
    </row>
    <row r="1447" spans="1:3" x14ac:dyDescent="0.3">
      <c r="A1447" s="1">
        <v>44911</v>
      </c>
      <c r="B1447">
        <v>3379948.7415272999</v>
      </c>
      <c r="C1447">
        <f t="shared" si="26"/>
        <v>3724703.5131630846</v>
      </c>
    </row>
    <row r="1448" spans="1:3" x14ac:dyDescent="0.3">
      <c r="A1448" s="1">
        <v>44912</v>
      </c>
      <c r="B1448">
        <v>3936437.27194328</v>
      </c>
      <c r="C1448">
        <f t="shared" si="26"/>
        <v>4337953.873681495</v>
      </c>
    </row>
    <row r="1449" spans="1:3" x14ac:dyDescent="0.3">
      <c r="A1449" s="1">
        <v>44913</v>
      </c>
      <c r="B1449">
        <v>3640306.00840582</v>
      </c>
      <c r="C1449">
        <f t="shared" si="26"/>
        <v>4011617.221263214</v>
      </c>
    </row>
    <row r="1450" spans="1:3" x14ac:dyDescent="0.3">
      <c r="A1450" s="1">
        <v>44914</v>
      </c>
      <c r="B1450">
        <v>3328387.5729902401</v>
      </c>
      <c r="C1450">
        <f t="shared" si="26"/>
        <v>3667883.1054352447</v>
      </c>
    </row>
    <row r="1451" spans="1:3" x14ac:dyDescent="0.3">
      <c r="A1451" s="1">
        <v>44915</v>
      </c>
      <c r="B1451">
        <v>3703232.1595333898</v>
      </c>
      <c r="C1451">
        <f t="shared" si="26"/>
        <v>4080961.8398057958</v>
      </c>
    </row>
    <row r="1452" spans="1:3" x14ac:dyDescent="0.3">
      <c r="A1452" s="1">
        <v>44916</v>
      </c>
      <c r="B1452">
        <v>3346383.8789161602</v>
      </c>
      <c r="C1452">
        <f t="shared" si="26"/>
        <v>3687715.0345656089</v>
      </c>
    </row>
    <row r="1453" spans="1:3" x14ac:dyDescent="0.3">
      <c r="A1453" s="1">
        <v>44917</v>
      </c>
      <c r="B1453">
        <v>3599933.7012836901</v>
      </c>
      <c r="C1453">
        <f t="shared" si="26"/>
        <v>3967126.9388146265</v>
      </c>
    </row>
    <row r="1454" spans="1:3" x14ac:dyDescent="0.3">
      <c r="A1454" s="1">
        <v>44918</v>
      </c>
      <c r="B1454">
        <v>3244887.6209792402</v>
      </c>
      <c r="C1454">
        <f t="shared" si="26"/>
        <v>3575866.1583191231</v>
      </c>
    </row>
    <row r="1455" spans="1:3" x14ac:dyDescent="0.3">
      <c r="A1455" s="1">
        <v>44919</v>
      </c>
      <c r="B1455">
        <v>4325669.7905658297</v>
      </c>
      <c r="C1455">
        <f t="shared" si="26"/>
        <v>4766888.1092035444</v>
      </c>
    </row>
    <row r="1456" spans="1:3" x14ac:dyDescent="0.3">
      <c r="A1456" s="1">
        <v>44920</v>
      </c>
      <c r="B1456">
        <v>3833995.3481272901</v>
      </c>
      <c r="C1456">
        <f t="shared" si="26"/>
        <v>4225062.8736362737</v>
      </c>
    </row>
    <row r="1457" spans="1:3" x14ac:dyDescent="0.3">
      <c r="A1457" s="1">
        <v>44921</v>
      </c>
      <c r="B1457">
        <v>3490238.9815222598</v>
      </c>
      <c r="C1457">
        <f t="shared" si="26"/>
        <v>3846243.3576375307</v>
      </c>
    </row>
    <row r="1458" spans="1:3" x14ac:dyDescent="0.3">
      <c r="A1458" s="1">
        <v>44922</v>
      </c>
      <c r="B1458">
        <v>3134371.1854701699</v>
      </c>
      <c r="C1458">
        <f t="shared" si="26"/>
        <v>3454077.0463881274</v>
      </c>
    </row>
    <row r="1459" spans="1:3" x14ac:dyDescent="0.3">
      <c r="A1459" s="1">
        <v>44923</v>
      </c>
      <c r="B1459">
        <v>3690367.4300861098</v>
      </c>
      <c r="C1459">
        <f t="shared" si="26"/>
        <v>4066784.9079548935</v>
      </c>
    </row>
    <row r="1460" spans="1:3" x14ac:dyDescent="0.3">
      <c r="A1460" s="1">
        <v>44924</v>
      </c>
      <c r="B1460">
        <v>2696992.9604773601</v>
      </c>
      <c r="C1460">
        <f t="shared" si="26"/>
        <v>2972086.242446051</v>
      </c>
    </row>
    <row r="1461" spans="1:3" x14ac:dyDescent="0.3">
      <c r="A1461" s="1">
        <v>44925</v>
      </c>
      <c r="B1461">
        <v>2910755.8642094899</v>
      </c>
      <c r="C1461">
        <f t="shared" si="26"/>
        <v>3207652.962358858</v>
      </c>
    </row>
    <row r="1462" spans="1:3" x14ac:dyDescent="0.3">
      <c r="A1462" s="1">
        <v>44926</v>
      </c>
      <c r="B1462">
        <v>3717111.6007612702</v>
      </c>
      <c r="C1462">
        <f t="shared" si="26"/>
        <v>4096256.9840389201</v>
      </c>
    </row>
    <row r="1463" spans="1:3" x14ac:dyDescent="0.3">
      <c r="A1463" s="1">
        <v>44927</v>
      </c>
      <c r="B1463">
        <v>3985563.1854635798</v>
      </c>
      <c r="C1463">
        <f t="shared" si="26"/>
        <v>4392090.6303808652</v>
      </c>
    </row>
    <row r="1464" spans="1:3" x14ac:dyDescent="0.3">
      <c r="A1464" s="1">
        <v>44928</v>
      </c>
      <c r="B1464">
        <v>3314568.0001142798</v>
      </c>
      <c r="C1464">
        <f t="shared" si="26"/>
        <v>3652653.9361259365</v>
      </c>
    </row>
    <row r="1465" spans="1:3" x14ac:dyDescent="0.3">
      <c r="A1465" s="1">
        <v>44929</v>
      </c>
      <c r="B1465">
        <v>3497514.2448767698</v>
      </c>
      <c r="C1465">
        <f t="shared" si="26"/>
        <v>3854260.6978542008</v>
      </c>
    </row>
    <row r="1466" spans="1:3" x14ac:dyDescent="0.3">
      <c r="A1466" s="1">
        <v>44930</v>
      </c>
      <c r="B1466">
        <v>5431281.7086768001</v>
      </c>
      <c r="C1466">
        <f t="shared" si="26"/>
        <v>5985272.4429618344</v>
      </c>
    </row>
    <row r="1467" spans="1:3" x14ac:dyDescent="0.3">
      <c r="A1467" s="1">
        <v>44931</v>
      </c>
      <c r="B1467">
        <v>3312528.8527017599</v>
      </c>
      <c r="C1467">
        <f t="shared" si="26"/>
        <v>3650406.7956773397</v>
      </c>
    </row>
    <row r="1468" spans="1:3" x14ac:dyDescent="0.3">
      <c r="A1468" s="1">
        <v>44932</v>
      </c>
      <c r="B1468">
        <v>3129947.3569128201</v>
      </c>
      <c r="C1468">
        <f t="shared" si="26"/>
        <v>3449201.9873179281</v>
      </c>
    </row>
    <row r="1469" spans="1:3" x14ac:dyDescent="0.3">
      <c r="A1469" s="1">
        <v>44933</v>
      </c>
      <c r="B1469">
        <v>3802936.61919718</v>
      </c>
      <c r="C1469">
        <f t="shared" si="26"/>
        <v>4190836.1543552927</v>
      </c>
    </row>
    <row r="1470" spans="1:3" x14ac:dyDescent="0.3">
      <c r="A1470" s="1">
        <v>44934</v>
      </c>
      <c r="B1470">
        <v>3759611.4298223099</v>
      </c>
      <c r="C1470">
        <f t="shared" si="26"/>
        <v>4143091.7956641857</v>
      </c>
    </row>
    <row r="1471" spans="1:3" x14ac:dyDescent="0.3">
      <c r="A1471" s="1">
        <v>44935</v>
      </c>
      <c r="B1471">
        <v>3626206.41507843</v>
      </c>
      <c r="C1471">
        <f t="shared" si="26"/>
        <v>3996079.4694164302</v>
      </c>
    </row>
    <row r="1472" spans="1:3" x14ac:dyDescent="0.3">
      <c r="A1472" s="1">
        <v>44936</v>
      </c>
      <c r="B1472">
        <v>3459832.8270191601</v>
      </c>
      <c r="C1472">
        <f t="shared" si="26"/>
        <v>3812735.7753751148</v>
      </c>
    </row>
    <row r="1473" spans="1:3" x14ac:dyDescent="0.3">
      <c r="A1473" s="1">
        <v>44937</v>
      </c>
      <c r="B1473">
        <v>2545203.8693607198</v>
      </c>
      <c r="C1473">
        <f t="shared" si="26"/>
        <v>2804814.6640355135</v>
      </c>
    </row>
    <row r="1474" spans="1:3" x14ac:dyDescent="0.3">
      <c r="A1474" s="1">
        <v>44938</v>
      </c>
      <c r="B1474">
        <v>2384147.9075522702</v>
      </c>
      <c r="C1474">
        <f t="shared" si="26"/>
        <v>2627330.994122602</v>
      </c>
    </row>
    <row r="1475" spans="1:3" x14ac:dyDescent="0.3">
      <c r="A1475" s="1">
        <v>44939</v>
      </c>
      <c r="B1475">
        <v>3323147.2497522999</v>
      </c>
      <c r="C1475">
        <f t="shared" ref="C1475:C1538" si="27">B1475*1.102</f>
        <v>3662108.2692270349</v>
      </c>
    </row>
    <row r="1476" spans="1:3" x14ac:dyDescent="0.3">
      <c r="A1476" s="1">
        <v>44940</v>
      </c>
      <c r="B1476">
        <v>5148087.4844687898</v>
      </c>
      <c r="C1476">
        <f t="shared" si="27"/>
        <v>5673192.4078846071</v>
      </c>
    </row>
    <row r="1477" spans="1:3" x14ac:dyDescent="0.3">
      <c r="A1477" s="1">
        <v>44941</v>
      </c>
      <c r="B1477">
        <v>2597914.0789846699</v>
      </c>
      <c r="C1477">
        <f t="shared" si="27"/>
        <v>2862901.3150411067</v>
      </c>
    </row>
    <row r="1478" spans="1:3" x14ac:dyDescent="0.3">
      <c r="A1478" s="1">
        <v>44942</v>
      </c>
      <c r="B1478">
        <v>3990768.7300916901</v>
      </c>
      <c r="C1478">
        <f t="shared" si="27"/>
        <v>4397827.1405610433</v>
      </c>
    </row>
    <row r="1479" spans="1:3" x14ac:dyDescent="0.3">
      <c r="A1479" s="1">
        <v>44943</v>
      </c>
      <c r="B1479">
        <v>4040674.77342198</v>
      </c>
      <c r="C1479">
        <f t="shared" si="27"/>
        <v>4452823.6003110223</v>
      </c>
    </row>
    <row r="1480" spans="1:3" x14ac:dyDescent="0.3">
      <c r="A1480" s="1">
        <v>44944</v>
      </c>
      <c r="B1480">
        <v>3680824.0439768899</v>
      </c>
      <c r="C1480">
        <f t="shared" si="27"/>
        <v>4056268.0964625329</v>
      </c>
    </row>
    <row r="1481" spans="1:3" x14ac:dyDescent="0.3">
      <c r="A1481" s="1">
        <v>44945</v>
      </c>
      <c r="B1481">
        <v>2735639.6799507099</v>
      </c>
      <c r="C1481">
        <f t="shared" si="27"/>
        <v>3014674.9273056826</v>
      </c>
    </row>
    <row r="1482" spans="1:3" x14ac:dyDescent="0.3">
      <c r="A1482" s="1">
        <v>44946</v>
      </c>
      <c r="B1482">
        <v>3082243.3144208002</v>
      </c>
      <c r="C1482">
        <f t="shared" si="27"/>
        <v>3396632.1324917222</v>
      </c>
    </row>
    <row r="1483" spans="1:3" x14ac:dyDescent="0.3">
      <c r="A1483" s="1">
        <v>44947</v>
      </c>
      <c r="B1483">
        <v>3534417.3775771898</v>
      </c>
      <c r="C1483">
        <f t="shared" si="27"/>
        <v>3894927.9500900637</v>
      </c>
    </row>
    <row r="1484" spans="1:3" x14ac:dyDescent="0.3">
      <c r="A1484" s="1">
        <v>44948</v>
      </c>
      <c r="B1484">
        <v>4182307.7658801898</v>
      </c>
      <c r="C1484">
        <f t="shared" si="27"/>
        <v>4608903.15799997</v>
      </c>
    </row>
    <row r="1485" spans="1:3" x14ac:dyDescent="0.3">
      <c r="A1485" s="1">
        <v>44949</v>
      </c>
      <c r="B1485">
        <v>4303271.0467669396</v>
      </c>
      <c r="C1485">
        <f t="shared" si="27"/>
        <v>4742204.6935371682</v>
      </c>
    </row>
    <row r="1486" spans="1:3" x14ac:dyDescent="0.3">
      <c r="A1486" s="1">
        <v>44950</v>
      </c>
      <c r="B1486">
        <v>3288180.3666516999</v>
      </c>
      <c r="C1486">
        <f t="shared" si="27"/>
        <v>3623574.7640501736</v>
      </c>
    </row>
    <row r="1487" spans="1:3" x14ac:dyDescent="0.3">
      <c r="A1487" s="1">
        <v>44951</v>
      </c>
      <c r="B1487">
        <v>5336222.6691909004</v>
      </c>
      <c r="C1487">
        <f t="shared" si="27"/>
        <v>5880517.3814483723</v>
      </c>
    </row>
    <row r="1488" spans="1:3" x14ac:dyDescent="0.3">
      <c r="A1488" s="1">
        <v>44952</v>
      </c>
      <c r="B1488">
        <v>3632366.1514373901</v>
      </c>
      <c r="C1488">
        <f t="shared" si="27"/>
        <v>4002867.4988840041</v>
      </c>
    </row>
    <row r="1489" spans="1:3" x14ac:dyDescent="0.3">
      <c r="A1489" s="1">
        <v>44953</v>
      </c>
      <c r="B1489">
        <v>2662694.3503618701</v>
      </c>
      <c r="C1489">
        <f t="shared" si="27"/>
        <v>2934289.1740987813</v>
      </c>
    </row>
    <row r="1490" spans="1:3" x14ac:dyDescent="0.3">
      <c r="A1490" s="1">
        <v>44954</v>
      </c>
      <c r="B1490">
        <v>3335197.0217320202</v>
      </c>
      <c r="C1490">
        <f t="shared" si="27"/>
        <v>3675387.1179486867</v>
      </c>
    </row>
    <row r="1491" spans="1:3" x14ac:dyDescent="0.3">
      <c r="A1491" s="1">
        <v>44955</v>
      </c>
      <c r="B1491">
        <v>3548937.9972846</v>
      </c>
      <c r="C1491">
        <f t="shared" si="27"/>
        <v>3910929.6730076293</v>
      </c>
    </row>
    <row r="1492" spans="1:3" x14ac:dyDescent="0.3">
      <c r="A1492" s="1">
        <v>44956</v>
      </c>
      <c r="B1492">
        <v>3379622.5278890599</v>
      </c>
      <c r="C1492">
        <f t="shared" si="27"/>
        <v>3724344.0257337443</v>
      </c>
    </row>
    <row r="1493" spans="1:3" x14ac:dyDescent="0.3">
      <c r="A1493" s="1">
        <v>44957</v>
      </c>
      <c r="B1493">
        <v>3549242.7574780202</v>
      </c>
      <c r="C1493">
        <f t="shared" si="27"/>
        <v>3911265.5187407783</v>
      </c>
    </row>
    <row r="1494" spans="1:3" x14ac:dyDescent="0.3">
      <c r="A1494" s="1">
        <v>44958</v>
      </c>
      <c r="B1494">
        <v>3431734.43014292</v>
      </c>
      <c r="C1494">
        <f t="shared" si="27"/>
        <v>3781771.3420174983</v>
      </c>
    </row>
    <row r="1495" spans="1:3" x14ac:dyDescent="0.3">
      <c r="A1495" s="1">
        <v>44959</v>
      </c>
      <c r="B1495">
        <v>2990790.6750116302</v>
      </c>
      <c r="C1495">
        <f t="shared" si="27"/>
        <v>3295851.3238628167</v>
      </c>
    </row>
    <row r="1496" spans="1:3" x14ac:dyDescent="0.3">
      <c r="A1496" s="1">
        <v>44960</v>
      </c>
      <c r="B1496">
        <v>3963749.2046867898</v>
      </c>
      <c r="C1496">
        <f t="shared" si="27"/>
        <v>4368051.6235648431</v>
      </c>
    </row>
    <row r="1497" spans="1:3" x14ac:dyDescent="0.3">
      <c r="A1497" s="1">
        <v>44961</v>
      </c>
      <c r="B1497">
        <v>3953695.22113086</v>
      </c>
      <c r="C1497">
        <f t="shared" si="27"/>
        <v>4356972.1336862082</v>
      </c>
    </row>
    <row r="1498" spans="1:3" x14ac:dyDescent="0.3">
      <c r="A1498" s="1">
        <v>44962</v>
      </c>
      <c r="B1498">
        <v>4155114.81294624</v>
      </c>
      <c r="C1498">
        <f t="shared" si="27"/>
        <v>4578936.5238667568</v>
      </c>
    </row>
    <row r="1499" spans="1:3" x14ac:dyDescent="0.3">
      <c r="A1499" s="1">
        <v>44963</v>
      </c>
      <c r="B1499">
        <v>3915207.97504326</v>
      </c>
      <c r="C1499">
        <f t="shared" si="27"/>
        <v>4314559.1884976728</v>
      </c>
    </row>
    <row r="1500" spans="1:3" x14ac:dyDescent="0.3">
      <c r="A1500" s="1">
        <v>44964</v>
      </c>
      <c r="B1500">
        <v>3412871.4153191601</v>
      </c>
      <c r="C1500">
        <f t="shared" si="27"/>
        <v>3760984.2996817147</v>
      </c>
    </row>
    <row r="1501" spans="1:3" x14ac:dyDescent="0.3">
      <c r="A1501" s="1">
        <v>44965</v>
      </c>
      <c r="B1501">
        <v>4992561.9561588196</v>
      </c>
      <c r="C1501">
        <f t="shared" si="27"/>
        <v>5501803.2756870193</v>
      </c>
    </row>
    <row r="1502" spans="1:3" x14ac:dyDescent="0.3">
      <c r="A1502" s="1">
        <v>44966</v>
      </c>
      <c r="B1502">
        <v>4734107.5410660002</v>
      </c>
      <c r="C1502">
        <f t="shared" si="27"/>
        <v>5216986.5102547323</v>
      </c>
    </row>
    <row r="1503" spans="1:3" x14ac:dyDescent="0.3">
      <c r="A1503" s="1">
        <v>44967</v>
      </c>
      <c r="B1503">
        <v>2802724.7307911702</v>
      </c>
      <c r="C1503">
        <f t="shared" si="27"/>
        <v>3088602.6533318697</v>
      </c>
    </row>
    <row r="1504" spans="1:3" x14ac:dyDescent="0.3">
      <c r="A1504" s="1">
        <v>44968</v>
      </c>
      <c r="B1504">
        <v>3657515.4501223699</v>
      </c>
      <c r="C1504">
        <f t="shared" si="27"/>
        <v>4030582.026034852</v>
      </c>
    </row>
    <row r="1505" spans="1:3" x14ac:dyDescent="0.3">
      <c r="A1505" s="1">
        <v>44969</v>
      </c>
      <c r="B1505">
        <v>3687306.59725451</v>
      </c>
      <c r="C1505">
        <f t="shared" si="27"/>
        <v>4063411.8701744704</v>
      </c>
    </row>
    <row r="1506" spans="1:3" x14ac:dyDescent="0.3">
      <c r="A1506" s="1">
        <v>44970</v>
      </c>
      <c r="B1506">
        <v>3685925.7297738199</v>
      </c>
      <c r="C1506">
        <f t="shared" si="27"/>
        <v>4061890.15421075</v>
      </c>
    </row>
    <row r="1507" spans="1:3" x14ac:dyDescent="0.3">
      <c r="A1507" s="1">
        <v>44971</v>
      </c>
      <c r="B1507">
        <v>3863393.27253801</v>
      </c>
      <c r="C1507">
        <f t="shared" si="27"/>
        <v>4257459.3863368873</v>
      </c>
    </row>
    <row r="1508" spans="1:3" x14ac:dyDescent="0.3">
      <c r="A1508" s="1">
        <v>44972</v>
      </c>
      <c r="B1508">
        <v>3385753.9588211798</v>
      </c>
      <c r="C1508">
        <f t="shared" si="27"/>
        <v>3731100.8626209404</v>
      </c>
    </row>
    <row r="1509" spans="1:3" x14ac:dyDescent="0.3">
      <c r="A1509" s="1">
        <v>44973</v>
      </c>
      <c r="B1509">
        <v>4983211.9093112899</v>
      </c>
      <c r="C1509">
        <f t="shared" si="27"/>
        <v>5491499.5240610419</v>
      </c>
    </row>
    <row r="1510" spans="1:3" x14ac:dyDescent="0.3">
      <c r="A1510" s="1">
        <v>44974</v>
      </c>
      <c r="B1510">
        <v>4237281.0549976602</v>
      </c>
      <c r="C1510">
        <f t="shared" si="27"/>
        <v>4669483.7226074217</v>
      </c>
    </row>
    <row r="1511" spans="1:3" x14ac:dyDescent="0.3">
      <c r="A1511" s="1">
        <v>44975</v>
      </c>
      <c r="B1511">
        <v>2727031.4034395302</v>
      </c>
      <c r="C1511">
        <f t="shared" si="27"/>
        <v>3005188.6065903623</v>
      </c>
    </row>
    <row r="1512" spans="1:3" x14ac:dyDescent="0.3">
      <c r="A1512" s="1">
        <v>44976</v>
      </c>
      <c r="B1512">
        <v>3554671.2191356299</v>
      </c>
      <c r="C1512">
        <f t="shared" si="27"/>
        <v>3917247.6834874647</v>
      </c>
    </row>
    <row r="1513" spans="1:3" x14ac:dyDescent="0.3">
      <c r="A1513" s="1">
        <v>44977</v>
      </c>
      <c r="B1513">
        <v>2788380.5886097602</v>
      </c>
      <c r="C1513">
        <f t="shared" si="27"/>
        <v>3072795.4086479559</v>
      </c>
    </row>
    <row r="1514" spans="1:3" x14ac:dyDescent="0.3">
      <c r="A1514" s="1">
        <v>44978</v>
      </c>
      <c r="B1514">
        <v>1953292.80757483</v>
      </c>
      <c r="C1514">
        <f t="shared" si="27"/>
        <v>2152528.6739474628</v>
      </c>
    </row>
    <row r="1515" spans="1:3" x14ac:dyDescent="0.3">
      <c r="A1515" s="1">
        <v>44979</v>
      </c>
      <c r="B1515">
        <v>4661754.0844244203</v>
      </c>
      <c r="C1515">
        <f t="shared" si="27"/>
        <v>5137253.0010357117</v>
      </c>
    </row>
    <row r="1516" spans="1:3" x14ac:dyDescent="0.3">
      <c r="A1516" s="1">
        <v>44980</v>
      </c>
      <c r="B1516">
        <v>4451347.2679650299</v>
      </c>
      <c r="C1516">
        <f t="shared" si="27"/>
        <v>4905384.6892974637</v>
      </c>
    </row>
    <row r="1517" spans="1:3" x14ac:dyDescent="0.3">
      <c r="A1517" s="1">
        <v>44981</v>
      </c>
      <c r="B1517">
        <v>6069402.5082180304</v>
      </c>
      <c r="C1517">
        <f t="shared" si="27"/>
        <v>6688481.5640562698</v>
      </c>
    </row>
    <row r="1518" spans="1:3" x14ac:dyDescent="0.3">
      <c r="A1518" s="1">
        <v>44982</v>
      </c>
      <c r="B1518">
        <v>3996183.4628951699</v>
      </c>
      <c r="C1518">
        <f t="shared" si="27"/>
        <v>4403794.1761104772</v>
      </c>
    </row>
    <row r="1519" spans="1:3" x14ac:dyDescent="0.3">
      <c r="A1519" s="1">
        <v>44983</v>
      </c>
      <c r="B1519">
        <v>4297869.7106240904</v>
      </c>
      <c r="C1519">
        <f t="shared" si="27"/>
        <v>4736252.4211077476</v>
      </c>
    </row>
    <row r="1520" spans="1:3" x14ac:dyDescent="0.3">
      <c r="A1520" s="1">
        <v>44984</v>
      </c>
      <c r="B1520">
        <v>3668255.2086713701</v>
      </c>
      <c r="C1520">
        <f t="shared" si="27"/>
        <v>4042417.2399558499</v>
      </c>
    </row>
    <row r="1521" spans="1:3" x14ac:dyDescent="0.3">
      <c r="A1521" s="1">
        <v>44985</v>
      </c>
      <c r="B1521">
        <v>5139705.8280163798</v>
      </c>
      <c r="C1521">
        <f t="shared" si="27"/>
        <v>5663955.8224740513</v>
      </c>
    </row>
    <row r="1522" spans="1:3" x14ac:dyDescent="0.3">
      <c r="A1522" s="1">
        <v>44986</v>
      </c>
      <c r="B1522">
        <v>3136447.4485825398</v>
      </c>
      <c r="C1522">
        <f t="shared" si="27"/>
        <v>3456365.0883379593</v>
      </c>
    </row>
    <row r="1523" spans="1:3" x14ac:dyDescent="0.3">
      <c r="A1523" s="1">
        <v>44987</v>
      </c>
      <c r="B1523">
        <v>2925393.7384046102</v>
      </c>
      <c r="C1523">
        <f t="shared" si="27"/>
        <v>3223783.8997218809</v>
      </c>
    </row>
    <row r="1524" spans="1:3" x14ac:dyDescent="0.3">
      <c r="A1524" s="1">
        <v>44988</v>
      </c>
      <c r="B1524">
        <v>5117516.60062641</v>
      </c>
      <c r="C1524">
        <f t="shared" si="27"/>
        <v>5639503.2938903039</v>
      </c>
    </row>
    <row r="1525" spans="1:3" x14ac:dyDescent="0.3">
      <c r="A1525" s="1">
        <v>44989</v>
      </c>
      <c r="B1525">
        <v>5089267.3528701002</v>
      </c>
      <c r="C1525">
        <f t="shared" si="27"/>
        <v>5608372.6228628512</v>
      </c>
    </row>
    <row r="1526" spans="1:3" x14ac:dyDescent="0.3">
      <c r="A1526" s="1">
        <v>44990</v>
      </c>
      <c r="B1526">
        <v>5590207.7539999299</v>
      </c>
      <c r="C1526">
        <f t="shared" si="27"/>
        <v>6160408.9449079232</v>
      </c>
    </row>
    <row r="1527" spans="1:3" x14ac:dyDescent="0.3">
      <c r="A1527" s="1">
        <v>44991</v>
      </c>
      <c r="B1527">
        <v>3299134.9745527101</v>
      </c>
      <c r="C1527">
        <f t="shared" si="27"/>
        <v>3635646.7419570866</v>
      </c>
    </row>
    <row r="1528" spans="1:3" x14ac:dyDescent="0.3">
      <c r="A1528" s="1">
        <v>44992</v>
      </c>
      <c r="B1528">
        <v>4372273.2442736598</v>
      </c>
      <c r="C1528">
        <f t="shared" si="27"/>
        <v>4818245.1151895737</v>
      </c>
    </row>
    <row r="1529" spans="1:3" x14ac:dyDescent="0.3">
      <c r="A1529" s="1">
        <v>44993</v>
      </c>
      <c r="B1529">
        <v>4164480.1223715302</v>
      </c>
      <c r="C1529">
        <f t="shared" si="27"/>
        <v>4589257.0948534263</v>
      </c>
    </row>
    <row r="1530" spans="1:3" x14ac:dyDescent="0.3">
      <c r="A1530" s="1">
        <v>44994</v>
      </c>
      <c r="B1530">
        <v>3480398.1696997499</v>
      </c>
      <c r="C1530">
        <f t="shared" si="27"/>
        <v>3835398.7830091249</v>
      </c>
    </row>
    <row r="1531" spans="1:3" x14ac:dyDescent="0.3">
      <c r="A1531" s="1">
        <v>44995</v>
      </c>
      <c r="B1531">
        <v>2674346.2667351598</v>
      </c>
      <c r="C1531">
        <f t="shared" si="27"/>
        <v>2947129.5859421464</v>
      </c>
    </row>
    <row r="1532" spans="1:3" x14ac:dyDescent="0.3">
      <c r="A1532" s="1">
        <v>44996</v>
      </c>
      <c r="B1532">
        <v>4617259.8382417597</v>
      </c>
      <c r="C1532">
        <f t="shared" si="27"/>
        <v>5088220.3417424196</v>
      </c>
    </row>
    <row r="1533" spans="1:3" x14ac:dyDescent="0.3">
      <c r="A1533" s="1">
        <v>44997</v>
      </c>
      <c r="B1533">
        <v>3683300.5057262699</v>
      </c>
      <c r="C1533">
        <f t="shared" si="27"/>
        <v>4058997.1573103499</v>
      </c>
    </row>
    <row r="1534" spans="1:3" x14ac:dyDescent="0.3">
      <c r="A1534" s="1">
        <v>44998</v>
      </c>
      <c r="B1534">
        <v>3441790.0696781599</v>
      </c>
      <c r="C1534">
        <f t="shared" si="27"/>
        <v>3792852.6567853326</v>
      </c>
    </row>
    <row r="1535" spans="1:3" x14ac:dyDescent="0.3">
      <c r="A1535" s="1">
        <v>44999</v>
      </c>
      <c r="B1535">
        <v>4258206.5995549504</v>
      </c>
      <c r="C1535">
        <f t="shared" si="27"/>
        <v>4692543.6727095554</v>
      </c>
    </row>
    <row r="1536" spans="1:3" x14ac:dyDescent="0.3">
      <c r="A1536" s="1">
        <v>45000</v>
      </c>
      <c r="B1536">
        <v>4484719.8215583898</v>
      </c>
      <c r="C1536">
        <f t="shared" si="27"/>
        <v>4942161.2433573464</v>
      </c>
    </row>
    <row r="1537" spans="1:3" x14ac:dyDescent="0.3">
      <c r="A1537" s="1">
        <v>45001</v>
      </c>
      <c r="B1537">
        <v>4133883.8371466799</v>
      </c>
      <c r="C1537">
        <f t="shared" si="27"/>
        <v>4555539.9885356417</v>
      </c>
    </row>
    <row r="1538" spans="1:3" x14ac:dyDescent="0.3">
      <c r="A1538" s="1">
        <v>45002</v>
      </c>
      <c r="B1538">
        <v>3018177.65535548</v>
      </c>
      <c r="C1538">
        <f t="shared" si="27"/>
        <v>3326031.7762017394</v>
      </c>
    </row>
    <row r="1539" spans="1:3" x14ac:dyDescent="0.3">
      <c r="A1539" s="1">
        <v>45003</v>
      </c>
      <c r="B1539">
        <v>3852966.7443915801</v>
      </c>
      <c r="C1539">
        <f t="shared" ref="C1539:C1602" si="28">B1539*1.102</f>
        <v>4245969.3523195218</v>
      </c>
    </row>
    <row r="1540" spans="1:3" x14ac:dyDescent="0.3">
      <c r="A1540" s="1">
        <v>45004</v>
      </c>
      <c r="B1540">
        <v>4152275.29651576</v>
      </c>
      <c r="C1540">
        <f t="shared" si="28"/>
        <v>4575807.3767603682</v>
      </c>
    </row>
    <row r="1541" spans="1:3" x14ac:dyDescent="0.3">
      <c r="A1541" s="1">
        <v>45005</v>
      </c>
      <c r="B1541">
        <v>3863330.5668087299</v>
      </c>
      <c r="C1541">
        <f t="shared" si="28"/>
        <v>4257390.2846232206</v>
      </c>
    </row>
    <row r="1542" spans="1:3" x14ac:dyDescent="0.3">
      <c r="A1542" s="1">
        <v>45006</v>
      </c>
      <c r="B1542">
        <v>2552210.7002272201</v>
      </c>
      <c r="C1542">
        <f t="shared" si="28"/>
        <v>2812536.1916503967</v>
      </c>
    </row>
    <row r="1543" spans="1:3" x14ac:dyDescent="0.3">
      <c r="A1543" s="1">
        <v>45007</v>
      </c>
      <c r="B1543">
        <v>2892793.1658566301</v>
      </c>
      <c r="C1543">
        <f t="shared" si="28"/>
        <v>3187858.0687740068</v>
      </c>
    </row>
    <row r="1544" spans="1:3" x14ac:dyDescent="0.3">
      <c r="A1544" s="1">
        <v>45008</v>
      </c>
      <c r="B1544">
        <v>3653264.8799845902</v>
      </c>
      <c r="C1544">
        <f t="shared" si="28"/>
        <v>4025897.8977430188</v>
      </c>
    </row>
    <row r="1545" spans="1:3" x14ac:dyDescent="0.3">
      <c r="A1545" s="1">
        <v>45009</v>
      </c>
      <c r="B1545">
        <v>4335393.9260936603</v>
      </c>
      <c r="C1545">
        <f t="shared" si="28"/>
        <v>4777604.1065552142</v>
      </c>
    </row>
    <row r="1546" spans="1:3" x14ac:dyDescent="0.3">
      <c r="A1546" s="1">
        <v>45010</v>
      </c>
      <c r="B1546">
        <v>3307394.4125650302</v>
      </c>
      <c r="C1546">
        <f t="shared" si="28"/>
        <v>3644748.6426466634</v>
      </c>
    </row>
    <row r="1547" spans="1:3" x14ac:dyDescent="0.3">
      <c r="A1547" s="1">
        <v>45011</v>
      </c>
      <c r="B1547">
        <v>4318050.8673434798</v>
      </c>
      <c r="C1547">
        <f t="shared" si="28"/>
        <v>4758492.0558125153</v>
      </c>
    </row>
    <row r="1548" spans="1:3" x14ac:dyDescent="0.3">
      <c r="A1548" s="1">
        <v>45012</v>
      </c>
      <c r="B1548">
        <v>2784476.5891472502</v>
      </c>
      <c r="C1548">
        <f t="shared" si="28"/>
        <v>3068493.2012402699</v>
      </c>
    </row>
    <row r="1549" spans="1:3" x14ac:dyDescent="0.3">
      <c r="A1549" s="1">
        <v>45013</v>
      </c>
      <c r="B1549">
        <v>3529096.1497787498</v>
      </c>
      <c r="C1549">
        <f t="shared" si="28"/>
        <v>3889063.9570561824</v>
      </c>
    </row>
    <row r="1550" spans="1:3" x14ac:dyDescent="0.3">
      <c r="A1550" s="1">
        <v>45014</v>
      </c>
      <c r="B1550">
        <v>3482709.4210456898</v>
      </c>
      <c r="C1550">
        <f t="shared" si="28"/>
        <v>3837945.7819923507</v>
      </c>
    </row>
    <row r="1551" spans="1:3" x14ac:dyDescent="0.3">
      <c r="A1551" s="1">
        <v>45015</v>
      </c>
      <c r="B1551">
        <v>4391417.8560456</v>
      </c>
      <c r="C1551">
        <f t="shared" si="28"/>
        <v>4839342.4773622518</v>
      </c>
    </row>
    <row r="1552" spans="1:3" x14ac:dyDescent="0.3">
      <c r="A1552" s="1">
        <v>45016</v>
      </c>
      <c r="B1552">
        <v>4823514.0536976196</v>
      </c>
      <c r="C1552">
        <f t="shared" si="28"/>
        <v>5315512.4871747773</v>
      </c>
    </row>
    <row r="1553" spans="1:3" x14ac:dyDescent="0.3">
      <c r="A1553" s="1">
        <v>45017</v>
      </c>
      <c r="B1553">
        <v>3821983.4515645602</v>
      </c>
      <c r="C1553">
        <f t="shared" si="28"/>
        <v>4211825.7636241456</v>
      </c>
    </row>
    <row r="1554" spans="1:3" x14ac:dyDescent="0.3">
      <c r="A1554" s="1">
        <v>45018</v>
      </c>
      <c r="B1554">
        <v>4004251.1666591601</v>
      </c>
      <c r="C1554">
        <f t="shared" si="28"/>
        <v>4412684.7856583949</v>
      </c>
    </row>
    <row r="1555" spans="1:3" x14ac:dyDescent="0.3">
      <c r="A1555" s="1">
        <v>45019</v>
      </c>
      <c r="B1555">
        <v>3195784.26670491</v>
      </c>
      <c r="C1555">
        <f t="shared" si="28"/>
        <v>3521754.2619088111</v>
      </c>
    </row>
    <row r="1556" spans="1:3" x14ac:dyDescent="0.3">
      <c r="A1556" s="1">
        <v>45020</v>
      </c>
      <c r="B1556">
        <v>2925842.66897162</v>
      </c>
      <c r="C1556">
        <f t="shared" si="28"/>
        <v>3224278.6212067255</v>
      </c>
    </row>
    <row r="1557" spans="1:3" x14ac:dyDescent="0.3">
      <c r="A1557" s="1">
        <v>45021</v>
      </c>
      <c r="B1557">
        <v>3558194.4733567</v>
      </c>
      <c r="C1557">
        <f t="shared" si="28"/>
        <v>3921130.3096390837</v>
      </c>
    </row>
    <row r="1558" spans="1:3" x14ac:dyDescent="0.3">
      <c r="A1558" s="1">
        <v>45022</v>
      </c>
      <c r="B1558">
        <v>4680274.2785366802</v>
      </c>
      <c r="C1558">
        <f t="shared" si="28"/>
        <v>5157662.2549474221</v>
      </c>
    </row>
    <row r="1559" spans="1:3" x14ac:dyDescent="0.3">
      <c r="A1559" s="1">
        <v>45023</v>
      </c>
      <c r="B1559">
        <v>5237093.5243560001</v>
      </c>
      <c r="C1559">
        <f t="shared" si="28"/>
        <v>5771277.0638403129</v>
      </c>
    </row>
    <row r="1560" spans="1:3" x14ac:dyDescent="0.3">
      <c r="A1560" s="1">
        <v>45024</v>
      </c>
      <c r="B1560">
        <v>4439697.3474951396</v>
      </c>
      <c r="C1560">
        <f t="shared" si="28"/>
        <v>4892546.4769396447</v>
      </c>
    </row>
    <row r="1561" spans="1:3" x14ac:dyDescent="0.3">
      <c r="A1561" s="1">
        <v>45025</v>
      </c>
      <c r="B1561">
        <v>4750367.3956664996</v>
      </c>
      <c r="C1561">
        <f t="shared" si="28"/>
        <v>5234904.8700244827</v>
      </c>
    </row>
    <row r="1562" spans="1:3" x14ac:dyDescent="0.3">
      <c r="A1562" s="1">
        <v>45026</v>
      </c>
      <c r="B1562">
        <v>4261983.4895539004</v>
      </c>
      <c r="C1562">
        <f t="shared" si="28"/>
        <v>4696705.8054883983</v>
      </c>
    </row>
    <row r="1563" spans="1:3" x14ac:dyDescent="0.3">
      <c r="A1563" s="1">
        <v>45027</v>
      </c>
      <c r="B1563">
        <v>5768613.3270001998</v>
      </c>
      <c r="C1563">
        <f t="shared" si="28"/>
        <v>6357011.886354221</v>
      </c>
    </row>
    <row r="1564" spans="1:3" x14ac:dyDescent="0.3">
      <c r="A1564" s="1">
        <v>45028</v>
      </c>
      <c r="B1564">
        <v>3867730.6931846798</v>
      </c>
      <c r="C1564">
        <f t="shared" si="28"/>
        <v>4262239.2238895176</v>
      </c>
    </row>
    <row r="1565" spans="1:3" x14ac:dyDescent="0.3">
      <c r="A1565" s="1">
        <v>45029</v>
      </c>
      <c r="B1565">
        <v>4523915.7500149198</v>
      </c>
      <c r="C1565">
        <f t="shared" si="28"/>
        <v>4985355.1565164421</v>
      </c>
    </row>
    <row r="1566" spans="1:3" x14ac:dyDescent="0.3">
      <c r="A1566" s="1">
        <v>45030</v>
      </c>
      <c r="B1566">
        <v>3972922.8304273002</v>
      </c>
      <c r="C1566">
        <f t="shared" si="28"/>
        <v>4378160.9591308851</v>
      </c>
    </row>
    <row r="1567" spans="1:3" x14ac:dyDescent="0.3">
      <c r="A1567" s="1">
        <v>45031</v>
      </c>
      <c r="B1567">
        <v>3312574.2101101</v>
      </c>
      <c r="C1567">
        <f t="shared" si="28"/>
        <v>3650456.7795413304</v>
      </c>
    </row>
    <row r="1568" spans="1:3" x14ac:dyDescent="0.3">
      <c r="A1568" s="1">
        <v>45032</v>
      </c>
      <c r="B1568">
        <v>4992089.4860656196</v>
      </c>
      <c r="C1568">
        <f t="shared" si="28"/>
        <v>5501282.6136443131</v>
      </c>
    </row>
    <row r="1569" spans="1:3" x14ac:dyDescent="0.3">
      <c r="A1569" s="1">
        <v>45033</v>
      </c>
      <c r="B1569">
        <v>3255251.87798808</v>
      </c>
      <c r="C1569">
        <f t="shared" si="28"/>
        <v>3587287.5695428643</v>
      </c>
    </row>
    <row r="1570" spans="1:3" x14ac:dyDescent="0.3">
      <c r="A1570" s="1">
        <v>45034</v>
      </c>
      <c r="B1570">
        <v>4801007.2883970896</v>
      </c>
      <c r="C1570">
        <f t="shared" si="28"/>
        <v>5290710.0318135936</v>
      </c>
    </row>
    <row r="1571" spans="1:3" x14ac:dyDescent="0.3">
      <c r="A1571" s="1">
        <v>45035</v>
      </c>
      <c r="B1571">
        <v>3685087.9809886501</v>
      </c>
      <c r="C1571">
        <f t="shared" si="28"/>
        <v>4060966.9550494929</v>
      </c>
    </row>
    <row r="1572" spans="1:3" x14ac:dyDescent="0.3">
      <c r="A1572" s="1">
        <v>45036</v>
      </c>
      <c r="B1572">
        <v>4677912.6783528998</v>
      </c>
      <c r="C1572">
        <f t="shared" si="28"/>
        <v>5155059.7715448961</v>
      </c>
    </row>
    <row r="1573" spans="1:3" x14ac:dyDescent="0.3">
      <c r="A1573" s="1">
        <v>45037</v>
      </c>
      <c r="B1573">
        <v>3785685.0913140201</v>
      </c>
      <c r="C1573">
        <f t="shared" si="28"/>
        <v>4171824.9706280506</v>
      </c>
    </row>
    <row r="1574" spans="1:3" x14ac:dyDescent="0.3">
      <c r="A1574" s="1">
        <v>45038</v>
      </c>
      <c r="B1574">
        <v>5277252.0471504703</v>
      </c>
      <c r="C1574">
        <f t="shared" si="28"/>
        <v>5815531.7559598191</v>
      </c>
    </row>
    <row r="1575" spans="1:3" x14ac:dyDescent="0.3">
      <c r="A1575" s="1">
        <v>45039</v>
      </c>
      <c r="B1575">
        <v>3791360.3835453</v>
      </c>
      <c r="C1575">
        <f t="shared" si="28"/>
        <v>4178079.142666921</v>
      </c>
    </row>
    <row r="1576" spans="1:3" x14ac:dyDescent="0.3">
      <c r="A1576" s="1">
        <v>45040</v>
      </c>
      <c r="B1576">
        <v>4272433.8822202496</v>
      </c>
      <c r="C1576">
        <f t="shared" si="28"/>
        <v>4708222.1382067157</v>
      </c>
    </row>
    <row r="1577" spans="1:3" x14ac:dyDescent="0.3">
      <c r="A1577" s="1">
        <v>45041</v>
      </c>
      <c r="B1577">
        <v>4001869.63074347</v>
      </c>
      <c r="C1577">
        <f t="shared" si="28"/>
        <v>4410060.3330793045</v>
      </c>
    </row>
    <row r="1578" spans="1:3" x14ac:dyDescent="0.3">
      <c r="A1578" s="1">
        <v>45042</v>
      </c>
      <c r="B1578">
        <v>2993286.42167607</v>
      </c>
      <c r="C1578">
        <f t="shared" si="28"/>
        <v>3298601.6366870292</v>
      </c>
    </row>
    <row r="1579" spans="1:3" x14ac:dyDescent="0.3">
      <c r="A1579" s="1">
        <v>45043</v>
      </c>
      <c r="B1579">
        <v>3561742.5683818101</v>
      </c>
      <c r="C1579">
        <f t="shared" si="28"/>
        <v>3925040.3103567553</v>
      </c>
    </row>
    <row r="1580" spans="1:3" x14ac:dyDescent="0.3">
      <c r="A1580" s="1">
        <v>45044</v>
      </c>
      <c r="B1580">
        <v>3085550.8085276298</v>
      </c>
      <c r="C1580">
        <f t="shared" si="28"/>
        <v>3400276.9909974486</v>
      </c>
    </row>
    <row r="1581" spans="1:3" x14ac:dyDescent="0.3">
      <c r="A1581" s="1">
        <v>45045</v>
      </c>
      <c r="B1581">
        <v>4825911.30746812</v>
      </c>
      <c r="C1581">
        <f t="shared" si="28"/>
        <v>5318154.2608298687</v>
      </c>
    </row>
    <row r="1582" spans="1:3" x14ac:dyDescent="0.3">
      <c r="A1582" s="1">
        <v>45046</v>
      </c>
      <c r="B1582">
        <v>3424887.8736857101</v>
      </c>
      <c r="C1582">
        <f t="shared" si="28"/>
        <v>3774226.4368016529</v>
      </c>
    </row>
    <row r="1583" spans="1:3" x14ac:dyDescent="0.3">
      <c r="A1583" s="1">
        <v>45047</v>
      </c>
      <c r="B1583">
        <v>4825887.0316540999</v>
      </c>
      <c r="C1583">
        <f t="shared" si="28"/>
        <v>5318127.5088828187</v>
      </c>
    </row>
    <row r="1584" spans="1:3" x14ac:dyDescent="0.3">
      <c r="A1584" s="1">
        <v>45048</v>
      </c>
      <c r="B1584">
        <v>3489939.7409275901</v>
      </c>
      <c r="C1584">
        <f t="shared" si="28"/>
        <v>3845913.5945022046</v>
      </c>
    </row>
    <row r="1585" spans="1:3" x14ac:dyDescent="0.3">
      <c r="A1585" s="1">
        <v>45049</v>
      </c>
      <c r="B1585">
        <v>5246006.1424927302</v>
      </c>
      <c r="C1585">
        <f t="shared" si="28"/>
        <v>5781098.7690269891</v>
      </c>
    </row>
    <row r="1586" spans="1:3" x14ac:dyDescent="0.3">
      <c r="A1586" s="1">
        <v>45050</v>
      </c>
      <c r="B1586">
        <v>3231978.41524575</v>
      </c>
      <c r="C1586">
        <f t="shared" si="28"/>
        <v>3561640.2136008167</v>
      </c>
    </row>
    <row r="1587" spans="1:3" x14ac:dyDescent="0.3">
      <c r="A1587" s="1">
        <v>45051</v>
      </c>
      <c r="B1587">
        <v>3449284.4034095001</v>
      </c>
      <c r="C1587">
        <f t="shared" si="28"/>
        <v>3801111.4125572694</v>
      </c>
    </row>
    <row r="1588" spans="1:3" x14ac:dyDescent="0.3">
      <c r="A1588" s="1">
        <v>45052</v>
      </c>
      <c r="B1588">
        <v>5030397.2310378198</v>
      </c>
      <c r="C1588">
        <f t="shared" si="28"/>
        <v>5543497.7486036774</v>
      </c>
    </row>
    <row r="1589" spans="1:3" x14ac:dyDescent="0.3">
      <c r="A1589" s="1">
        <v>45053</v>
      </c>
      <c r="B1589">
        <v>4001060.8766674302</v>
      </c>
      <c r="C1589">
        <f t="shared" si="28"/>
        <v>4409169.0860875081</v>
      </c>
    </row>
    <row r="1590" spans="1:3" x14ac:dyDescent="0.3">
      <c r="A1590" s="1">
        <v>45054</v>
      </c>
      <c r="B1590">
        <v>4762707.9901417503</v>
      </c>
      <c r="C1590">
        <f t="shared" si="28"/>
        <v>5248504.2051362097</v>
      </c>
    </row>
    <row r="1591" spans="1:3" x14ac:dyDescent="0.3">
      <c r="A1591" s="1">
        <v>45055</v>
      </c>
      <c r="B1591">
        <v>4248964.0370521499</v>
      </c>
      <c r="C1591">
        <f t="shared" si="28"/>
        <v>4682358.3688314697</v>
      </c>
    </row>
    <row r="1592" spans="1:3" x14ac:dyDescent="0.3">
      <c r="A1592" s="1">
        <v>45056</v>
      </c>
      <c r="B1592">
        <v>4418745.868768</v>
      </c>
      <c r="C1592">
        <f t="shared" si="28"/>
        <v>4869457.9473823365</v>
      </c>
    </row>
    <row r="1593" spans="1:3" x14ac:dyDescent="0.3">
      <c r="A1593" s="1">
        <v>45057</v>
      </c>
      <c r="B1593">
        <v>5323806.51841392</v>
      </c>
      <c r="C1593">
        <f t="shared" si="28"/>
        <v>5866834.7832921399</v>
      </c>
    </row>
    <row r="1594" spans="1:3" x14ac:dyDescent="0.3">
      <c r="A1594" s="1">
        <v>45058</v>
      </c>
      <c r="B1594">
        <v>4517137.7369280197</v>
      </c>
      <c r="C1594">
        <f t="shared" si="28"/>
        <v>4977885.7860946776</v>
      </c>
    </row>
    <row r="1595" spans="1:3" x14ac:dyDescent="0.3">
      <c r="A1595" s="1">
        <v>45059</v>
      </c>
      <c r="B1595">
        <v>4031150.1935890601</v>
      </c>
      <c r="C1595">
        <f t="shared" si="28"/>
        <v>4442327.5133351441</v>
      </c>
    </row>
    <row r="1596" spans="1:3" x14ac:dyDescent="0.3">
      <c r="A1596" s="1">
        <v>45060</v>
      </c>
      <c r="B1596">
        <v>4973699.7697649598</v>
      </c>
      <c r="C1596">
        <f t="shared" si="28"/>
        <v>5481017.1462809863</v>
      </c>
    </row>
    <row r="1597" spans="1:3" x14ac:dyDescent="0.3">
      <c r="A1597" s="1">
        <v>45061</v>
      </c>
      <c r="B1597">
        <v>3569856.9206071501</v>
      </c>
      <c r="C1597">
        <f t="shared" si="28"/>
        <v>3933982.3265090799</v>
      </c>
    </row>
    <row r="1598" spans="1:3" x14ac:dyDescent="0.3">
      <c r="A1598" s="1">
        <v>45062</v>
      </c>
      <c r="B1598">
        <v>4646851.3033275995</v>
      </c>
      <c r="C1598">
        <f t="shared" si="28"/>
        <v>5120830.1362670148</v>
      </c>
    </row>
    <row r="1599" spans="1:3" x14ac:dyDescent="0.3">
      <c r="A1599" s="1">
        <v>45063</v>
      </c>
      <c r="B1599">
        <v>4681600.8924262701</v>
      </c>
      <c r="C1599">
        <f t="shared" si="28"/>
        <v>5159124.1834537499</v>
      </c>
    </row>
    <row r="1600" spans="1:3" x14ac:dyDescent="0.3">
      <c r="A1600" s="1">
        <v>45064</v>
      </c>
      <c r="B1600">
        <v>3703898.8154077101</v>
      </c>
      <c r="C1600">
        <f t="shared" si="28"/>
        <v>4081696.494579297</v>
      </c>
    </row>
    <row r="1601" spans="1:3" x14ac:dyDescent="0.3">
      <c r="A1601" s="1">
        <v>45065</v>
      </c>
      <c r="B1601">
        <v>4201517.37658187</v>
      </c>
      <c r="C1601">
        <f t="shared" si="28"/>
        <v>4630072.1489932211</v>
      </c>
    </row>
    <row r="1602" spans="1:3" x14ac:dyDescent="0.3">
      <c r="A1602" s="1">
        <v>45066</v>
      </c>
      <c r="B1602">
        <v>4680606.9210677296</v>
      </c>
      <c r="C1602">
        <f t="shared" si="28"/>
        <v>5158028.8270166386</v>
      </c>
    </row>
    <row r="1603" spans="1:3" x14ac:dyDescent="0.3">
      <c r="A1603" s="1">
        <v>45067</v>
      </c>
      <c r="B1603">
        <v>2840873.2808559099</v>
      </c>
      <c r="C1603">
        <f t="shared" ref="C1603:C1666" si="29">B1603*1.102</f>
        <v>3130642.3555032131</v>
      </c>
    </row>
    <row r="1604" spans="1:3" x14ac:dyDescent="0.3">
      <c r="A1604" s="1">
        <v>45068</v>
      </c>
      <c r="B1604">
        <v>3171695.0707638199</v>
      </c>
      <c r="C1604">
        <f t="shared" si="29"/>
        <v>3495207.9679817297</v>
      </c>
    </row>
    <row r="1605" spans="1:3" x14ac:dyDescent="0.3">
      <c r="A1605" s="1">
        <v>45069</v>
      </c>
      <c r="B1605">
        <v>2180038.4322282099</v>
      </c>
      <c r="C1605">
        <f t="shared" si="29"/>
        <v>2402402.3523154873</v>
      </c>
    </row>
    <row r="1606" spans="1:3" x14ac:dyDescent="0.3">
      <c r="A1606" s="1">
        <v>45070</v>
      </c>
      <c r="B1606">
        <v>3893366.5194769101</v>
      </c>
      <c r="C1606">
        <f t="shared" si="29"/>
        <v>4290489.9044635557</v>
      </c>
    </row>
    <row r="1607" spans="1:3" x14ac:dyDescent="0.3">
      <c r="A1607" s="1">
        <v>45071</v>
      </c>
      <c r="B1607">
        <v>5872116.7108348003</v>
      </c>
      <c r="C1607">
        <f t="shared" si="29"/>
        <v>6471072.6153399507</v>
      </c>
    </row>
    <row r="1608" spans="1:3" x14ac:dyDescent="0.3">
      <c r="A1608" s="1">
        <v>45072</v>
      </c>
      <c r="B1608">
        <v>2769103.90453895</v>
      </c>
      <c r="C1608">
        <f t="shared" si="29"/>
        <v>3051552.5028019231</v>
      </c>
    </row>
    <row r="1609" spans="1:3" x14ac:dyDescent="0.3">
      <c r="A1609" s="1">
        <v>45073</v>
      </c>
      <c r="B1609">
        <v>5052971.1639515096</v>
      </c>
      <c r="C1609">
        <f t="shared" si="29"/>
        <v>5568374.2226745645</v>
      </c>
    </row>
    <row r="1610" spans="1:3" x14ac:dyDescent="0.3">
      <c r="A1610" s="1">
        <v>45074</v>
      </c>
      <c r="B1610">
        <v>4791295.62985963</v>
      </c>
      <c r="C1610">
        <f t="shared" si="29"/>
        <v>5280007.784105313</v>
      </c>
    </row>
    <row r="1611" spans="1:3" x14ac:dyDescent="0.3">
      <c r="A1611" s="1">
        <v>45075</v>
      </c>
      <c r="B1611">
        <v>4436061.75774612</v>
      </c>
      <c r="C1611">
        <f t="shared" si="29"/>
        <v>4888540.0570362248</v>
      </c>
    </row>
    <row r="1612" spans="1:3" x14ac:dyDescent="0.3">
      <c r="A1612" s="1">
        <v>45076</v>
      </c>
      <c r="B1612">
        <v>3907539.2296042899</v>
      </c>
      <c r="C1612">
        <f t="shared" si="29"/>
        <v>4306108.2310239282</v>
      </c>
    </row>
    <row r="1613" spans="1:3" x14ac:dyDescent="0.3">
      <c r="A1613" s="1">
        <v>45077</v>
      </c>
      <c r="B1613">
        <v>4157352.2069535302</v>
      </c>
      <c r="C1613">
        <f t="shared" si="29"/>
        <v>4581402.1320627909</v>
      </c>
    </row>
    <row r="1614" spans="1:3" x14ac:dyDescent="0.3">
      <c r="A1614" s="1">
        <v>45078</v>
      </c>
      <c r="B1614">
        <v>2967629.69059321</v>
      </c>
      <c r="C1614">
        <f t="shared" si="29"/>
        <v>3270327.9190337178</v>
      </c>
    </row>
    <row r="1615" spans="1:3" x14ac:dyDescent="0.3">
      <c r="A1615" s="1">
        <v>45079</v>
      </c>
      <c r="B1615">
        <v>3729896.52069885</v>
      </c>
      <c r="C1615">
        <f t="shared" si="29"/>
        <v>4110345.9658101331</v>
      </c>
    </row>
    <row r="1616" spans="1:3" x14ac:dyDescent="0.3">
      <c r="A1616" s="1">
        <v>45080</v>
      </c>
      <c r="B1616">
        <v>5833646.3119410602</v>
      </c>
      <c r="C1616">
        <f t="shared" si="29"/>
        <v>6428678.2357590487</v>
      </c>
    </row>
    <row r="1617" spans="1:3" x14ac:dyDescent="0.3">
      <c r="A1617" s="1">
        <v>45081</v>
      </c>
      <c r="B1617">
        <v>5242442.0005620001</v>
      </c>
      <c r="C1617">
        <f t="shared" si="29"/>
        <v>5777171.0846193247</v>
      </c>
    </row>
    <row r="1618" spans="1:3" x14ac:dyDescent="0.3">
      <c r="A1618" s="1">
        <v>45082</v>
      </c>
      <c r="B1618">
        <v>5551896.6274085296</v>
      </c>
      <c r="C1618">
        <f t="shared" si="29"/>
        <v>6118190.0834042002</v>
      </c>
    </row>
    <row r="1619" spans="1:3" x14ac:dyDescent="0.3">
      <c r="A1619" s="1">
        <v>45083</v>
      </c>
      <c r="B1619">
        <v>3554171.1488911598</v>
      </c>
      <c r="C1619">
        <f t="shared" si="29"/>
        <v>3916696.6060780585</v>
      </c>
    </row>
    <row r="1620" spans="1:3" x14ac:dyDescent="0.3">
      <c r="A1620" s="1">
        <v>45084</v>
      </c>
      <c r="B1620">
        <v>4984882.1671444196</v>
      </c>
      <c r="C1620">
        <f t="shared" si="29"/>
        <v>5493340.1481931508</v>
      </c>
    </row>
    <row r="1621" spans="1:3" x14ac:dyDescent="0.3">
      <c r="A1621" s="1">
        <v>45085</v>
      </c>
      <c r="B1621">
        <v>3108675.1707752999</v>
      </c>
      <c r="C1621">
        <f t="shared" si="29"/>
        <v>3425760.0381943807</v>
      </c>
    </row>
    <row r="1622" spans="1:3" x14ac:dyDescent="0.3">
      <c r="A1622" s="1">
        <v>45086</v>
      </c>
      <c r="B1622">
        <v>4087003.4166550301</v>
      </c>
      <c r="C1622">
        <f t="shared" si="29"/>
        <v>4503877.7651538439</v>
      </c>
    </row>
    <row r="1623" spans="1:3" x14ac:dyDescent="0.3">
      <c r="A1623" s="1">
        <v>45087</v>
      </c>
      <c r="B1623">
        <v>5889179.5236105202</v>
      </c>
      <c r="C1623">
        <f t="shared" si="29"/>
        <v>6489875.8350187941</v>
      </c>
    </row>
    <row r="1624" spans="1:3" x14ac:dyDescent="0.3">
      <c r="A1624" s="1">
        <v>45088</v>
      </c>
      <c r="B1624">
        <v>4394975.1032021102</v>
      </c>
      <c r="C1624">
        <f t="shared" si="29"/>
        <v>4843262.5637287255</v>
      </c>
    </row>
    <row r="1625" spans="1:3" x14ac:dyDescent="0.3">
      <c r="A1625" s="1">
        <v>45089</v>
      </c>
      <c r="B1625">
        <v>5379124.3510736302</v>
      </c>
      <c r="C1625">
        <f t="shared" si="29"/>
        <v>5927795.0348831406</v>
      </c>
    </row>
    <row r="1626" spans="1:3" x14ac:dyDescent="0.3">
      <c r="A1626" s="1">
        <v>45090</v>
      </c>
      <c r="B1626">
        <v>4359120.1130040605</v>
      </c>
      <c r="C1626">
        <f t="shared" si="29"/>
        <v>4803750.3645304749</v>
      </c>
    </row>
    <row r="1627" spans="1:3" x14ac:dyDescent="0.3">
      <c r="A1627" s="1">
        <v>45091</v>
      </c>
      <c r="B1627">
        <v>3139341.3651651498</v>
      </c>
      <c r="C1627">
        <f t="shared" si="29"/>
        <v>3459554.1844119956</v>
      </c>
    </row>
    <row r="1628" spans="1:3" x14ac:dyDescent="0.3">
      <c r="A1628" s="1">
        <v>45092</v>
      </c>
      <c r="B1628">
        <v>5212336.5107759796</v>
      </c>
      <c r="C1628">
        <f t="shared" si="29"/>
        <v>5743994.8348751301</v>
      </c>
    </row>
    <row r="1629" spans="1:3" x14ac:dyDescent="0.3">
      <c r="A1629" s="1">
        <v>45093</v>
      </c>
      <c r="B1629">
        <v>4326223.0474469103</v>
      </c>
      <c r="C1629">
        <f t="shared" si="29"/>
        <v>4767497.7982864957</v>
      </c>
    </row>
    <row r="1630" spans="1:3" x14ac:dyDescent="0.3">
      <c r="A1630" s="1">
        <v>45094</v>
      </c>
      <c r="B1630">
        <v>3406959.75521946</v>
      </c>
      <c r="C1630">
        <f t="shared" si="29"/>
        <v>3754469.6502518454</v>
      </c>
    </row>
    <row r="1631" spans="1:3" x14ac:dyDescent="0.3">
      <c r="A1631" s="1">
        <v>45095</v>
      </c>
      <c r="B1631">
        <v>4731044.9852264598</v>
      </c>
      <c r="C1631">
        <f t="shared" si="29"/>
        <v>5213611.5737195592</v>
      </c>
    </row>
    <row r="1632" spans="1:3" x14ac:dyDescent="0.3">
      <c r="A1632" s="1">
        <v>45096</v>
      </c>
      <c r="B1632">
        <v>4133031.6304545901</v>
      </c>
      <c r="C1632">
        <f t="shared" si="29"/>
        <v>4554600.8567609582</v>
      </c>
    </row>
    <row r="1633" spans="1:3" x14ac:dyDescent="0.3">
      <c r="A1633" s="1">
        <v>45097</v>
      </c>
      <c r="B1633">
        <v>3997142.6323086601</v>
      </c>
      <c r="C1633">
        <f t="shared" si="29"/>
        <v>4404851.1808041437</v>
      </c>
    </row>
    <row r="1634" spans="1:3" x14ac:dyDescent="0.3">
      <c r="A1634" s="1">
        <v>45098</v>
      </c>
      <c r="B1634">
        <v>3002542.6533319801</v>
      </c>
      <c r="C1634">
        <f t="shared" si="29"/>
        <v>3308802.0039718426</v>
      </c>
    </row>
    <row r="1635" spans="1:3" x14ac:dyDescent="0.3">
      <c r="A1635" s="1">
        <v>45099</v>
      </c>
      <c r="B1635">
        <v>5127852.7291906998</v>
      </c>
      <c r="C1635">
        <f t="shared" si="29"/>
        <v>5650893.7075681519</v>
      </c>
    </row>
    <row r="1636" spans="1:3" x14ac:dyDescent="0.3">
      <c r="A1636" s="1">
        <v>45100</v>
      </c>
      <c r="B1636">
        <v>3720491.1765107499</v>
      </c>
      <c r="C1636">
        <f t="shared" si="29"/>
        <v>4099981.2765148468</v>
      </c>
    </row>
    <row r="1637" spans="1:3" x14ac:dyDescent="0.3">
      <c r="A1637" s="1">
        <v>45101</v>
      </c>
      <c r="B1637">
        <v>5505285.1614236701</v>
      </c>
      <c r="C1637">
        <f t="shared" si="29"/>
        <v>6066824.2478888854</v>
      </c>
    </row>
    <row r="1638" spans="1:3" x14ac:dyDescent="0.3">
      <c r="A1638" s="1">
        <v>45102</v>
      </c>
      <c r="B1638">
        <v>4006624.9035446299</v>
      </c>
      <c r="C1638">
        <f t="shared" si="29"/>
        <v>4415300.6437061829</v>
      </c>
    </row>
    <row r="1639" spans="1:3" x14ac:dyDescent="0.3">
      <c r="A1639" s="1">
        <v>45103</v>
      </c>
      <c r="B1639">
        <v>4241502.78564109</v>
      </c>
      <c r="C1639">
        <f t="shared" si="29"/>
        <v>4674136.0697764819</v>
      </c>
    </row>
    <row r="1640" spans="1:3" x14ac:dyDescent="0.3">
      <c r="A1640" s="1">
        <v>45104</v>
      </c>
      <c r="B1640">
        <v>3223400.62644671</v>
      </c>
      <c r="C1640">
        <f t="shared" si="29"/>
        <v>3552187.4903442748</v>
      </c>
    </row>
    <row r="1641" spans="1:3" x14ac:dyDescent="0.3">
      <c r="A1641" s="1">
        <v>45105</v>
      </c>
      <c r="B1641">
        <v>3977561.7146037202</v>
      </c>
      <c r="C1641">
        <f t="shared" si="29"/>
        <v>4383273.0094932998</v>
      </c>
    </row>
    <row r="1642" spans="1:3" x14ac:dyDescent="0.3">
      <c r="A1642" s="1">
        <v>45106</v>
      </c>
      <c r="B1642">
        <v>4501280.7582251402</v>
      </c>
      <c r="C1642">
        <f t="shared" si="29"/>
        <v>4960411.3955641044</v>
      </c>
    </row>
    <row r="1643" spans="1:3" x14ac:dyDescent="0.3">
      <c r="A1643" s="1">
        <v>45107</v>
      </c>
      <c r="B1643">
        <v>4757505.9260362899</v>
      </c>
      <c r="C1643">
        <f t="shared" si="29"/>
        <v>5242771.5304919919</v>
      </c>
    </row>
    <row r="1644" spans="1:3" x14ac:dyDescent="0.3">
      <c r="A1644" s="1">
        <v>45108</v>
      </c>
      <c r="B1644">
        <v>3437337.8412027801</v>
      </c>
      <c r="C1644">
        <f t="shared" si="29"/>
        <v>3787946.301005464</v>
      </c>
    </row>
    <row r="1645" spans="1:3" x14ac:dyDescent="0.3">
      <c r="A1645" s="1">
        <v>45109</v>
      </c>
      <c r="B1645">
        <v>4230368.0389152803</v>
      </c>
      <c r="C1645">
        <f t="shared" si="29"/>
        <v>4661865.5788846388</v>
      </c>
    </row>
    <row r="1646" spans="1:3" x14ac:dyDescent="0.3">
      <c r="A1646" s="1">
        <v>45110</v>
      </c>
      <c r="B1646">
        <v>4760923.2889924897</v>
      </c>
      <c r="C1646">
        <f t="shared" si="29"/>
        <v>5246537.4644697243</v>
      </c>
    </row>
    <row r="1647" spans="1:3" x14ac:dyDescent="0.3">
      <c r="A1647" s="1">
        <v>45111</v>
      </c>
      <c r="B1647">
        <v>3824531.98797146</v>
      </c>
      <c r="C1647">
        <f t="shared" si="29"/>
        <v>4214634.2507445496</v>
      </c>
    </row>
    <row r="1648" spans="1:3" x14ac:dyDescent="0.3">
      <c r="A1648" s="1">
        <v>45112</v>
      </c>
      <c r="B1648">
        <v>5749780.9704279397</v>
      </c>
      <c r="C1648">
        <f t="shared" si="29"/>
        <v>6336258.6294115903</v>
      </c>
    </row>
    <row r="1649" spans="1:3" x14ac:dyDescent="0.3">
      <c r="A1649" s="1">
        <v>45113</v>
      </c>
      <c r="B1649">
        <v>4499475.8070220901</v>
      </c>
      <c r="C1649">
        <f t="shared" si="29"/>
        <v>4958422.3393383436</v>
      </c>
    </row>
    <row r="1650" spans="1:3" x14ac:dyDescent="0.3">
      <c r="A1650" s="1">
        <v>45114</v>
      </c>
      <c r="B1650">
        <v>4407376.2101799799</v>
      </c>
      <c r="C1650">
        <f t="shared" si="29"/>
        <v>4856928.5836183382</v>
      </c>
    </row>
    <row r="1651" spans="1:3" x14ac:dyDescent="0.3">
      <c r="A1651" s="1">
        <v>45115</v>
      </c>
      <c r="B1651">
        <v>3640398.1884774198</v>
      </c>
      <c r="C1651">
        <f t="shared" si="29"/>
        <v>4011718.8037021169</v>
      </c>
    </row>
    <row r="1652" spans="1:3" x14ac:dyDescent="0.3">
      <c r="A1652" s="1">
        <v>45116</v>
      </c>
      <c r="B1652">
        <v>3969946.8493301198</v>
      </c>
      <c r="C1652">
        <f t="shared" si="29"/>
        <v>4374881.4279617928</v>
      </c>
    </row>
    <row r="1653" spans="1:3" x14ac:dyDescent="0.3">
      <c r="A1653" s="1">
        <v>45117</v>
      </c>
      <c r="B1653">
        <v>4935436.0863694102</v>
      </c>
      <c r="C1653">
        <f t="shared" si="29"/>
        <v>5438850.5671790903</v>
      </c>
    </row>
    <row r="1654" spans="1:3" x14ac:dyDescent="0.3">
      <c r="A1654" s="1">
        <v>45118</v>
      </c>
      <c r="B1654">
        <v>4028055.5208333801</v>
      </c>
      <c r="C1654">
        <f t="shared" si="29"/>
        <v>4438917.1839583851</v>
      </c>
    </row>
    <row r="1655" spans="1:3" x14ac:dyDescent="0.3">
      <c r="A1655" s="1">
        <v>45119</v>
      </c>
      <c r="B1655">
        <v>3805107.4183616801</v>
      </c>
      <c r="C1655">
        <f t="shared" si="29"/>
        <v>4193228.3750345716</v>
      </c>
    </row>
    <row r="1656" spans="1:3" x14ac:dyDescent="0.3">
      <c r="A1656" s="1">
        <v>45120</v>
      </c>
      <c r="B1656">
        <v>5206780.6448138701</v>
      </c>
      <c r="C1656">
        <f t="shared" si="29"/>
        <v>5737872.270584885</v>
      </c>
    </row>
    <row r="1657" spans="1:3" x14ac:dyDescent="0.3">
      <c r="A1657" s="1">
        <v>45121</v>
      </c>
      <c r="B1657">
        <v>3423629.1014596</v>
      </c>
      <c r="C1657">
        <f t="shared" si="29"/>
        <v>3772839.2698084796</v>
      </c>
    </row>
    <row r="1658" spans="1:3" x14ac:dyDescent="0.3">
      <c r="A1658" s="1">
        <v>45122</v>
      </c>
      <c r="B1658">
        <v>3776406.53597729</v>
      </c>
      <c r="C1658">
        <f t="shared" si="29"/>
        <v>4161600.0026469738</v>
      </c>
    </row>
    <row r="1659" spans="1:3" x14ac:dyDescent="0.3">
      <c r="A1659" s="1">
        <v>45123</v>
      </c>
      <c r="B1659">
        <v>4831441.6214895397</v>
      </c>
      <c r="C1659">
        <f t="shared" si="29"/>
        <v>5324248.6668814728</v>
      </c>
    </row>
    <row r="1660" spans="1:3" x14ac:dyDescent="0.3">
      <c r="A1660" s="1">
        <v>45124</v>
      </c>
      <c r="B1660">
        <v>4244795.6891565304</v>
      </c>
      <c r="C1660">
        <f t="shared" si="29"/>
        <v>4677764.849450497</v>
      </c>
    </row>
    <row r="1661" spans="1:3" x14ac:dyDescent="0.3">
      <c r="A1661" s="1">
        <v>45125</v>
      </c>
      <c r="B1661">
        <v>4447988.41101244</v>
      </c>
      <c r="C1661">
        <f t="shared" si="29"/>
        <v>4901683.2289357092</v>
      </c>
    </row>
    <row r="1662" spans="1:3" x14ac:dyDescent="0.3">
      <c r="A1662" s="1">
        <v>45126</v>
      </c>
      <c r="B1662">
        <v>4882529.5146991098</v>
      </c>
      <c r="C1662">
        <f t="shared" si="29"/>
        <v>5380547.5251984196</v>
      </c>
    </row>
    <row r="1663" spans="1:3" x14ac:dyDescent="0.3">
      <c r="A1663" s="1">
        <v>45127</v>
      </c>
      <c r="B1663">
        <v>5213619.2402164303</v>
      </c>
      <c r="C1663">
        <f t="shared" si="29"/>
        <v>5745408.4027185068</v>
      </c>
    </row>
    <row r="1664" spans="1:3" x14ac:dyDescent="0.3">
      <c r="A1664" s="1">
        <v>45128</v>
      </c>
      <c r="B1664">
        <v>2841853.0559970099</v>
      </c>
      <c r="C1664">
        <f t="shared" si="29"/>
        <v>3131722.0677087051</v>
      </c>
    </row>
    <row r="1665" spans="1:3" x14ac:dyDescent="0.3">
      <c r="A1665" s="1">
        <v>45129</v>
      </c>
      <c r="B1665">
        <v>3466747.02472927</v>
      </c>
      <c r="C1665">
        <f t="shared" si="29"/>
        <v>3820355.2212516558</v>
      </c>
    </row>
    <row r="1666" spans="1:3" x14ac:dyDescent="0.3">
      <c r="A1666" s="1">
        <v>45130</v>
      </c>
      <c r="B1666">
        <v>3329313.2046358101</v>
      </c>
      <c r="C1666">
        <f t="shared" si="29"/>
        <v>3668903.1515086628</v>
      </c>
    </row>
    <row r="1667" spans="1:3" x14ac:dyDescent="0.3">
      <c r="A1667" s="1">
        <v>45131</v>
      </c>
      <c r="B1667">
        <v>4261208.8218095498</v>
      </c>
      <c r="C1667">
        <f t="shared" ref="C1667:C1730" si="30">B1667*1.102</f>
        <v>4695852.1216341238</v>
      </c>
    </row>
    <row r="1668" spans="1:3" x14ac:dyDescent="0.3">
      <c r="A1668" s="1">
        <v>45132</v>
      </c>
      <c r="B1668">
        <v>4078404.20689716</v>
      </c>
      <c r="C1668">
        <f t="shared" si="30"/>
        <v>4494401.4360006703</v>
      </c>
    </row>
    <row r="1669" spans="1:3" x14ac:dyDescent="0.3">
      <c r="A1669" s="1">
        <v>45133</v>
      </c>
      <c r="B1669">
        <v>3549413.4957126901</v>
      </c>
      <c r="C1669">
        <f t="shared" si="30"/>
        <v>3911453.6722753849</v>
      </c>
    </row>
    <row r="1670" spans="1:3" x14ac:dyDescent="0.3">
      <c r="A1670" s="1">
        <v>45134</v>
      </c>
      <c r="B1670">
        <v>4223652.3676217198</v>
      </c>
      <c r="C1670">
        <f t="shared" si="30"/>
        <v>4654464.9091191357</v>
      </c>
    </row>
    <row r="1671" spans="1:3" x14ac:dyDescent="0.3">
      <c r="A1671" s="1">
        <v>45135</v>
      </c>
      <c r="B1671">
        <v>4535955.0906941304</v>
      </c>
      <c r="C1671">
        <f t="shared" si="30"/>
        <v>4998622.5099449325</v>
      </c>
    </row>
    <row r="1672" spans="1:3" x14ac:dyDescent="0.3">
      <c r="A1672" s="1">
        <v>45136</v>
      </c>
      <c r="B1672">
        <v>3797510.3082735999</v>
      </c>
      <c r="C1672">
        <f t="shared" si="30"/>
        <v>4184856.3597175074</v>
      </c>
    </row>
    <row r="1673" spans="1:3" x14ac:dyDescent="0.3">
      <c r="A1673" s="1">
        <v>45137</v>
      </c>
      <c r="B1673">
        <v>3247181.0111366399</v>
      </c>
      <c r="C1673">
        <f t="shared" si="30"/>
        <v>3578393.4742725776</v>
      </c>
    </row>
    <row r="1674" spans="1:3" x14ac:dyDescent="0.3">
      <c r="A1674" s="1">
        <v>45138</v>
      </c>
      <c r="B1674">
        <v>4934739.1413023099</v>
      </c>
      <c r="C1674">
        <f t="shared" si="30"/>
        <v>5438082.5337151457</v>
      </c>
    </row>
    <row r="1675" spans="1:3" x14ac:dyDescent="0.3">
      <c r="A1675" s="1">
        <v>45139</v>
      </c>
      <c r="B1675">
        <v>4482285.0615702895</v>
      </c>
      <c r="C1675">
        <f t="shared" si="30"/>
        <v>4939478.1378504597</v>
      </c>
    </row>
    <row r="1676" spans="1:3" x14ac:dyDescent="0.3">
      <c r="A1676" s="1">
        <v>45140</v>
      </c>
      <c r="B1676">
        <v>4254167.5733270003</v>
      </c>
      <c r="C1676">
        <f t="shared" si="30"/>
        <v>4688092.665806355</v>
      </c>
    </row>
    <row r="1677" spans="1:3" x14ac:dyDescent="0.3">
      <c r="A1677" s="1">
        <v>45141</v>
      </c>
      <c r="B1677">
        <v>5054709.7930613104</v>
      </c>
      <c r="C1677">
        <f t="shared" si="30"/>
        <v>5570290.191953565</v>
      </c>
    </row>
    <row r="1678" spans="1:3" x14ac:dyDescent="0.3">
      <c r="A1678" s="1">
        <v>45142</v>
      </c>
      <c r="B1678">
        <v>3467732.4310101401</v>
      </c>
      <c r="C1678">
        <f t="shared" si="30"/>
        <v>3821441.1389731746</v>
      </c>
    </row>
    <row r="1679" spans="1:3" x14ac:dyDescent="0.3">
      <c r="A1679" s="1">
        <v>45143</v>
      </c>
      <c r="B1679">
        <v>3585137.61940519</v>
      </c>
      <c r="C1679">
        <f t="shared" si="30"/>
        <v>3950821.6565845199</v>
      </c>
    </row>
    <row r="1680" spans="1:3" x14ac:dyDescent="0.3">
      <c r="A1680" s="1">
        <v>45144</v>
      </c>
      <c r="B1680">
        <v>4355850.3177630799</v>
      </c>
      <c r="C1680">
        <f t="shared" si="30"/>
        <v>4800147.0501749143</v>
      </c>
    </row>
    <row r="1681" spans="1:3" x14ac:dyDescent="0.3">
      <c r="A1681" s="1">
        <v>45145</v>
      </c>
      <c r="B1681">
        <v>4370588.3963513598</v>
      </c>
      <c r="C1681">
        <f t="shared" si="30"/>
        <v>4816388.412779199</v>
      </c>
    </row>
    <row r="1682" spans="1:3" x14ac:dyDescent="0.3">
      <c r="A1682" s="1">
        <v>45146</v>
      </c>
      <c r="B1682">
        <v>3310440.6784917898</v>
      </c>
      <c r="C1682">
        <f t="shared" si="30"/>
        <v>3648105.6276979526</v>
      </c>
    </row>
    <row r="1683" spans="1:3" x14ac:dyDescent="0.3">
      <c r="A1683" s="1">
        <v>45147</v>
      </c>
      <c r="B1683">
        <v>4851124.87662951</v>
      </c>
      <c r="C1683">
        <f t="shared" si="30"/>
        <v>5345939.6140457205</v>
      </c>
    </row>
    <row r="1684" spans="1:3" x14ac:dyDescent="0.3">
      <c r="A1684" s="1">
        <v>45148</v>
      </c>
      <c r="B1684">
        <v>3930658.2818546901</v>
      </c>
      <c r="C1684">
        <f t="shared" si="30"/>
        <v>4331585.4266038686</v>
      </c>
    </row>
    <row r="1685" spans="1:3" x14ac:dyDescent="0.3">
      <c r="A1685" s="1">
        <v>45149</v>
      </c>
      <c r="B1685">
        <v>3751812.5664963699</v>
      </c>
      <c r="C1685">
        <f t="shared" si="30"/>
        <v>4134497.4482789999</v>
      </c>
    </row>
    <row r="1686" spans="1:3" x14ac:dyDescent="0.3">
      <c r="A1686" s="1">
        <v>45150</v>
      </c>
      <c r="B1686">
        <v>4745577.6676713396</v>
      </c>
      <c r="C1686">
        <f t="shared" si="30"/>
        <v>5229626.589773817</v>
      </c>
    </row>
    <row r="1687" spans="1:3" x14ac:dyDescent="0.3">
      <c r="A1687" s="1">
        <v>45151</v>
      </c>
      <c r="B1687">
        <v>5099791.6859849095</v>
      </c>
      <c r="C1687">
        <f t="shared" si="30"/>
        <v>5619970.4379553711</v>
      </c>
    </row>
    <row r="1688" spans="1:3" x14ac:dyDescent="0.3">
      <c r="A1688" s="1">
        <v>45152</v>
      </c>
      <c r="B1688">
        <v>3547575.7000889499</v>
      </c>
      <c r="C1688">
        <f t="shared" si="30"/>
        <v>3909428.421498023</v>
      </c>
    </row>
    <row r="1689" spans="1:3" x14ac:dyDescent="0.3">
      <c r="A1689" s="1">
        <v>45153</v>
      </c>
      <c r="B1689">
        <v>3971479.76340571</v>
      </c>
      <c r="C1689">
        <f t="shared" si="30"/>
        <v>4376570.6992730927</v>
      </c>
    </row>
    <row r="1690" spans="1:3" x14ac:dyDescent="0.3">
      <c r="A1690" s="1">
        <v>45154</v>
      </c>
      <c r="B1690">
        <v>3286359.2410796699</v>
      </c>
      <c r="C1690">
        <f t="shared" si="30"/>
        <v>3621567.8836697964</v>
      </c>
    </row>
    <row r="1691" spans="1:3" x14ac:dyDescent="0.3">
      <c r="A1691" s="1">
        <v>45155</v>
      </c>
      <c r="B1691">
        <v>4635275.8983181398</v>
      </c>
      <c r="C1691">
        <f t="shared" si="30"/>
        <v>5108074.0399465906</v>
      </c>
    </row>
    <row r="1692" spans="1:3" x14ac:dyDescent="0.3">
      <c r="A1692" s="1">
        <v>45156</v>
      </c>
      <c r="B1692">
        <v>3970562.5093336999</v>
      </c>
      <c r="C1692">
        <f t="shared" si="30"/>
        <v>4375559.8852857379</v>
      </c>
    </row>
    <row r="1693" spans="1:3" x14ac:dyDescent="0.3">
      <c r="A1693" s="1">
        <v>45157</v>
      </c>
      <c r="B1693">
        <v>4668252.4505797699</v>
      </c>
      <c r="C1693">
        <f t="shared" si="30"/>
        <v>5144414.2005389072</v>
      </c>
    </row>
    <row r="1694" spans="1:3" x14ac:dyDescent="0.3">
      <c r="A1694" s="1">
        <v>45158</v>
      </c>
      <c r="B1694">
        <v>4965806.6473611202</v>
      </c>
      <c r="C1694">
        <f t="shared" si="30"/>
        <v>5472318.9253919553</v>
      </c>
    </row>
    <row r="1695" spans="1:3" x14ac:dyDescent="0.3">
      <c r="A1695" s="1">
        <v>45159</v>
      </c>
      <c r="B1695">
        <v>3936397.6423578002</v>
      </c>
      <c r="C1695">
        <f t="shared" si="30"/>
        <v>4337910.2018782962</v>
      </c>
    </row>
    <row r="1696" spans="1:3" x14ac:dyDescent="0.3">
      <c r="A1696" s="1">
        <v>45160</v>
      </c>
      <c r="B1696">
        <v>4082867.1894900999</v>
      </c>
      <c r="C1696">
        <f t="shared" si="30"/>
        <v>4499319.6428180905</v>
      </c>
    </row>
    <row r="1697" spans="1:3" x14ac:dyDescent="0.3">
      <c r="A1697" s="1">
        <v>45161</v>
      </c>
      <c r="B1697">
        <v>4378346.7934406698</v>
      </c>
      <c r="C1697">
        <f t="shared" si="30"/>
        <v>4824938.1663716184</v>
      </c>
    </row>
    <row r="1698" spans="1:3" x14ac:dyDescent="0.3">
      <c r="A1698" s="1">
        <v>45162</v>
      </c>
      <c r="B1698">
        <v>4695766.2541786097</v>
      </c>
      <c r="C1698">
        <f t="shared" si="30"/>
        <v>5174734.4121048283</v>
      </c>
    </row>
    <row r="1699" spans="1:3" x14ac:dyDescent="0.3">
      <c r="A1699" s="1">
        <v>45163</v>
      </c>
      <c r="B1699">
        <v>3187244.4060809999</v>
      </c>
      <c r="C1699">
        <f t="shared" si="30"/>
        <v>3512343.335501262</v>
      </c>
    </row>
    <row r="1700" spans="1:3" x14ac:dyDescent="0.3">
      <c r="A1700" s="1">
        <v>45164</v>
      </c>
      <c r="B1700">
        <v>4311913.6989305904</v>
      </c>
      <c r="C1700">
        <f t="shared" si="30"/>
        <v>4751728.8962215111</v>
      </c>
    </row>
    <row r="1701" spans="1:3" x14ac:dyDescent="0.3">
      <c r="A1701" s="1">
        <v>45165</v>
      </c>
      <c r="B1701">
        <v>2599433.5280397502</v>
      </c>
      <c r="C1701">
        <f t="shared" si="30"/>
        <v>2864575.7478998047</v>
      </c>
    </row>
    <row r="1702" spans="1:3" x14ac:dyDescent="0.3">
      <c r="A1702" s="1">
        <v>45166</v>
      </c>
      <c r="B1702">
        <v>4464085.73470686</v>
      </c>
      <c r="C1702">
        <f t="shared" si="30"/>
        <v>4919422.4796469603</v>
      </c>
    </row>
    <row r="1703" spans="1:3" x14ac:dyDescent="0.3">
      <c r="A1703" s="1">
        <v>45167</v>
      </c>
      <c r="B1703">
        <v>3494862.80430939</v>
      </c>
      <c r="C1703">
        <f t="shared" si="30"/>
        <v>3851338.810348948</v>
      </c>
    </row>
    <row r="1704" spans="1:3" x14ac:dyDescent="0.3">
      <c r="A1704" s="1">
        <v>45168</v>
      </c>
      <c r="B1704">
        <v>4067412.2371903802</v>
      </c>
      <c r="C1704">
        <f t="shared" si="30"/>
        <v>4482288.2853837991</v>
      </c>
    </row>
    <row r="1705" spans="1:3" x14ac:dyDescent="0.3">
      <c r="A1705" s="1">
        <v>45169</v>
      </c>
      <c r="B1705">
        <v>3208072.5742420801</v>
      </c>
      <c r="C1705">
        <f t="shared" si="30"/>
        <v>3535295.9768147725</v>
      </c>
    </row>
    <row r="1706" spans="1:3" x14ac:dyDescent="0.3">
      <c r="A1706" s="1">
        <v>45170</v>
      </c>
      <c r="B1706">
        <v>4861601.9414968202</v>
      </c>
      <c r="C1706">
        <f t="shared" si="30"/>
        <v>5357485.3395294966</v>
      </c>
    </row>
    <row r="1707" spans="1:3" x14ac:dyDescent="0.3">
      <c r="A1707" s="1">
        <v>45171</v>
      </c>
      <c r="B1707">
        <v>4192941.0795104099</v>
      </c>
      <c r="C1707">
        <f t="shared" si="30"/>
        <v>4620621.0696204724</v>
      </c>
    </row>
    <row r="1708" spans="1:3" x14ac:dyDescent="0.3">
      <c r="A1708" s="1">
        <v>45172</v>
      </c>
      <c r="B1708">
        <v>3822637.3430599999</v>
      </c>
      <c r="C1708">
        <f t="shared" si="30"/>
        <v>4212546.3520521205</v>
      </c>
    </row>
    <row r="1709" spans="1:3" x14ac:dyDescent="0.3">
      <c r="A1709" s="1">
        <v>45173</v>
      </c>
      <c r="B1709">
        <v>4705054.4071057197</v>
      </c>
      <c r="C1709">
        <f t="shared" si="30"/>
        <v>5184969.9566305038</v>
      </c>
    </row>
    <row r="1710" spans="1:3" x14ac:dyDescent="0.3">
      <c r="A1710" s="1">
        <v>45174</v>
      </c>
      <c r="B1710">
        <v>4222442.2592110904</v>
      </c>
      <c r="C1710">
        <f t="shared" si="30"/>
        <v>4653131.3696506219</v>
      </c>
    </row>
    <row r="1711" spans="1:3" x14ac:dyDescent="0.3">
      <c r="A1711" s="1">
        <v>45175</v>
      </c>
      <c r="B1711">
        <v>3987553.6990110902</v>
      </c>
      <c r="C1711">
        <f t="shared" si="30"/>
        <v>4394284.1763102217</v>
      </c>
    </row>
    <row r="1712" spans="1:3" x14ac:dyDescent="0.3">
      <c r="A1712" s="1">
        <v>45176</v>
      </c>
      <c r="B1712">
        <v>4432524.3080755696</v>
      </c>
      <c r="C1712">
        <f t="shared" si="30"/>
        <v>4884641.7874992779</v>
      </c>
    </row>
    <row r="1713" spans="1:3" x14ac:dyDescent="0.3">
      <c r="A1713" s="1">
        <v>45177</v>
      </c>
      <c r="B1713">
        <v>4160810.9213802801</v>
      </c>
      <c r="C1713">
        <f t="shared" si="30"/>
        <v>4585213.6353610689</v>
      </c>
    </row>
    <row r="1714" spans="1:3" x14ac:dyDescent="0.3">
      <c r="A1714" s="1">
        <v>45178</v>
      </c>
      <c r="B1714">
        <v>4180243.5777767701</v>
      </c>
      <c r="C1714">
        <f t="shared" si="30"/>
        <v>4606628.4227100015</v>
      </c>
    </row>
    <row r="1715" spans="1:3" x14ac:dyDescent="0.3">
      <c r="A1715" s="1">
        <v>45179</v>
      </c>
      <c r="B1715">
        <v>4235280.7907678904</v>
      </c>
      <c r="C1715">
        <f t="shared" si="30"/>
        <v>4667279.4314262159</v>
      </c>
    </row>
    <row r="1716" spans="1:3" x14ac:dyDescent="0.3">
      <c r="A1716" s="1">
        <v>45180</v>
      </c>
      <c r="B1716">
        <v>4875403.26916527</v>
      </c>
      <c r="C1716">
        <f t="shared" si="30"/>
        <v>5372694.4026201284</v>
      </c>
    </row>
    <row r="1717" spans="1:3" x14ac:dyDescent="0.3">
      <c r="A1717" s="1">
        <v>45181</v>
      </c>
      <c r="B1717">
        <v>3199029.5649402398</v>
      </c>
      <c r="C1717">
        <f t="shared" si="30"/>
        <v>3525330.5805641445</v>
      </c>
    </row>
    <row r="1718" spans="1:3" x14ac:dyDescent="0.3">
      <c r="A1718" s="1">
        <v>45182</v>
      </c>
      <c r="B1718">
        <v>3508075.23074691</v>
      </c>
      <c r="C1718">
        <f t="shared" si="30"/>
        <v>3865898.9042830952</v>
      </c>
    </row>
    <row r="1719" spans="1:3" x14ac:dyDescent="0.3">
      <c r="A1719" s="1">
        <v>45183</v>
      </c>
      <c r="B1719">
        <v>5826141.4889795203</v>
      </c>
      <c r="C1719">
        <f t="shared" si="30"/>
        <v>6420407.9208554318</v>
      </c>
    </row>
    <row r="1720" spans="1:3" x14ac:dyDescent="0.3">
      <c r="A1720" s="1">
        <v>45184</v>
      </c>
      <c r="B1720">
        <v>3134900.35786886</v>
      </c>
      <c r="C1720">
        <f t="shared" si="30"/>
        <v>3454660.1943714842</v>
      </c>
    </row>
    <row r="1721" spans="1:3" x14ac:dyDescent="0.3">
      <c r="A1721" s="1">
        <v>45185</v>
      </c>
      <c r="B1721">
        <v>3112580.9954374302</v>
      </c>
      <c r="C1721">
        <f t="shared" si="30"/>
        <v>3430064.2569720484</v>
      </c>
    </row>
    <row r="1722" spans="1:3" x14ac:dyDescent="0.3">
      <c r="A1722" s="1">
        <v>45186</v>
      </c>
      <c r="B1722">
        <v>3347778.8338043601</v>
      </c>
      <c r="C1722">
        <f t="shared" si="30"/>
        <v>3689252.2748524053</v>
      </c>
    </row>
    <row r="1723" spans="1:3" x14ac:dyDescent="0.3">
      <c r="A1723" s="1">
        <v>45187</v>
      </c>
      <c r="B1723">
        <v>3358761.7860430498</v>
      </c>
      <c r="C1723">
        <f t="shared" si="30"/>
        <v>3701355.4882194414</v>
      </c>
    </row>
    <row r="1724" spans="1:3" x14ac:dyDescent="0.3">
      <c r="A1724" s="1">
        <v>45188</v>
      </c>
      <c r="B1724">
        <v>4472460.2489694199</v>
      </c>
      <c r="C1724">
        <f t="shared" si="30"/>
        <v>4928651.1943643009</v>
      </c>
    </row>
    <row r="1725" spans="1:3" x14ac:dyDescent="0.3">
      <c r="A1725" s="1">
        <v>45189</v>
      </c>
      <c r="B1725">
        <v>4778858.1366970101</v>
      </c>
      <c r="C1725">
        <f t="shared" si="30"/>
        <v>5266301.6666401057</v>
      </c>
    </row>
    <row r="1726" spans="1:3" x14ac:dyDescent="0.3">
      <c r="A1726" s="1">
        <v>45190</v>
      </c>
      <c r="B1726">
        <v>3038470.2852764102</v>
      </c>
      <c r="C1726">
        <f t="shared" si="30"/>
        <v>3348394.2543746042</v>
      </c>
    </row>
    <row r="1727" spans="1:3" x14ac:dyDescent="0.3">
      <c r="A1727" s="1">
        <v>45191</v>
      </c>
      <c r="B1727">
        <v>5396575.9068425</v>
      </c>
      <c r="C1727">
        <f t="shared" si="30"/>
        <v>5947026.6493404359</v>
      </c>
    </row>
    <row r="1728" spans="1:3" x14ac:dyDescent="0.3">
      <c r="A1728" s="1">
        <v>45192</v>
      </c>
      <c r="B1728">
        <v>2748802.5833484898</v>
      </c>
      <c r="C1728">
        <f t="shared" si="30"/>
        <v>3029180.4468500363</v>
      </c>
    </row>
    <row r="1729" spans="1:3" x14ac:dyDescent="0.3">
      <c r="A1729" s="1">
        <v>45193</v>
      </c>
      <c r="B1729">
        <v>3849471.7255553799</v>
      </c>
      <c r="C1729">
        <f t="shared" si="30"/>
        <v>4242117.841562029</v>
      </c>
    </row>
    <row r="1730" spans="1:3" x14ac:dyDescent="0.3">
      <c r="A1730" s="1">
        <v>45194</v>
      </c>
      <c r="B1730">
        <v>4471074.4256064603</v>
      </c>
      <c r="C1730">
        <f t="shared" si="30"/>
        <v>4927124.01701832</v>
      </c>
    </row>
    <row r="1731" spans="1:3" x14ac:dyDescent="0.3">
      <c r="A1731" s="1">
        <v>45195</v>
      </c>
      <c r="B1731">
        <v>4190355.13673442</v>
      </c>
      <c r="C1731">
        <f t="shared" ref="C1731:C1794" si="31">B1731*1.102</f>
        <v>4617771.3606813308</v>
      </c>
    </row>
    <row r="1732" spans="1:3" x14ac:dyDescent="0.3">
      <c r="A1732" s="1">
        <v>45196</v>
      </c>
      <c r="B1732">
        <v>3750506.6846226202</v>
      </c>
      <c r="C1732">
        <f t="shared" si="31"/>
        <v>4133058.3664541277</v>
      </c>
    </row>
    <row r="1733" spans="1:3" x14ac:dyDescent="0.3">
      <c r="A1733" s="1">
        <v>45197</v>
      </c>
      <c r="B1733">
        <v>3933265.5923922202</v>
      </c>
      <c r="C1733">
        <f t="shared" si="31"/>
        <v>4334458.682816227</v>
      </c>
    </row>
    <row r="1734" spans="1:3" x14ac:dyDescent="0.3">
      <c r="A1734" s="1">
        <v>45198</v>
      </c>
      <c r="B1734">
        <v>3251292.67202042</v>
      </c>
      <c r="C1734">
        <f t="shared" si="31"/>
        <v>3582924.5245665032</v>
      </c>
    </row>
    <row r="1735" spans="1:3" x14ac:dyDescent="0.3">
      <c r="A1735" s="1">
        <v>45199</v>
      </c>
      <c r="B1735">
        <v>5133326.7076516803</v>
      </c>
      <c r="C1735">
        <f t="shared" si="31"/>
        <v>5656926.031832152</v>
      </c>
    </row>
    <row r="1736" spans="1:3" x14ac:dyDescent="0.3">
      <c r="A1736" s="1">
        <v>45200</v>
      </c>
      <c r="B1736">
        <v>3868498.47190102</v>
      </c>
      <c r="C1736">
        <f t="shared" si="31"/>
        <v>4263085.3160349242</v>
      </c>
    </row>
    <row r="1737" spans="1:3" x14ac:dyDescent="0.3">
      <c r="A1737" s="1">
        <v>45201</v>
      </c>
      <c r="B1737">
        <v>5102080.6242137598</v>
      </c>
      <c r="C1737">
        <f t="shared" si="31"/>
        <v>5622492.8478835635</v>
      </c>
    </row>
    <row r="1738" spans="1:3" x14ac:dyDescent="0.3">
      <c r="A1738" s="1">
        <v>45202</v>
      </c>
      <c r="B1738">
        <v>4777083.9007660802</v>
      </c>
      <c r="C1738">
        <f t="shared" si="31"/>
        <v>5264346.4586442206</v>
      </c>
    </row>
    <row r="1739" spans="1:3" x14ac:dyDescent="0.3">
      <c r="A1739" s="1">
        <v>45203</v>
      </c>
      <c r="B1739">
        <v>3910011.1729650702</v>
      </c>
      <c r="C1739">
        <f t="shared" si="31"/>
        <v>4308832.3126075082</v>
      </c>
    </row>
    <row r="1740" spans="1:3" x14ac:dyDescent="0.3">
      <c r="A1740" s="1">
        <v>45204</v>
      </c>
      <c r="B1740">
        <v>3578229.3859305498</v>
      </c>
      <c r="C1740">
        <f t="shared" si="31"/>
        <v>3943208.7832954661</v>
      </c>
    </row>
    <row r="1741" spans="1:3" x14ac:dyDescent="0.3">
      <c r="A1741" s="1">
        <v>45205</v>
      </c>
      <c r="B1741">
        <v>4586373.5281568598</v>
      </c>
      <c r="C1741">
        <f t="shared" si="31"/>
        <v>5054183.6280288603</v>
      </c>
    </row>
    <row r="1742" spans="1:3" x14ac:dyDescent="0.3">
      <c r="A1742" s="1">
        <v>45206</v>
      </c>
      <c r="B1742">
        <v>3589577.8681216398</v>
      </c>
      <c r="C1742">
        <f t="shared" si="31"/>
        <v>3955714.8106700475</v>
      </c>
    </row>
    <row r="1743" spans="1:3" x14ac:dyDescent="0.3">
      <c r="A1743" s="1">
        <v>45207</v>
      </c>
      <c r="B1743">
        <v>3933638.5761997099</v>
      </c>
      <c r="C1743">
        <f t="shared" si="31"/>
        <v>4334869.7109720809</v>
      </c>
    </row>
    <row r="1744" spans="1:3" x14ac:dyDescent="0.3">
      <c r="A1744" s="1">
        <v>45208</v>
      </c>
      <c r="B1744">
        <v>4045434.4572328101</v>
      </c>
      <c r="C1744">
        <f t="shared" si="31"/>
        <v>4458068.7718705572</v>
      </c>
    </row>
    <row r="1745" spans="1:3" x14ac:dyDescent="0.3">
      <c r="A1745" s="1">
        <v>45209</v>
      </c>
      <c r="B1745">
        <v>6013867.46063348</v>
      </c>
      <c r="C1745">
        <f t="shared" si="31"/>
        <v>6627281.9416180952</v>
      </c>
    </row>
    <row r="1746" spans="1:3" x14ac:dyDescent="0.3">
      <c r="A1746" s="1">
        <v>45210</v>
      </c>
      <c r="B1746">
        <v>3464678.3491709302</v>
      </c>
      <c r="C1746">
        <f t="shared" si="31"/>
        <v>3818075.5407863655</v>
      </c>
    </row>
    <row r="1747" spans="1:3" x14ac:dyDescent="0.3">
      <c r="A1747" s="1">
        <v>45211</v>
      </c>
      <c r="B1747">
        <v>4397908.5653645303</v>
      </c>
      <c r="C1747">
        <f t="shared" si="31"/>
        <v>4846495.2390317125</v>
      </c>
    </row>
    <row r="1748" spans="1:3" x14ac:dyDescent="0.3">
      <c r="A1748" s="1">
        <v>45212</v>
      </c>
      <c r="B1748">
        <v>2817851.4664385598</v>
      </c>
      <c r="C1748">
        <f t="shared" si="31"/>
        <v>3105272.3160152934</v>
      </c>
    </row>
    <row r="1749" spans="1:3" x14ac:dyDescent="0.3">
      <c r="A1749" s="1">
        <v>45213</v>
      </c>
      <c r="B1749">
        <v>5024739.7122650798</v>
      </c>
      <c r="C1749">
        <f t="shared" si="31"/>
        <v>5537263.1629161183</v>
      </c>
    </row>
    <row r="1750" spans="1:3" x14ac:dyDescent="0.3">
      <c r="A1750" s="1">
        <v>45214</v>
      </c>
      <c r="B1750">
        <v>4276070.9696959704</v>
      </c>
      <c r="C1750">
        <f t="shared" si="31"/>
        <v>4712230.2086049598</v>
      </c>
    </row>
    <row r="1751" spans="1:3" x14ac:dyDescent="0.3">
      <c r="A1751" s="1">
        <v>45215</v>
      </c>
      <c r="B1751">
        <v>4184135.8858235101</v>
      </c>
      <c r="C1751">
        <f t="shared" si="31"/>
        <v>4610917.7461775085</v>
      </c>
    </row>
    <row r="1752" spans="1:3" x14ac:dyDescent="0.3">
      <c r="A1752" s="1">
        <v>45216</v>
      </c>
      <c r="B1752">
        <v>3016767.2466141498</v>
      </c>
      <c r="C1752">
        <f t="shared" si="31"/>
        <v>3324477.5057687932</v>
      </c>
    </row>
    <row r="1753" spans="1:3" x14ac:dyDescent="0.3">
      <c r="A1753" s="1">
        <v>45217</v>
      </c>
      <c r="B1753">
        <v>3836854.9222393702</v>
      </c>
      <c r="C1753">
        <f t="shared" si="31"/>
        <v>4228214.1243077861</v>
      </c>
    </row>
    <row r="1754" spans="1:3" x14ac:dyDescent="0.3">
      <c r="A1754" s="1">
        <v>45218</v>
      </c>
      <c r="B1754">
        <v>5043280.8404242601</v>
      </c>
      <c r="C1754">
        <f t="shared" si="31"/>
        <v>5557695.486147535</v>
      </c>
    </row>
    <row r="1755" spans="1:3" x14ac:dyDescent="0.3">
      <c r="A1755" s="1">
        <v>45219</v>
      </c>
      <c r="B1755">
        <v>3583852.1872792998</v>
      </c>
      <c r="C1755">
        <f t="shared" si="31"/>
        <v>3949405.1103817886</v>
      </c>
    </row>
    <row r="1756" spans="1:3" x14ac:dyDescent="0.3">
      <c r="A1756" s="1">
        <v>45220</v>
      </c>
      <c r="B1756">
        <v>3616621.8786359099</v>
      </c>
      <c r="C1756">
        <f t="shared" si="31"/>
        <v>3985517.3102567731</v>
      </c>
    </row>
    <row r="1757" spans="1:3" x14ac:dyDescent="0.3">
      <c r="A1757" s="1">
        <v>45221</v>
      </c>
      <c r="B1757">
        <v>2512952.7607316198</v>
      </c>
      <c r="C1757">
        <f t="shared" si="31"/>
        <v>2769273.9423262454</v>
      </c>
    </row>
    <row r="1758" spans="1:3" x14ac:dyDescent="0.3">
      <c r="A1758" s="1">
        <v>45222</v>
      </c>
      <c r="B1758">
        <v>3363301.5601629498</v>
      </c>
      <c r="C1758">
        <f t="shared" si="31"/>
        <v>3706358.3192995712</v>
      </c>
    </row>
    <row r="1759" spans="1:3" x14ac:dyDescent="0.3">
      <c r="A1759" s="1">
        <v>45223</v>
      </c>
      <c r="B1759">
        <v>3814377.58795594</v>
      </c>
      <c r="C1759">
        <f t="shared" si="31"/>
        <v>4203444.1019274462</v>
      </c>
    </row>
    <row r="1760" spans="1:3" x14ac:dyDescent="0.3">
      <c r="A1760" s="1">
        <v>45224</v>
      </c>
      <c r="B1760">
        <v>3083639.85569727</v>
      </c>
      <c r="C1760">
        <f t="shared" si="31"/>
        <v>3398171.1209783917</v>
      </c>
    </row>
    <row r="1761" spans="1:3" x14ac:dyDescent="0.3">
      <c r="A1761" s="1">
        <v>45225</v>
      </c>
      <c r="B1761">
        <v>3292902.5756524</v>
      </c>
      <c r="C1761">
        <f t="shared" si="31"/>
        <v>3628778.6383689451</v>
      </c>
    </row>
    <row r="1762" spans="1:3" x14ac:dyDescent="0.3">
      <c r="A1762" s="1">
        <v>45226</v>
      </c>
      <c r="B1762">
        <v>3538547.7152753798</v>
      </c>
      <c r="C1762">
        <f t="shared" si="31"/>
        <v>3899479.582233469</v>
      </c>
    </row>
    <row r="1763" spans="1:3" x14ac:dyDescent="0.3">
      <c r="A1763" s="1">
        <v>45227</v>
      </c>
      <c r="B1763">
        <v>2085304.73474558</v>
      </c>
      <c r="C1763">
        <f t="shared" si="31"/>
        <v>2298005.8176896293</v>
      </c>
    </row>
    <row r="1764" spans="1:3" x14ac:dyDescent="0.3">
      <c r="A1764" s="1">
        <v>45228</v>
      </c>
      <c r="B1764">
        <v>4817439.2436977103</v>
      </c>
      <c r="C1764">
        <f t="shared" si="31"/>
        <v>5308818.0465548774</v>
      </c>
    </row>
    <row r="1765" spans="1:3" x14ac:dyDescent="0.3">
      <c r="A1765" s="1">
        <v>45229</v>
      </c>
      <c r="B1765">
        <v>5397990.7018670002</v>
      </c>
      <c r="C1765">
        <f t="shared" si="31"/>
        <v>5948585.7534574345</v>
      </c>
    </row>
    <row r="1766" spans="1:3" x14ac:dyDescent="0.3">
      <c r="A1766" s="1">
        <v>45230</v>
      </c>
      <c r="B1766">
        <v>4240926.43227005</v>
      </c>
      <c r="C1766">
        <f t="shared" si="31"/>
        <v>4673500.9283615956</v>
      </c>
    </row>
    <row r="1767" spans="1:3" x14ac:dyDescent="0.3">
      <c r="A1767" s="1">
        <v>45231</v>
      </c>
      <c r="B1767">
        <v>3435448.60304657</v>
      </c>
      <c r="C1767">
        <f t="shared" si="31"/>
        <v>3785864.3605573205</v>
      </c>
    </row>
    <row r="1768" spans="1:3" x14ac:dyDescent="0.3">
      <c r="A1768" s="1">
        <v>45232</v>
      </c>
      <c r="B1768">
        <v>3401511.7459611199</v>
      </c>
      <c r="C1768">
        <f t="shared" si="31"/>
        <v>3748465.9440491544</v>
      </c>
    </row>
    <row r="1769" spans="1:3" x14ac:dyDescent="0.3">
      <c r="A1769" s="1">
        <v>45233</v>
      </c>
      <c r="B1769">
        <v>4772400.0711238002</v>
      </c>
      <c r="C1769">
        <f t="shared" si="31"/>
        <v>5259184.8783784285</v>
      </c>
    </row>
    <row r="1770" spans="1:3" x14ac:dyDescent="0.3">
      <c r="A1770" s="1">
        <v>45234</v>
      </c>
      <c r="B1770">
        <v>3288842.8265403998</v>
      </c>
      <c r="C1770">
        <f t="shared" si="31"/>
        <v>3624304.794847521</v>
      </c>
    </row>
    <row r="1771" spans="1:3" x14ac:dyDescent="0.3">
      <c r="A1771" s="1">
        <v>45235</v>
      </c>
      <c r="B1771">
        <v>2672403.9242696301</v>
      </c>
      <c r="C1771">
        <f t="shared" si="31"/>
        <v>2944989.1245451327</v>
      </c>
    </row>
    <row r="1772" spans="1:3" x14ac:dyDescent="0.3">
      <c r="A1772" s="1">
        <v>45236</v>
      </c>
      <c r="B1772">
        <v>4407799.2667939104</v>
      </c>
      <c r="C1772">
        <f t="shared" si="31"/>
        <v>4857394.7920068894</v>
      </c>
    </row>
    <row r="1773" spans="1:3" x14ac:dyDescent="0.3">
      <c r="A1773" s="1">
        <v>45237</v>
      </c>
      <c r="B1773">
        <v>2242753.3281519101</v>
      </c>
      <c r="C1773">
        <f t="shared" si="31"/>
        <v>2471514.1676234053</v>
      </c>
    </row>
    <row r="1774" spans="1:3" x14ac:dyDescent="0.3">
      <c r="A1774" s="1">
        <v>45238</v>
      </c>
      <c r="B1774">
        <v>3243466.1745986599</v>
      </c>
      <c r="C1774">
        <f t="shared" si="31"/>
        <v>3574299.7244077236</v>
      </c>
    </row>
    <row r="1775" spans="1:3" x14ac:dyDescent="0.3">
      <c r="A1775" s="1">
        <v>45239</v>
      </c>
      <c r="B1775">
        <v>4059680.2771442002</v>
      </c>
      <c r="C1775">
        <f t="shared" si="31"/>
        <v>4473767.6654129094</v>
      </c>
    </row>
    <row r="1776" spans="1:3" x14ac:dyDescent="0.3">
      <c r="A1776" s="1">
        <v>45240</v>
      </c>
      <c r="B1776">
        <v>4264376.0835447302</v>
      </c>
      <c r="C1776">
        <f t="shared" si="31"/>
        <v>4699342.4440662935</v>
      </c>
    </row>
    <row r="1777" spans="1:3" x14ac:dyDescent="0.3">
      <c r="A1777" s="1">
        <v>45241</v>
      </c>
      <c r="B1777">
        <v>4162958.8907762901</v>
      </c>
      <c r="C1777">
        <f t="shared" si="31"/>
        <v>4587580.6976354718</v>
      </c>
    </row>
    <row r="1778" spans="1:3" x14ac:dyDescent="0.3">
      <c r="A1778" s="1">
        <v>45242</v>
      </c>
      <c r="B1778">
        <v>3444327.2604828998</v>
      </c>
      <c r="C1778">
        <f t="shared" si="31"/>
        <v>3795648.6410521558</v>
      </c>
    </row>
    <row r="1779" spans="1:3" x14ac:dyDescent="0.3">
      <c r="A1779" s="1">
        <v>45243</v>
      </c>
      <c r="B1779">
        <v>3593917.0433251001</v>
      </c>
      <c r="C1779">
        <f t="shared" si="31"/>
        <v>3960496.5817442606</v>
      </c>
    </row>
    <row r="1780" spans="1:3" x14ac:dyDescent="0.3">
      <c r="A1780" s="1">
        <v>45244</v>
      </c>
      <c r="B1780">
        <v>4200006.7000311697</v>
      </c>
      <c r="C1780">
        <f t="shared" si="31"/>
        <v>4628407.3834343497</v>
      </c>
    </row>
    <row r="1781" spans="1:3" x14ac:dyDescent="0.3">
      <c r="A1781" s="1">
        <v>45245</v>
      </c>
      <c r="B1781">
        <v>2547963.5947805401</v>
      </c>
      <c r="C1781">
        <f t="shared" si="31"/>
        <v>2807855.8814481553</v>
      </c>
    </row>
    <row r="1782" spans="1:3" x14ac:dyDescent="0.3">
      <c r="A1782" s="1">
        <v>45246</v>
      </c>
      <c r="B1782">
        <v>3644147.7406168701</v>
      </c>
      <c r="C1782">
        <f t="shared" si="31"/>
        <v>4015850.8101597913</v>
      </c>
    </row>
    <row r="1783" spans="1:3" x14ac:dyDescent="0.3">
      <c r="A1783" s="1">
        <v>45247</v>
      </c>
      <c r="B1783">
        <v>3481653.3284150702</v>
      </c>
      <c r="C1783">
        <f t="shared" si="31"/>
        <v>3836781.9679134078</v>
      </c>
    </row>
    <row r="1784" spans="1:3" x14ac:dyDescent="0.3">
      <c r="A1784" s="1">
        <v>45248</v>
      </c>
      <c r="B1784">
        <v>4137498.0378467101</v>
      </c>
      <c r="C1784">
        <f t="shared" si="31"/>
        <v>4559522.8377070753</v>
      </c>
    </row>
    <row r="1785" spans="1:3" x14ac:dyDescent="0.3">
      <c r="A1785" s="1">
        <v>45249</v>
      </c>
      <c r="B1785">
        <v>3030948.4193793</v>
      </c>
      <c r="C1785">
        <f t="shared" si="31"/>
        <v>3340105.1581559889</v>
      </c>
    </row>
    <row r="1786" spans="1:3" x14ac:dyDescent="0.3">
      <c r="A1786" s="1">
        <v>45250</v>
      </c>
      <c r="B1786">
        <v>2440210.1273862198</v>
      </c>
      <c r="C1786">
        <f t="shared" si="31"/>
        <v>2689111.5603796146</v>
      </c>
    </row>
    <row r="1787" spans="1:3" x14ac:dyDescent="0.3">
      <c r="A1787" s="1">
        <v>45251</v>
      </c>
      <c r="B1787">
        <v>3735469.42129139</v>
      </c>
      <c r="C1787">
        <f t="shared" si="31"/>
        <v>4116487.3022631123</v>
      </c>
    </row>
    <row r="1788" spans="1:3" x14ac:dyDescent="0.3">
      <c r="A1788" s="1">
        <v>45252</v>
      </c>
      <c r="B1788">
        <v>1761297.96643534</v>
      </c>
      <c r="C1788">
        <f t="shared" si="31"/>
        <v>1940950.3590117448</v>
      </c>
    </row>
    <row r="1789" spans="1:3" x14ac:dyDescent="0.3">
      <c r="A1789" s="1">
        <v>45253</v>
      </c>
      <c r="B1789">
        <v>2498037.74443004</v>
      </c>
      <c r="C1789">
        <f t="shared" si="31"/>
        <v>2752837.5943619045</v>
      </c>
    </row>
    <row r="1790" spans="1:3" x14ac:dyDescent="0.3">
      <c r="A1790" s="1">
        <v>45254</v>
      </c>
      <c r="B1790">
        <v>2999166.35755193</v>
      </c>
      <c r="C1790">
        <f t="shared" si="31"/>
        <v>3305081.3260222273</v>
      </c>
    </row>
    <row r="1791" spans="1:3" x14ac:dyDescent="0.3">
      <c r="A1791" s="1">
        <v>45255</v>
      </c>
      <c r="B1791">
        <v>2981031.7192636998</v>
      </c>
      <c r="C1791">
        <f t="shared" si="31"/>
        <v>3285096.9546285975</v>
      </c>
    </row>
    <row r="1792" spans="1:3" x14ac:dyDescent="0.3">
      <c r="A1792" s="1">
        <v>45256</v>
      </c>
      <c r="B1792">
        <v>4218876.41402415</v>
      </c>
      <c r="C1792">
        <f t="shared" si="31"/>
        <v>4649201.8082546135</v>
      </c>
    </row>
    <row r="1793" spans="1:3" x14ac:dyDescent="0.3">
      <c r="A1793" s="1">
        <v>45257</v>
      </c>
      <c r="B1793">
        <v>3704957.5399307301</v>
      </c>
      <c r="C1793">
        <f t="shared" si="31"/>
        <v>4082863.209003665</v>
      </c>
    </row>
    <row r="1794" spans="1:3" x14ac:dyDescent="0.3">
      <c r="A1794" s="1">
        <v>45258</v>
      </c>
      <c r="B1794">
        <v>3453581.2797505502</v>
      </c>
      <c r="C1794">
        <f t="shared" si="31"/>
        <v>3805846.5702851065</v>
      </c>
    </row>
    <row r="1795" spans="1:3" x14ac:dyDescent="0.3">
      <c r="A1795" s="1">
        <v>45259</v>
      </c>
      <c r="B1795">
        <v>3497624.3676164602</v>
      </c>
      <c r="C1795">
        <f t="shared" ref="C1795:C1858" si="32">B1795*1.102</f>
        <v>3854382.0531133395</v>
      </c>
    </row>
    <row r="1796" spans="1:3" x14ac:dyDescent="0.3">
      <c r="A1796" s="1">
        <v>45260</v>
      </c>
      <c r="B1796">
        <v>3367754.14039174</v>
      </c>
      <c r="C1796">
        <f t="shared" si="32"/>
        <v>3711265.062711698</v>
      </c>
    </row>
    <row r="1797" spans="1:3" x14ac:dyDescent="0.3">
      <c r="A1797" s="1">
        <v>45261</v>
      </c>
      <c r="B1797">
        <v>3058348.88157757</v>
      </c>
      <c r="C1797">
        <f t="shared" si="32"/>
        <v>3370300.4674984822</v>
      </c>
    </row>
    <row r="1798" spans="1:3" x14ac:dyDescent="0.3">
      <c r="A1798" s="1">
        <v>45262</v>
      </c>
      <c r="B1798">
        <v>3991471.8383814702</v>
      </c>
      <c r="C1798">
        <f t="shared" si="32"/>
        <v>4398601.9658963801</v>
      </c>
    </row>
    <row r="1799" spans="1:3" x14ac:dyDescent="0.3">
      <c r="A1799" s="1">
        <v>45263</v>
      </c>
      <c r="B1799">
        <v>4388548.9257503301</v>
      </c>
      <c r="C1799">
        <f t="shared" si="32"/>
        <v>4836180.9161768639</v>
      </c>
    </row>
    <row r="1800" spans="1:3" x14ac:dyDescent="0.3">
      <c r="A1800" s="1">
        <v>45264</v>
      </c>
      <c r="B1800">
        <v>3815572.21596961</v>
      </c>
      <c r="C1800">
        <f t="shared" si="32"/>
        <v>4204760.5819985103</v>
      </c>
    </row>
    <row r="1801" spans="1:3" x14ac:dyDescent="0.3">
      <c r="A1801" s="1">
        <v>45265</v>
      </c>
      <c r="B1801">
        <v>3571594.3916067402</v>
      </c>
      <c r="C1801">
        <f t="shared" si="32"/>
        <v>3935897.019550628</v>
      </c>
    </row>
    <row r="1802" spans="1:3" x14ac:dyDescent="0.3">
      <c r="A1802" s="1">
        <v>45266</v>
      </c>
      <c r="B1802">
        <v>3011737.7634320902</v>
      </c>
      <c r="C1802">
        <f t="shared" si="32"/>
        <v>3318935.0153021635</v>
      </c>
    </row>
    <row r="1803" spans="1:3" x14ac:dyDescent="0.3">
      <c r="A1803" s="1">
        <v>45267</v>
      </c>
      <c r="B1803">
        <v>4154495.9425174501</v>
      </c>
      <c r="C1803">
        <f t="shared" si="32"/>
        <v>4578254.5286542308</v>
      </c>
    </row>
    <row r="1804" spans="1:3" x14ac:dyDescent="0.3">
      <c r="A1804" s="1">
        <v>45268</v>
      </c>
      <c r="B1804">
        <v>2833209.0463146199</v>
      </c>
      <c r="C1804">
        <f t="shared" si="32"/>
        <v>3122196.3690387113</v>
      </c>
    </row>
    <row r="1805" spans="1:3" x14ac:dyDescent="0.3">
      <c r="A1805" s="1">
        <v>45269</v>
      </c>
      <c r="B1805">
        <v>4025413.3673666199</v>
      </c>
      <c r="C1805">
        <f t="shared" si="32"/>
        <v>4436005.5308380155</v>
      </c>
    </row>
    <row r="1806" spans="1:3" x14ac:dyDescent="0.3">
      <c r="A1806" s="1">
        <v>45270</v>
      </c>
      <c r="B1806">
        <v>2023769.75396925</v>
      </c>
      <c r="C1806">
        <f t="shared" si="32"/>
        <v>2230194.2688741139</v>
      </c>
    </row>
    <row r="1807" spans="1:3" x14ac:dyDescent="0.3">
      <c r="A1807" s="1">
        <v>45271</v>
      </c>
      <c r="B1807">
        <v>3411436.3135133502</v>
      </c>
      <c r="C1807">
        <f t="shared" si="32"/>
        <v>3759402.817491712</v>
      </c>
    </row>
    <row r="1808" spans="1:3" x14ac:dyDescent="0.3">
      <c r="A1808" s="1">
        <v>45272</v>
      </c>
      <c r="B1808">
        <v>3466637.8418410202</v>
      </c>
      <c r="C1808">
        <f t="shared" si="32"/>
        <v>3820234.9017088045</v>
      </c>
    </row>
    <row r="1809" spans="1:3" x14ac:dyDescent="0.3">
      <c r="A1809" s="1">
        <v>45273</v>
      </c>
      <c r="B1809">
        <v>2895564.4250206901</v>
      </c>
      <c r="C1809">
        <f t="shared" si="32"/>
        <v>3190911.9963728008</v>
      </c>
    </row>
    <row r="1810" spans="1:3" x14ac:dyDescent="0.3">
      <c r="A1810" s="1">
        <v>45274</v>
      </c>
      <c r="B1810">
        <v>3302113.8296527299</v>
      </c>
      <c r="C1810">
        <f t="shared" si="32"/>
        <v>3638929.4402773087</v>
      </c>
    </row>
    <row r="1811" spans="1:3" x14ac:dyDescent="0.3">
      <c r="A1811" s="1">
        <v>45275</v>
      </c>
      <c r="B1811">
        <v>3736398.6057056598</v>
      </c>
      <c r="C1811">
        <f t="shared" si="32"/>
        <v>4117511.2634876375</v>
      </c>
    </row>
    <row r="1812" spans="1:3" x14ac:dyDescent="0.3">
      <c r="A1812" s="1">
        <v>45276</v>
      </c>
      <c r="B1812">
        <v>3646396.9717121501</v>
      </c>
      <c r="C1812">
        <f t="shared" si="32"/>
        <v>4018329.4628267898</v>
      </c>
    </row>
    <row r="1813" spans="1:3" x14ac:dyDescent="0.3">
      <c r="A1813" s="1">
        <v>45277</v>
      </c>
      <c r="B1813">
        <v>3000020.3138666302</v>
      </c>
      <c r="C1813">
        <f t="shared" si="32"/>
        <v>3306022.3858810267</v>
      </c>
    </row>
    <row r="1814" spans="1:3" x14ac:dyDescent="0.3">
      <c r="A1814" s="1">
        <v>45278</v>
      </c>
      <c r="B1814">
        <v>2404954.3296008501</v>
      </c>
      <c r="C1814">
        <f t="shared" si="32"/>
        <v>2650259.6712201373</v>
      </c>
    </row>
    <row r="1815" spans="1:3" x14ac:dyDescent="0.3">
      <c r="A1815" s="1">
        <v>45279</v>
      </c>
      <c r="B1815">
        <v>2489049.1298487401</v>
      </c>
      <c r="C1815">
        <f t="shared" si="32"/>
        <v>2742932.1410933118</v>
      </c>
    </row>
    <row r="1816" spans="1:3" x14ac:dyDescent="0.3">
      <c r="A1816" s="1">
        <v>45280</v>
      </c>
      <c r="B1816">
        <v>3257896.7526535401</v>
      </c>
      <c r="C1816">
        <f t="shared" si="32"/>
        <v>3590202.2214242015</v>
      </c>
    </row>
    <row r="1817" spans="1:3" x14ac:dyDescent="0.3">
      <c r="A1817" s="1">
        <v>45281</v>
      </c>
      <c r="B1817">
        <v>3947172.7352061002</v>
      </c>
      <c r="C1817">
        <f t="shared" si="32"/>
        <v>4349784.3541971231</v>
      </c>
    </row>
    <row r="1818" spans="1:3" x14ac:dyDescent="0.3">
      <c r="A1818" s="1">
        <v>45282</v>
      </c>
      <c r="B1818">
        <v>3503850.7356356601</v>
      </c>
      <c r="C1818">
        <f t="shared" si="32"/>
        <v>3861243.5106704975</v>
      </c>
    </row>
    <row r="1819" spans="1:3" x14ac:dyDescent="0.3">
      <c r="A1819" s="1">
        <v>45283</v>
      </c>
      <c r="B1819">
        <v>3035534.1273567299</v>
      </c>
      <c r="C1819">
        <f t="shared" si="32"/>
        <v>3345158.6083471165</v>
      </c>
    </row>
    <row r="1820" spans="1:3" x14ac:dyDescent="0.3">
      <c r="A1820" s="1">
        <v>45284</v>
      </c>
      <c r="B1820">
        <v>3031284.8366181799</v>
      </c>
      <c r="C1820">
        <f t="shared" si="32"/>
        <v>3340475.8899532347</v>
      </c>
    </row>
    <row r="1821" spans="1:3" x14ac:dyDescent="0.3">
      <c r="A1821" s="1">
        <v>45285</v>
      </c>
      <c r="B1821">
        <v>3799184.3473335798</v>
      </c>
      <c r="C1821">
        <f t="shared" si="32"/>
        <v>4186701.1507616052</v>
      </c>
    </row>
    <row r="1822" spans="1:3" x14ac:dyDescent="0.3">
      <c r="A1822" s="1">
        <v>45286</v>
      </c>
      <c r="B1822">
        <v>4322048.1320459396</v>
      </c>
      <c r="C1822">
        <f t="shared" si="32"/>
        <v>4762897.0415146258</v>
      </c>
    </row>
    <row r="1823" spans="1:3" x14ac:dyDescent="0.3">
      <c r="A1823" s="1">
        <v>45287</v>
      </c>
      <c r="B1823">
        <v>2964075.0731826299</v>
      </c>
      <c r="C1823">
        <f t="shared" si="32"/>
        <v>3266410.7306472585</v>
      </c>
    </row>
    <row r="1824" spans="1:3" x14ac:dyDescent="0.3">
      <c r="A1824" s="1">
        <v>45288</v>
      </c>
      <c r="B1824">
        <v>4141037.3658808698</v>
      </c>
      <c r="C1824">
        <f t="shared" si="32"/>
        <v>4563423.1772007188</v>
      </c>
    </row>
    <row r="1825" spans="1:3" x14ac:dyDescent="0.3">
      <c r="A1825" s="1">
        <v>45289</v>
      </c>
      <c r="B1825">
        <v>3465828.76371289</v>
      </c>
      <c r="C1825">
        <f t="shared" si="32"/>
        <v>3819343.2976116049</v>
      </c>
    </row>
    <row r="1826" spans="1:3" x14ac:dyDescent="0.3">
      <c r="A1826" s="1">
        <v>45290</v>
      </c>
      <c r="B1826">
        <v>3888161.2544609099</v>
      </c>
      <c r="C1826">
        <f t="shared" si="32"/>
        <v>4284753.7024159227</v>
      </c>
    </row>
    <row r="1827" spans="1:3" x14ac:dyDescent="0.3">
      <c r="A1827" s="1">
        <v>45291</v>
      </c>
      <c r="B1827">
        <v>4013470.3468290102</v>
      </c>
      <c r="C1827">
        <f t="shared" si="32"/>
        <v>4422844.3222055696</v>
      </c>
    </row>
    <row r="1828" spans="1:3" x14ac:dyDescent="0.3">
      <c r="A1828" s="1">
        <v>45292</v>
      </c>
      <c r="B1828">
        <v>2856079.4110613898</v>
      </c>
      <c r="C1828">
        <f t="shared" si="32"/>
        <v>3147399.510989652</v>
      </c>
    </row>
    <row r="1829" spans="1:3" x14ac:dyDescent="0.3">
      <c r="A1829" s="1">
        <v>45293</v>
      </c>
      <c r="B1829">
        <v>3636591.8333710199</v>
      </c>
      <c r="C1829">
        <f t="shared" si="32"/>
        <v>4007524.2003748645</v>
      </c>
    </row>
    <row r="1830" spans="1:3" x14ac:dyDescent="0.3">
      <c r="A1830" s="1">
        <v>45294</v>
      </c>
      <c r="B1830">
        <v>4290702.1869299896</v>
      </c>
      <c r="C1830">
        <f t="shared" si="32"/>
        <v>4728353.8099968489</v>
      </c>
    </row>
    <row r="1831" spans="1:3" x14ac:dyDescent="0.3">
      <c r="A1831" s="1">
        <v>45295</v>
      </c>
      <c r="B1831">
        <v>3504428.5718524498</v>
      </c>
      <c r="C1831">
        <f t="shared" si="32"/>
        <v>3861880.2861814001</v>
      </c>
    </row>
    <row r="1832" spans="1:3" x14ac:dyDescent="0.3">
      <c r="A1832" s="1">
        <v>45296</v>
      </c>
      <c r="B1832">
        <v>3438515.3226148202</v>
      </c>
      <c r="C1832">
        <f t="shared" si="32"/>
        <v>3789243.885521532</v>
      </c>
    </row>
    <row r="1833" spans="1:3" x14ac:dyDescent="0.3">
      <c r="A1833" s="1">
        <v>45297</v>
      </c>
      <c r="B1833">
        <v>3028001.6938083498</v>
      </c>
      <c r="C1833">
        <f t="shared" si="32"/>
        <v>3336857.8665768015</v>
      </c>
    </row>
    <row r="1834" spans="1:3" x14ac:dyDescent="0.3">
      <c r="A1834" s="1">
        <v>45298</v>
      </c>
      <c r="B1834">
        <v>3471115.4128540098</v>
      </c>
      <c r="C1834">
        <f t="shared" si="32"/>
        <v>3825169.1849651192</v>
      </c>
    </row>
    <row r="1835" spans="1:3" x14ac:dyDescent="0.3">
      <c r="A1835" s="1">
        <v>45299</v>
      </c>
      <c r="B1835">
        <v>2785329.5564985601</v>
      </c>
      <c r="C1835">
        <f t="shared" si="32"/>
        <v>3069433.1712614135</v>
      </c>
    </row>
    <row r="1836" spans="1:3" x14ac:dyDescent="0.3">
      <c r="A1836" s="1">
        <v>45300</v>
      </c>
      <c r="B1836">
        <v>2821546.0085841599</v>
      </c>
      <c r="C1836">
        <f t="shared" si="32"/>
        <v>3109343.7014597445</v>
      </c>
    </row>
    <row r="1837" spans="1:3" x14ac:dyDescent="0.3">
      <c r="A1837" s="1">
        <v>45301</v>
      </c>
      <c r="B1837">
        <v>2931552.8256487399</v>
      </c>
      <c r="C1837">
        <f t="shared" si="32"/>
        <v>3230571.2138649118</v>
      </c>
    </row>
    <row r="1838" spans="1:3" x14ac:dyDescent="0.3">
      <c r="A1838" s="1">
        <v>45302</v>
      </c>
      <c r="B1838">
        <v>3884229.5785540701</v>
      </c>
      <c r="C1838">
        <f t="shared" si="32"/>
        <v>4280420.995566586</v>
      </c>
    </row>
    <row r="1839" spans="1:3" x14ac:dyDescent="0.3">
      <c r="A1839" s="1">
        <v>45303</v>
      </c>
      <c r="B1839">
        <v>3613132.2132097301</v>
      </c>
      <c r="C1839">
        <f t="shared" si="32"/>
        <v>3981671.6989571229</v>
      </c>
    </row>
    <row r="1840" spans="1:3" x14ac:dyDescent="0.3">
      <c r="A1840" s="1">
        <v>45304</v>
      </c>
      <c r="B1840">
        <v>3049846.07087183</v>
      </c>
      <c r="C1840">
        <f t="shared" si="32"/>
        <v>3360930.3701007571</v>
      </c>
    </row>
    <row r="1841" spans="1:3" x14ac:dyDescent="0.3">
      <c r="A1841" s="1">
        <v>45305</v>
      </c>
      <c r="B1841">
        <v>3338841.57451108</v>
      </c>
      <c r="C1841">
        <f t="shared" si="32"/>
        <v>3679403.4151112107</v>
      </c>
    </row>
    <row r="1842" spans="1:3" x14ac:dyDescent="0.3">
      <c r="A1842" s="1">
        <v>45306</v>
      </c>
      <c r="B1842">
        <v>4805512.0056737801</v>
      </c>
      <c r="C1842">
        <f t="shared" si="32"/>
        <v>5295674.2302525062</v>
      </c>
    </row>
    <row r="1843" spans="1:3" x14ac:dyDescent="0.3">
      <c r="A1843" s="1">
        <v>45307</v>
      </c>
      <c r="B1843">
        <v>4152488.51737358</v>
      </c>
      <c r="C1843">
        <f t="shared" si="32"/>
        <v>4576042.3461456858</v>
      </c>
    </row>
    <row r="1844" spans="1:3" x14ac:dyDescent="0.3">
      <c r="A1844" s="1">
        <v>45308</v>
      </c>
      <c r="B1844">
        <v>3792777.2741152202</v>
      </c>
      <c r="C1844">
        <f t="shared" si="32"/>
        <v>4179640.5560749732</v>
      </c>
    </row>
    <row r="1845" spans="1:3" x14ac:dyDescent="0.3">
      <c r="A1845" s="1">
        <v>45309</v>
      </c>
      <c r="B1845">
        <v>2781686.1390827098</v>
      </c>
      <c r="C1845">
        <f t="shared" si="32"/>
        <v>3065418.1252691466</v>
      </c>
    </row>
    <row r="1846" spans="1:3" x14ac:dyDescent="0.3">
      <c r="A1846" s="1">
        <v>45310</v>
      </c>
      <c r="B1846">
        <v>2470437.4085753402</v>
      </c>
      <c r="C1846">
        <f t="shared" si="32"/>
        <v>2722422.0242500249</v>
      </c>
    </row>
    <row r="1847" spans="1:3" x14ac:dyDescent="0.3">
      <c r="A1847" s="1">
        <v>45311</v>
      </c>
      <c r="B1847">
        <v>2902945.3825697098</v>
      </c>
      <c r="C1847">
        <f t="shared" si="32"/>
        <v>3199045.8115918203</v>
      </c>
    </row>
    <row r="1848" spans="1:3" x14ac:dyDescent="0.3">
      <c r="A1848" s="1">
        <v>45312</v>
      </c>
      <c r="B1848">
        <v>2642019.0901033902</v>
      </c>
      <c r="C1848">
        <f t="shared" si="32"/>
        <v>2911505.0372939361</v>
      </c>
    </row>
    <row r="1849" spans="1:3" x14ac:dyDescent="0.3">
      <c r="A1849" s="1">
        <v>45313</v>
      </c>
      <c r="B1849">
        <v>4418716.24636239</v>
      </c>
      <c r="C1849">
        <f t="shared" si="32"/>
        <v>4869425.303491354</v>
      </c>
    </row>
    <row r="1850" spans="1:3" x14ac:dyDescent="0.3">
      <c r="A1850" s="1">
        <v>45314</v>
      </c>
      <c r="B1850">
        <v>3010220.1466939198</v>
      </c>
      <c r="C1850">
        <f t="shared" si="32"/>
        <v>3317262.6016567</v>
      </c>
    </row>
    <row r="1851" spans="1:3" x14ac:dyDescent="0.3">
      <c r="A1851" s="1">
        <v>45315</v>
      </c>
      <c r="B1851">
        <v>3217462.6528738998</v>
      </c>
      <c r="C1851">
        <f t="shared" si="32"/>
        <v>3545643.8434670377</v>
      </c>
    </row>
    <row r="1852" spans="1:3" x14ac:dyDescent="0.3">
      <c r="A1852" s="1">
        <v>45316</v>
      </c>
      <c r="B1852">
        <v>3954714.7248244602</v>
      </c>
      <c r="C1852">
        <f t="shared" si="32"/>
        <v>4358095.6267565554</v>
      </c>
    </row>
    <row r="1853" spans="1:3" x14ac:dyDescent="0.3">
      <c r="A1853" s="1">
        <v>45317</v>
      </c>
      <c r="B1853">
        <v>2338833.4746708302</v>
      </c>
      <c r="C1853">
        <f t="shared" si="32"/>
        <v>2577394.4890872552</v>
      </c>
    </row>
    <row r="1854" spans="1:3" x14ac:dyDescent="0.3">
      <c r="A1854" s="1">
        <v>45318</v>
      </c>
      <c r="B1854">
        <v>3706833.9202759298</v>
      </c>
      <c r="C1854">
        <f t="shared" si="32"/>
        <v>4084930.9801440751</v>
      </c>
    </row>
    <row r="1855" spans="1:3" x14ac:dyDescent="0.3">
      <c r="A1855" s="1">
        <v>45319</v>
      </c>
      <c r="B1855">
        <v>3325421.8813883499</v>
      </c>
      <c r="C1855">
        <f t="shared" si="32"/>
        <v>3664614.9132899619</v>
      </c>
    </row>
    <row r="1856" spans="1:3" x14ac:dyDescent="0.3">
      <c r="A1856" s="1">
        <v>45320</v>
      </c>
      <c r="B1856">
        <v>3490016.8328635199</v>
      </c>
      <c r="C1856">
        <f t="shared" si="32"/>
        <v>3845998.5498155993</v>
      </c>
    </row>
    <row r="1857" spans="1:3" x14ac:dyDescent="0.3">
      <c r="A1857" s="1">
        <v>45321</v>
      </c>
      <c r="B1857">
        <v>3389452.1249340498</v>
      </c>
      <c r="C1857">
        <f t="shared" si="32"/>
        <v>3735176.2416773234</v>
      </c>
    </row>
    <row r="1858" spans="1:3" x14ac:dyDescent="0.3">
      <c r="A1858" s="1">
        <v>45322</v>
      </c>
      <c r="B1858">
        <v>3797954.0140617802</v>
      </c>
      <c r="C1858">
        <f t="shared" si="32"/>
        <v>4185345.3234960823</v>
      </c>
    </row>
    <row r="1859" spans="1:3" x14ac:dyDescent="0.3">
      <c r="A1859" s="1">
        <v>45323</v>
      </c>
      <c r="B1859">
        <v>3969903.8012697599</v>
      </c>
      <c r="C1859">
        <f t="shared" ref="C1859:C1922" si="33">B1859*1.102</f>
        <v>4374833.9889992755</v>
      </c>
    </row>
    <row r="1860" spans="1:3" x14ac:dyDescent="0.3">
      <c r="A1860" s="1">
        <v>45324</v>
      </c>
      <c r="B1860">
        <v>4876849.2306452403</v>
      </c>
      <c r="C1860">
        <f t="shared" si="33"/>
        <v>5374287.852171055</v>
      </c>
    </row>
    <row r="1861" spans="1:3" x14ac:dyDescent="0.3">
      <c r="A1861" s="1">
        <v>45325</v>
      </c>
      <c r="B1861">
        <v>2372789.01821562</v>
      </c>
      <c r="C1861">
        <f t="shared" si="33"/>
        <v>2614813.4980736133</v>
      </c>
    </row>
    <row r="1862" spans="1:3" x14ac:dyDescent="0.3">
      <c r="A1862" s="1">
        <v>45326</v>
      </c>
      <c r="B1862">
        <v>3126474.1520570102</v>
      </c>
      <c r="C1862">
        <f t="shared" si="33"/>
        <v>3445374.5155668254</v>
      </c>
    </row>
    <row r="1863" spans="1:3" x14ac:dyDescent="0.3">
      <c r="A1863" s="1">
        <v>45327</v>
      </c>
      <c r="B1863">
        <v>2902754.89394425</v>
      </c>
      <c r="C1863">
        <f t="shared" si="33"/>
        <v>3198835.8931265636</v>
      </c>
    </row>
    <row r="1864" spans="1:3" x14ac:dyDescent="0.3">
      <c r="A1864" s="1">
        <v>45328</v>
      </c>
      <c r="B1864">
        <v>2334502.7498498298</v>
      </c>
      <c r="C1864">
        <f t="shared" si="33"/>
        <v>2572622.0303345127</v>
      </c>
    </row>
    <row r="1865" spans="1:3" x14ac:dyDescent="0.3">
      <c r="A1865" s="1">
        <v>45329</v>
      </c>
      <c r="B1865">
        <v>3254827.5558184199</v>
      </c>
      <c r="C1865">
        <f t="shared" si="33"/>
        <v>3586819.9665118991</v>
      </c>
    </row>
    <row r="1866" spans="1:3" x14ac:dyDescent="0.3">
      <c r="A1866" s="1">
        <v>45330</v>
      </c>
      <c r="B1866">
        <v>3416197.54348533</v>
      </c>
      <c r="C1866">
        <f t="shared" si="33"/>
        <v>3764649.6929208338</v>
      </c>
    </row>
    <row r="1867" spans="1:3" x14ac:dyDescent="0.3">
      <c r="A1867" s="1">
        <v>45331</v>
      </c>
      <c r="B1867">
        <v>2340786.2906522802</v>
      </c>
      <c r="C1867">
        <f t="shared" si="33"/>
        <v>2579546.4922988131</v>
      </c>
    </row>
    <row r="1868" spans="1:3" x14ac:dyDescent="0.3">
      <c r="A1868" s="1">
        <v>45332</v>
      </c>
      <c r="B1868">
        <v>3938032.2941316199</v>
      </c>
      <c r="C1868">
        <f t="shared" si="33"/>
        <v>4339711.5881330455</v>
      </c>
    </row>
    <row r="1869" spans="1:3" x14ac:dyDescent="0.3">
      <c r="A1869" s="1">
        <v>45333</v>
      </c>
      <c r="B1869">
        <v>4788557.1108027296</v>
      </c>
      <c r="C1869">
        <f t="shared" si="33"/>
        <v>5276989.9361046087</v>
      </c>
    </row>
    <row r="1870" spans="1:3" x14ac:dyDescent="0.3">
      <c r="A1870" s="1">
        <v>45334</v>
      </c>
      <c r="B1870">
        <v>3222907.31357652</v>
      </c>
      <c r="C1870">
        <f t="shared" si="33"/>
        <v>3551643.8595613251</v>
      </c>
    </row>
    <row r="1871" spans="1:3" x14ac:dyDescent="0.3">
      <c r="A1871" s="1">
        <v>45335</v>
      </c>
      <c r="B1871">
        <v>3349801.6536571202</v>
      </c>
      <c r="C1871">
        <f t="shared" si="33"/>
        <v>3691481.4223301467</v>
      </c>
    </row>
    <row r="1872" spans="1:3" x14ac:dyDescent="0.3">
      <c r="A1872" s="1">
        <v>45336</v>
      </c>
      <c r="B1872">
        <v>3403888.9562447001</v>
      </c>
      <c r="C1872">
        <f t="shared" si="33"/>
        <v>3751085.6297816597</v>
      </c>
    </row>
    <row r="1873" spans="1:3" x14ac:dyDescent="0.3">
      <c r="A1873" s="1">
        <v>45337</v>
      </c>
      <c r="B1873">
        <v>3225303.3778637401</v>
      </c>
      <c r="C1873">
        <f t="shared" si="33"/>
        <v>3554284.3224058417</v>
      </c>
    </row>
    <row r="1874" spans="1:3" x14ac:dyDescent="0.3">
      <c r="A1874" s="1">
        <v>45338</v>
      </c>
      <c r="B1874">
        <v>4885684.0558240097</v>
      </c>
      <c r="C1874">
        <f t="shared" si="33"/>
        <v>5384023.8295180593</v>
      </c>
    </row>
    <row r="1875" spans="1:3" x14ac:dyDescent="0.3">
      <c r="A1875" s="1">
        <v>45339</v>
      </c>
      <c r="B1875">
        <v>3857919.5817121598</v>
      </c>
      <c r="C1875">
        <f t="shared" si="33"/>
        <v>4251427.3790468005</v>
      </c>
    </row>
    <row r="1876" spans="1:3" x14ac:dyDescent="0.3">
      <c r="A1876" s="1">
        <v>45340</v>
      </c>
      <c r="B1876">
        <v>2509139.3064377098</v>
      </c>
      <c r="C1876">
        <f t="shared" si="33"/>
        <v>2765071.5156943565</v>
      </c>
    </row>
    <row r="1877" spans="1:3" x14ac:dyDescent="0.3">
      <c r="A1877" s="1">
        <v>45341</v>
      </c>
      <c r="B1877">
        <v>3494786.7289032801</v>
      </c>
      <c r="C1877">
        <f t="shared" si="33"/>
        <v>3851254.9752514148</v>
      </c>
    </row>
    <row r="1878" spans="1:3" x14ac:dyDescent="0.3">
      <c r="A1878" s="1">
        <v>45342</v>
      </c>
      <c r="B1878">
        <v>2942894.4541819301</v>
      </c>
      <c r="C1878">
        <f t="shared" si="33"/>
        <v>3243069.6885084873</v>
      </c>
    </row>
    <row r="1879" spans="1:3" x14ac:dyDescent="0.3">
      <c r="A1879" s="1">
        <v>45343</v>
      </c>
      <c r="B1879">
        <v>3970833.99348283</v>
      </c>
      <c r="C1879">
        <f t="shared" si="33"/>
        <v>4375859.0608180789</v>
      </c>
    </row>
    <row r="1880" spans="1:3" x14ac:dyDescent="0.3">
      <c r="A1880" s="1">
        <v>45344</v>
      </c>
      <c r="B1880">
        <v>4172362.0421534898</v>
      </c>
      <c r="C1880">
        <f t="shared" si="33"/>
        <v>4597942.9704531459</v>
      </c>
    </row>
    <row r="1881" spans="1:3" x14ac:dyDescent="0.3">
      <c r="A1881" s="1">
        <v>45345</v>
      </c>
      <c r="B1881">
        <v>2912340.5669852402</v>
      </c>
      <c r="C1881">
        <f t="shared" si="33"/>
        <v>3209399.3048177348</v>
      </c>
    </row>
    <row r="1882" spans="1:3" x14ac:dyDescent="0.3">
      <c r="A1882" s="1">
        <v>45346</v>
      </c>
      <c r="B1882">
        <v>4082412.6380966301</v>
      </c>
      <c r="C1882">
        <f t="shared" si="33"/>
        <v>4498818.727182487</v>
      </c>
    </row>
    <row r="1883" spans="1:3" x14ac:dyDescent="0.3">
      <c r="A1883" s="1">
        <v>45347</v>
      </c>
      <c r="B1883">
        <v>3548497.8698203899</v>
      </c>
      <c r="C1883">
        <f t="shared" si="33"/>
        <v>3910444.65254207</v>
      </c>
    </row>
    <row r="1884" spans="1:3" x14ac:dyDescent="0.3">
      <c r="A1884" s="1">
        <v>45348</v>
      </c>
      <c r="B1884">
        <v>4434104.7069400698</v>
      </c>
      <c r="C1884">
        <f t="shared" si="33"/>
        <v>4886383.3870479576</v>
      </c>
    </row>
    <row r="1885" spans="1:3" x14ac:dyDescent="0.3">
      <c r="A1885" s="1">
        <v>45349</v>
      </c>
      <c r="B1885">
        <v>2839739.8571365802</v>
      </c>
      <c r="C1885">
        <f t="shared" si="33"/>
        <v>3129393.3225645116</v>
      </c>
    </row>
    <row r="1886" spans="1:3" x14ac:dyDescent="0.3">
      <c r="A1886" s="1">
        <v>45350</v>
      </c>
      <c r="B1886">
        <v>3525494.09593793</v>
      </c>
      <c r="C1886">
        <f t="shared" si="33"/>
        <v>3885094.4937235992</v>
      </c>
    </row>
    <row r="1887" spans="1:3" x14ac:dyDescent="0.3">
      <c r="A1887" s="1">
        <v>45351</v>
      </c>
      <c r="B1887">
        <v>2019524.0635466501</v>
      </c>
      <c r="C1887">
        <f t="shared" si="33"/>
        <v>2225515.5180284088</v>
      </c>
    </row>
    <row r="1888" spans="1:3" x14ac:dyDescent="0.3">
      <c r="A1888" s="1">
        <v>45352</v>
      </c>
      <c r="B1888">
        <v>3657271.4584407299</v>
      </c>
      <c r="C1888">
        <f t="shared" si="33"/>
        <v>4030313.1472016848</v>
      </c>
    </row>
    <row r="1889" spans="1:3" x14ac:dyDescent="0.3">
      <c r="A1889" s="1">
        <v>45353</v>
      </c>
      <c r="B1889">
        <v>2167573.8526703599</v>
      </c>
      <c r="C1889">
        <f t="shared" si="33"/>
        <v>2388666.3856427367</v>
      </c>
    </row>
    <row r="1890" spans="1:3" x14ac:dyDescent="0.3">
      <c r="A1890" s="1">
        <v>45354</v>
      </c>
      <c r="B1890">
        <v>3039548.3239056901</v>
      </c>
      <c r="C1890">
        <f t="shared" si="33"/>
        <v>3349582.2529440708</v>
      </c>
    </row>
    <row r="1891" spans="1:3" x14ac:dyDescent="0.3">
      <c r="A1891" s="1">
        <v>45355</v>
      </c>
      <c r="B1891">
        <v>5281619.8462950503</v>
      </c>
      <c r="C1891">
        <f t="shared" si="33"/>
        <v>5820345.0706171459</v>
      </c>
    </row>
    <row r="1892" spans="1:3" x14ac:dyDescent="0.3">
      <c r="A1892" s="1">
        <v>45356</v>
      </c>
      <c r="B1892">
        <v>3262299.3633646099</v>
      </c>
      <c r="C1892">
        <f t="shared" si="33"/>
        <v>3595053.8984278003</v>
      </c>
    </row>
    <row r="1893" spans="1:3" x14ac:dyDescent="0.3">
      <c r="A1893" s="1">
        <v>45357</v>
      </c>
      <c r="B1893">
        <v>3732852.3489366299</v>
      </c>
      <c r="C1893">
        <f t="shared" si="33"/>
        <v>4113603.2885281667</v>
      </c>
    </row>
    <row r="1894" spans="1:3" x14ac:dyDescent="0.3">
      <c r="A1894" s="1">
        <v>45358</v>
      </c>
      <c r="B1894">
        <v>3290558.5326410402</v>
      </c>
      <c r="C1894">
        <f t="shared" si="33"/>
        <v>3626195.5029704263</v>
      </c>
    </row>
    <row r="1895" spans="1:3" x14ac:dyDescent="0.3">
      <c r="A1895" s="1">
        <v>45359</v>
      </c>
      <c r="B1895">
        <v>4605848.5441192798</v>
      </c>
      <c r="C1895">
        <f t="shared" si="33"/>
        <v>5075645.0956194466</v>
      </c>
    </row>
    <row r="1896" spans="1:3" x14ac:dyDescent="0.3">
      <c r="A1896" s="1">
        <v>45360</v>
      </c>
      <c r="B1896">
        <v>3360026.3183689802</v>
      </c>
      <c r="C1896">
        <f t="shared" si="33"/>
        <v>3702749.0028426163</v>
      </c>
    </row>
    <row r="1897" spans="1:3" x14ac:dyDescent="0.3">
      <c r="A1897" s="1">
        <v>45361</v>
      </c>
      <c r="B1897">
        <v>3952392.0336253801</v>
      </c>
      <c r="C1897">
        <f t="shared" si="33"/>
        <v>4355536.0210551694</v>
      </c>
    </row>
    <row r="1898" spans="1:3" x14ac:dyDescent="0.3">
      <c r="A1898" s="1">
        <v>45362</v>
      </c>
      <c r="B1898">
        <v>3525039.2530642198</v>
      </c>
      <c r="C1898">
        <f t="shared" si="33"/>
        <v>3884593.2568767704</v>
      </c>
    </row>
    <row r="1899" spans="1:3" x14ac:dyDescent="0.3">
      <c r="A1899" s="1">
        <v>45363</v>
      </c>
      <c r="B1899">
        <v>4742589.8284638803</v>
      </c>
      <c r="C1899">
        <f t="shared" si="33"/>
        <v>5226333.9909671964</v>
      </c>
    </row>
    <row r="1900" spans="1:3" x14ac:dyDescent="0.3">
      <c r="A1900" s="1">
        <v>45364</v>
      </c>
      <c r="B1900">
        <v>3441289.6289360402</v>
      </c>
      <c r="C1900">
        <f t="shared" si="33"/>
        <v>3792301.1710875165</v>
      </c>
    </row>
    <row r="1901" spans="1:3" x14ac:dyDescent="0.3">
      <c r="A1901" s="1">
        <v>45365</v>
      </c>
      <c r="B1901">
        <v>4997953.74372131</v>
      </c>
      <c r="C1901">
        <f t="shared" si="33"/>
        <v>5507745.025580884</v>
      </c>
    </row>
    <row r="1902" spans="1:3" x14ac:dyDescent="0.3">
      <c r="A1902" s="1">
        <v>45366</v>
      </c>
      <c r="B1902">
        <v>4065121.6613956098</v>
      </c>
      <c r="C1902">
        <f t="shared" si="33"/>
        <v>4479764.0708579626</v>
      </c>
    </row>
    <row r="1903" spans="1:3" x14ac:dyDescent="0.3">
      <c r="A1903" s="1">
        <v>45367</v>
      </c>
      <c r="B1903">
        <v>5344931.9110527802</v>
      </c>
      <c r="C1903">
        <f t="shared" si="33"/>
        <v>5890114.9659801647</v>
      </c>
    </row>
    <row r="1904" spans="1:3" x14ac:dyDescent="0.3">
      <c r="A1904" s="1">
        <v>45368</v>
      </c>
      <c r="B1904">
        <v>4352134.3753518201</v>
      </c>
      <c r="C1904">
        <f t="shared" si="33"/>
        <v>4796052.0816377066</v>
      </c>
    </row>
    <row r="1905" spans="1:3" x14ac:dyDescent="0.3">
      <c r="A1905" s="1">
        <v>45369</v>
      </c>
      <c r="B1905">
        <v>3741832.0950167398</v>
      </c>
      <c r="C1905">
        <f t="shared" si="33"/>
        <v>4123498.9687084476</v>
      </c>
    </row>
    <row r="1906" spans="1:3" x14ac:dyDescent="0.3">
      <c r="A1906" s="1">
        <v>45370</v>
      </c>
      <c r="B1906">
        <v>4209434.7292566197</v>
      </c>
      <c r="C1906">
        <f t="shared" si="33"/>
        <v>4638797.0716407951</v>
      </c>
    </row>
    <row r="1907" spans="1:3" x14ac:dyDescent="0.3">
      <c r="A1907" s="1">
        <v>45371</v>
      </c>
      <c r="B1907">
        <v>5874694.37480665</v>
      </c>
      <c r="C1907">
        <f t="shared" si="33"/>
        <v>6473913.2010369292</v>
      </c>
    </row>
    <row r="1908" spans="1:3" x14ac:dyDescent="0.3">
      <c r="A1908" s="1">
        <v>45372</v>
      </c>
      <c r="B1908">
        <v>4396961.5651550498</v>
      </c>
      <c r="C1908">
        <f t="shared" si="33"/>
        <v>4845451.6448008651</v>
      </c>
    </row>
    <row r="1909" spans="1:3" x14ac:dyDescent="0.3">
      <c r="A1909" s="1">
        <v>45373</v>
      </c>
      <c r="B1909">
        <v>4149901.0559811201</v>
      </c>
      <c r="C1909">
        <f t="shared" si="33"/>
        <v>4573190.9636911945</v>
      </c>
    </row>
    <row r="1910" spans="1:3" x14ac:dyDescent="0.3">
      <c r="A1910" s="1">
        <v>45374</v>
      </c>
      <c r="B1910">
        <v>3853172.0602126499</v>
      </c>
      <c r="C1910">
        <f t="shared" si="33"/>
        <v>4246195.6103543406</v>
      </c>
    </row>
    <row r="1911" spans="1:3" x14ac:dyDescent="0.3">
      <c r="A1911" s="1">
        <v>45375</v>
      </c>
      <c r="B1911">
        <v>3134849.3889544001</v>
      </c>
      <c r="C1911">
        <f t="shared" si="33"/>
        <v>3454604.0266277492</v>
      </c>
    </row>
    <row r="1912" spans="1:3" x14ac:dyDescent="0.3">
      <c r="A1912" s="1">
        <v>45376</v>
      </c>
      <c r="B1912">
        <v>5046430.1567626595</v>
      </c>
      <c r="C1912">
        <f t="shared" si="33"/>
        <v>5561166.0327524515</v>
      </c>
    </row>
    <row r="1913" spans="1:3" x14ac:dyDescent="0.3">
      <c r="A1913" s="1">
        <v>45377</v>
      </c>
      <c r="B1913">
        <v>3182068.35196247</v>
      </c>
      <c r="C1913">
        <f t="shared" si="33"/>
        <v>3506639.323862642</v>
      </c>
    </row>
    <row r="1914" spans="1:3" x14ac:dyDescent="0.3">
      <c r="A1914" s="1">
        <v>45378</v>
      </c>
      <c r="B1914">
        <v>3659601.56148778</v>
      </c>
      <c r="C1914">
        <f t="shared" si="33"/>
        <v>4032880.920759534</v>
      </c>
    </row>
    <row r="1915" spans="1:3" x14ac:dyDescent="0.3">
      <c r="A1915" s="1">
        <v>45379</v>
      </c>
      <c r="B1915">
        <v>3726061.9979962702</v>
      </c>
      <c r="C1915">
        <f t="shared" si="33"/>
        <v>4106120.3217918901</v>
      </c>
    </row>
    <row r="1916" spans="1:3" x14ac:dyDescent="0.3">
      <c r="A1916" s="1">
        <v>45380</v>
      </c>
      <c r="B1916">
        <v>5193835.3246119702</v>
      </c>
      <c r="C1916">
        <f t="shared" si="33"/>
        <v>5723606.5277223913</v>
      </c>
    </row>
    <row r="1917" spans="1:3" x14ac:dyDescent="0.3">
      <c r="A1917" s="1">
        <v>45381</v>
      </c>
      <c r="B1917">
        <v>5538253.6082988298</v>
      </c>
      <c r="C1917">
        <f t="shared" si="33"/>
        <v>6103155.4763453109</v>
      </c>
    </row>
    <row r="1918" spans="1:3" x14ac:dyDescent="0.3">
      <c r="A1918" s="1">
        <v>45382</v>
      </c>
      <c r="B1918">
        <v>4300752.4564901404</v>
      </c>
      <c r="C1918">
        <f t="shared" si="33"/>
        <v>4739429.2070521349</v>
      </c>
    </row>
    <row r="1919" spans="1:3" x14ac:dyDescent="0.3">
      <c r="A1919" s="1">
        <v>45383</v>
      </c>
      <c r="B1919">
        <v>3695150.5802218998</v>
      </c>
      <c r="C1919">
        <f t="shared" si="33"/>
        <v>4072055.9394045337</v>
      </c>
    </row>
    <row r="1920" spans="1:3" x14ac:dyDescent="0.3">
      <c r="A1920" s="1">
        <v>45384</v>
      </c>
      <c r="B1920">
        <v>4000127.3720044</v>
      </c>
      <c r="C1920">
        <f t="shared" si="33"/>
        <v>4408140.363948849</v>
      </c>
    </row>
    <row r="1921" spans="1:3" x14ac:dyDescent="0.3">
      <c r="A1921" s="1">
        <v>45385</v>
      </c>
      <c r="B1921">
        <v>4947359.29246742</v>
      </c>
      <c r="C1921">
        <f t="shared" si="33"/>
        <v>5451989.9402990974</v>
      </c>
    </row>
    <row r="1922" spans="1:3" x14ac:dyDescent="0.3">
      <c r="A1922" s="1">
        <v>45386</v>
      </c>
      <c r="B1922">
        <v>4098841.7879308001</v>
      </c>
      <c r="C1922">
        <f t="shared" si="33"/>
        <v>4516923.6502997419</v>
      </c>
    </row>
    <row r="1923" spans="1:3" x14ac:dyDescent="0.3">
      <c r="A1923" s="1">
        <v>45387</v>
      </c>
      <c r="B1923">
        <v>3817477.8292875299</v>
      </c>
      <c r="C1923">
        <f t="shared" ref="C1923:C1986" si="34">B1923*1.102</f>
        <v>4206860.5678748582</v>
      </c>
    </row>
    <row r="1924" spans="1:3" x14ac:dyDescent="0.3">
      <c r="A1924" s="1">
        <v>45388</v>
      </c>
      <c r="B1924">
        <v>5389069.7895324202</v>
      </c>
      <c r="C1924">
        <f t="shared" si="34"/>
        <v>5938754.9080647277</v>
      </c>
    </row>
    <row r="1925" spans="1:3" x14ac:dyDescent="0.3">
      <c r="A1925" s="1">
        <v>45389</v>
      </c>
      <c r="B1925">
        <v>3757793.8125572801</v>
      </c>
      <c r="C1925">
        <f t="shared" si="34"/>
        <v>4141088.781438123</v>
      </c>
    </row>
    <row r="1926" spans="1:3" x14ac:dyDescent="0.3">
      <c r="A1926" s="1">
        <v>45390</v>
      </c>
      <c r="B1926">
        <v>3224398.05857545</v>
      </c>
      <c r="C1926">
        <f t="shared" si="34"/>
        <v>3553286.6605501464</v>
      </c>
    </row>
    <row r="1927" spans="1:3" x14ac:dyDescent="0.3">
      <c r="A1927" s="1">
        <v>45391</v>
      </c>
      <c r="B1927">
        <v>3869332.6935139201</v>
      </c>
      <c r="C1927">
        <f t="shared" si="34"/>
        <v>4264004.6282523405</v>
      </c>
    </row>
    <row r="1928" spans="1:3" x14ac:dyDescent="0.3">
      <c r="A1928" s="1">
        <v>45392</v>
      </c>
      <c r="B1928">
        <v>4911261.9289606996</v>
      </c>
      <c r="C1928">
        <f t="shared" si="34"/>
        <v>5412210.6457146918</v>
      </c>
    </row>
    <row r="1929" spans="1:3" x14ac:dyDescent="0.3">
      <c r="A1929" s="1">
        <v>45393</v>
      </c>
      <c r="B1929">
        <v>3907591.9098724802</v>
      </c>
      <c r="C1929">
        <f t="shared" si="34"/>
        <v>4306166.2846794734</v>
      </c>
    </row>
    <row r="1930" spans="1:3" x14ac:dyDescent="0.3">
      <c r="A1930" s="1">
        <v>45394</v>
      </c>
      <c r="B1930">
        <v>3758169.3553642398</v>
      </c>
      <c r="C1930">
        <f t="shared" si="34"/>
        <v>4141502.6296113925</v>
      </c>
    </row>
    <row r="1931" spans="1:3" x14ac:dyDescent="0.3">
      <c r="A1931" s="1">
        <v>45395</v>
      </c>
      <c r="B1931">
        <v>4781556.5032805698</v>
      </c>
      <c r="C1931">
        <f t="shared" si="34"/>
        <v>5269275.2666151887</v>
      </c>
    </row>
    <row r="1932" spans="1:3" x14ac:dyDescent="0.3">
      <c r="A1932" s="1">
        <v>45396</v>
      </c>
      <c r="B1932">
        <v>4670363.4211527798</v>
      </c>
      <c r="C1932">
        <f t="shared" si="34"/>
        <v>5146740.4901103638</v>
      </c>
    </row>
    <row r="1933" spans="1:3" x14ac:dyDescent="0.3">
      <c r="A1933" s="1">
        <v>45397</v>
      </c>
      <c r="B1933">
        <v>3780397.9733588998</v>
      </c>
      <c r="C1933">
        <f t="shared" si="34"/>
        <v>4165998.5666415081</v>
      </c>
    </row>
    <row r="1934" spans="1:3" x14ac:dyDescent="0.3">
      <c r="A1934" s="1">
        <v>45398</v>
      </c>
      <c r="B1934">
        <v>4281318.8719839398</v>
      </c>
      <c r="C1934">
        <f t="shared" si="34"/>
        <v>4718013.3969263025</v>
      </c>
    </row>
    <row r="1935" spans="1:3" x14ac:dyDescent="0.3">
      <c r="A1935" s="1">
        <v>45399</v>
      </c>
      <c r="B1935">
        <v>2257531.0227617901</v>
      </c>
      <c r="C1935">
        <f t="shared" si="34"/>
        <v>2487799.187083493</v>
      </c>
    </row>
    <row r="1936" spans="1:3" x14ac:dyDescent="0.3">
      <c r="A1936" s="1">
        <v>45400</v>
      </c>
      <c r="B1936">
        <v>3536787.40772594</v>
      </c>
      <c r="C1936">
        <f t="shared" si="34"/>
        <v>3897539.7233139863</v>
      </c>
    </row>
    <row r="1937" spans="1:3" x14ac:dyDescent="0.3">
      <c r="A1937" s="1">
        <v>45401</v>
      </c>
      <c r="B1937">
        <v>4890921.7817168403</v>
      </c>
      <c r="C1937">
        <f t="shared" si="34"/>
        <v>5389795.8034519581</v>
      </c>
    </row>
    <row r="1938" spans="1:3" x14ac:dyDescent="0.3">
      <c r="A1938" s="1">
        <v>45402</v>
      </c>
      <c r="B1938">
        <v>4643871.5277972696</v>
      </c>
      <c r="C1938">
        <f t="shared" si="34"/>
        <v>5117546.423632592</v>
      </c>
    </row>
    <row r="1939" spans="1:3" x14ac:dyDescent="0.3">
      <c r="A1939" s="1">
        <v>45403</v>
      </c>
      <c r="B1939">
        <v>4478029.3761911402</v>
      </c>
      <c r="C1939">
        <f t="shared" si="34"/>
        <v>4934788.3725626366</v>
      </c>
    </row>
    <row r="1940" spans="1:3" x14ac:dyDescent="0.3">
      <c r="A1940" s="1">
        <v>45404</v>
      </c>
      <c r="B1940">
        <v>3145247.7147568599</v>
      </c>
      <c r="C1940">
        <f t="shared" si="34"/>
        <v>3466062.9816620601</v>
      </c>
    </row>
    <row r="1941" spans="1:3" x14ac:dyDescent="0.3">
      <c r="A1941" s="1">
        <v>45405</v>
      </c>
      <c r="B1941">
        <v>3919671.7996876901</v>
      </c>
      <c r="C1941">
        <f t="shared" si="34"/>
        <v>4319478.3232558351</v>
      </c>
    </row>
    <row r="1942" spans="1:3" x14ac:dyDescent="0.3">
      <c r="A1942" s="1">
        <v>45406</v>
      </c>
      <c r="B1942">
        <v>5287363.3531187903</v>
      </c>
      <c r="C1942">
        <f t="shared" si="34"/>
        <v>5826674.4151369072</v>
      </c>
    </row>
    <row r="1943" spans="1:3" x14ac:dyDescent="0.3">
      <c r="A1943" s="1">
        <v>45407</v>
      </c>
      <c r="B1943">
        <v>4386873.9073014297</v>
      </c>
      <c r="C1943">
        <f t="shared" si="34"/>
        <v>4834335.0458461763</v>
      </c>
    </row>
    <row r="1944" spans="1:3" x14ac:dyDescent="0.3">
      <c r="A1944" s="1">
        <v>45408</v>
      </c>
      <c r="B1944">
        <v>3857744.3902382399</v>
      </c>
      <c r="C1944">
        <f t="shared" si="34"/>
        <v>4251234.3180425409</v>
      </c>
    </row>
    <row r="1945" spans="1:3" x14ac:dyDescent="0.3">
      <c r="A1945" s="1">
        <v>45409</v>
      </c>
      <c r="B1945">
        <v>3517378.0980206202</v>
      </c>
      <c r="C1945">
        <f t="shared" si="34"/>
        <v>3876150.6640187236</v>
      </c>
    </row>
    <row r="1946" spans="1:3" x14ac:dyDescent="0.3">
      <c r="A1946" s="1">
        <v>45410</v>
      </c>
      <c r="B1946">
        <v>4438338.89654228</v>
      </c>
      <c r="C1946">
        <f t="shared" si="34"/>
        <v>4891049.4639895931</v>
      </c>
    </row>
    <row r="1947" spans="1:3" x14ac:dyDescent="0.3">
      <c r="A1947" s="1">
        <v>45411</v>
      </c>
      <c r="B1947">
        <v>2450561.8095412799</v>
      </c>
      <c r="C1947">
        <f t="shared" si="34"/>
        <v>2700519.1141144908</v>
      </c>
    </row>
    <row r="1948" spans="1:3" x14ac:dyDescent="0.3">
      <c r="A1948" s="1">
        <v>45412</v>
      </c>
      <c r="B1948">
        <v>3825109.9961199998</v>
      </c>
      <c r="C1948">
        <f t="shared" si="34"/>
        <v>4215271.2157242401</v>
      </c>
    </row>
    <row r="1949" spans="1:3" x14ac:dyDescent="0.3">
      <c r="A1949" s="1">
        <v>45413</v>
      </c>
      <c r="B1949">
        <v>5128648.1831358401</v>
      </c>
      <c r="C1949">
        <f t="shared" si="34"/>
        <v>5651770.2978156963</v>
      </c>
    </row>
    <row r="1950" spans="1:3" x14ac:dyDescent="0.3">
      <c r="A1950" s="1">
        <v>45414</v>
      </c>
      <c r="B1950">
        <v>2646882.3531414699</v>
      </c>
      <c r="C1950">
        <f t="shared" si="34"/>
        <v>2916864.3531618998</v>
      </c>
    </row>
    <row r="1951" spans="1:3" x14ac:dyDescent="0.3">
      <c r="A1951" s="1">
        <v>45415</v>
      </c>
      <c r="B1951">
        <v>3625122.2571037998</v>
      </c>
      <c r="C1951">
        <f t="shared" si="34"/>
        <v>3994884.7273283876</v>
      </c>
    </row>
    <row r="1952" spans="1:3" x14ac:dyDescent="0.3">
      <c r="A1952" s="1">
        <v>45416</v>
      </c>
      <c r="B1952">
        <v>4615736.7977151396</v>
      </c>
      <c r="C1952">
        <f t="shared" si="34"/>
        <v>5086541.9510820843</v>
      </c>
    </row>
    <row r="1953" spans="1:3" x14ac:dyDescent="0.3">
      <c r="A1953" s="1">
        <v>45417</v>
      </c>
      <c r="B1953">
        <v>4770523.2811535699</v>
      </c>
      <c r="C1953">
        <f t="shared" si="34"/>
        <v>5257116.6558312345</v>
      </c>
    </row>
    <row r="1954" spans="1:3" x14ac:dyDescent="0.3">
      <c r="A1954" s="1">
        <v>45418</v>
      </c>
      <c r="B1954">
        <v>4336739.3141231602</v>
      </c>
      <c r="C1954">
        <f t="shared" si="34"/>
        <v>4779086.7241637232</v>
      </c>
    </row>
    <row r="1955" spans="1:3" x14ac:dyDescent="0.3">
      <c r="A1955" s="1">
        <v>45419</v>
      </c>
      <c r="B1955">
        <v>4841393.0737451799</v>
      </c>
      <c r="C1955">
        <f t="shared" si="34"/>
        <v>5335215.1672671884</v>
      </c>
    </row>
    <row r="1956" spans="1:3" x14ac:dyDescent="0.3">
      <c r="A1956" s="1">
        <v>45420</v>
      </c>
      <c r="B1956">
        <v>2902384.9407843798</v>
      </c>
      <c r="C1956">
        <f t="shared" si="34"/>
        <v>3198428.204744387</v>
      </c>
    </row>
    <row r="1957" spans="1:3" x14ac:dyDescent="0.3">
      <c r="A1957" s="1">
        <v>45421</v>
      </c>
      <c r="B1957">
        <v>4007570.92562467</v>
      </c>
      <c r="C1957">
        <f t="shared" si="34"/>
        <v>4416343.1600383865</v>
      </c>
    </row>
    <row r="1958" spans="1:3" x14ac:dyDescent="0.3">
      <c r="A1958" s="1">
        <v>45422</v>
      </c>
      <c r="B1958">
        <v>4215649.2046336904</v>
      </c>
      <c r="C1958">
        <f t="shared" si="34"/>
        <v>4645645.423506327</v>
      </c>
    </row>
    <row r="1959" spans="1:3" x14ac:dyDescent="0.3">
      <c r="A1959" s="1">
        <v>45423</v>
      </c>
      <c r="B1959">
        <v>4238699.8264904702</v>
      </c>
      <c r="C1959">
        <f t="shared" si="34"/>
        <v>4671047.2087924983</v>
      </c>
    </row>
    <row r="1960" spans="1:3" x14ac:dyDescent="0.3">
      <c r="A1960" s="1">
        <v>45424</v>
      </c>
      <c r="B1960">
        <v>3087407.2576132701</v>
      </c>
      <c r="C1960">
        <f t="shared" si="34"/>
        <v>3402322.797889824</v>
      </c>
    </row>
    <row r="1961" spans="1:3" x14ac:dyDescent="0.3">
      <c r="A1961" s="1">
        <v>45425</v>
      </c>
      <c r="B1961">
        <v>6257837.4053237503</v>
      </c>
      <c r="C1961">
        <f t="shared" si="34"/>
        <v>6896136.8206667732</v>
      </c>
    </row>
    <row r="1962" spans="1:3" x14ac:dyDescent="0.3">
      <c r="A1962" s="1">
        <v>45426</v>
      </c>
      <c r="B1962">
        <v>4043781.3729303498</v>
      </c>
      <c r="C1962">
        <f t="shared" si="34"/>
        <v>4456247.0729692457</v>
      </c>
    </row>
    <row r="1963" spans="1:3" x14ac:dyDescent="0.3">
      <c r="A1963" s="1">
        <v>45427</v>
      </c>
      <c r="B1963">
        <v>3545763.1343008499</v>
      </c>
      <c r="C1963">
        <f t="shared" si="34"/>
        <v>3907430.9739995371</v>
      </c>
    </row>
    <row r="1964" spans="1:3" x14ac:dyDescent="0.3">
      <c r="A1964" s="1">
        <v>45428</v>
      </c>
      <c r="B1964">
        <v>3306505.22771719</v>
      </c>
      <c r="C1964">
        <f t="shared" si="34"/>
        <v>3643768.7609443436</v>
      </c>
    </row>
    <row r="1965" spans="1:3" x14ac:dyDescent="0.3">
      <c r="A1965" s="1">
        <v>45429</v>
      </c>
      <c r="B1965">
        <v>3911589.7661920502</v>
      </c>
      <c r="C1965">
        <f t="shared" si="34"/>
        <v>4310571.9223436397</v>
      </c>
    </row>
    <row r="1966" spans="1:3" x14ac:dyDescent="0.3">
      <c r="A1966" s="1">
        <v>45430</v>
      </c>
      <c r="B1966">
        <v>4070867.1850715</v>
      </c>
      <c r="C1966">
        <f t="shared" si="34"/>
        <v>4486095.6379487934</v>
      </c>
    </row>
    <row r="1967" spans="1:3" x14ac:dyDescent="0.3">
      <c r="A1967" s="1">
        <v>45431</v>
      </c>
      <c r="B1967">
        <v>4548362.2466790602</v>
      </c>
      <c r="C1967">
        <f t="shared" si="34"/>
        <v>5012295.1958403243</v>
      </c>
    </row>
    <row r="1968" spans="1:3" x14ac:dyDescent="0.3">
      <c r="A1968" s="1">
        <v>45432</v>
      </c>
      <c r="B1968">
        <v>3918854.8997819601</v>
      </c>
      <c r="C1968">
        <f t="shared" si="34"/>
        <v>4318578.0995597206</v>
      </c>
    </row>
    <row r="1969" spans="1:3" x14ac:dyDescent="0.3">
      <c r="A1969" s="1">
        <v>45433</v>
      </c>
      <c r="B1969">
        <v>4927741.2494925801</v>
      </c>
      <c r="C1969">
        <f t="shared" si="34"/>
        <v>5430370.8569408236</v>
      </c>
    </row>
    <row r="1970" spans="1:3" x14ac:dyDescent="0.3">
      <c r="A1970" s="1">
        <v>45434</v>
      </c>
      <c r="B1970">
        <v>3425863.7023509899</v>
      </c>
      <c r="C1970">
        <f t="shared" si="34"/>
        <v>3775301.7999907914</v>
      </c>
    </row>
    <row r="1971" spans="1:3" x14ac:dyDescent="0.3">
      <c r="A1971" s="1">
        <v>45435</v>
      </c>
      <c r="B1971">
        <v>4566789.2947318703</v>
      </c>
      <c r="C1971">
        <f t="shared" si="34"/>
        <v>5032601.8027945217</v>
      </c>
    </row>
    <row r="1972" spans="1:3" x14ac:dyDescent="0.3">
      <c r="A1972" s="1">
        <v>45436</v>
      </c>
      <c r="B1972">
        <v>4526417.7334661102</v>
      </c>
      <c r="C1972">
        <f t="shared" si="34"/>
        <v>4988112.342279654</v>
      </c>
    </row>
    <row r="1973" spans="1:3" x14ac:dyDescent="0.3">
      <c r="A1973" s="1">
        <v>45437</v>
      </c>
      <c r="B1973">
        <v>3824970.9957165802</v>
      </c>
      <c r="C1973">
        <f t="shared" si="34"/>
        <v>4215118.037279672</v>
      </c>
    </row>
    <row r="1974" spans="1:3" x14ac:dyDescent="0.3">
      <c r="A1974" s="1">
        <v>45438</v>
      </c>
      <c r="B1974">
        <v>3756658.9502169699</v>
      </c>
      <c r="C1974">
        <f t="shared" si="34"/>
        <v>4139838.1631391011</v>
      </c>
    </row>
    <row r="1975" spans="1:3" x14ac:dyDescent="0.3">
      <c r="A1975" s="1">
        <v>45439</v>
      </c>
      <c r="B1975">
        <v>4091671.5656283</v>
      </c>
      <c r="C1975">
        <f t="shared" si="34"/>
        <v>4509022.065322387</v>
      </c>
    </row>
    <row r="1976" spans="1:3" x14ac:dyDescent="0.3">
      <c r="A1976" s="1">
        <v>45440</v>
      </c>
      <c r="B1976">
        <v>5213164.8392685801</v>
      </c>
      <c r="C1976">
        <f t="shared" si="34"/>
        <v>5744907.6528739762</v>
      </c>
    </row>
    <row r="1977" spans="1:3" x14ac:dyDescent="0.3">
      <c r="A1977" s="1">
        <v>45441</v>
      </c>
      <c r="B1977">
        <v>4266757.2792245699</v>
      </c>
      <c r="C1977">
        <f t="shared" si="34"/>
        <v>4701966.5217054766</v>
      </c>
    </row>
    <row r="1978" spans="1:3" x14ac:dyDescent="0.3">
      <c r="A1978" s="1">
        <v>45442</v>
      </c>
      <c r="B1978">
        <v>3758980.3799890098</v>
      </c>
      <c r="C1978">
        <f t="shared" si="34"/>
        <v>4142396.3787478893</v>
      </c>
    </row>
    <row r="1979" spans="1:3" x14ac:dyDescent="0.3">
      <c r="A1979" s="1">
        <v>45443</v>
      </c>
      <c r="B1979">
        <v>3571133.6793712601</v>
      </c>
      <c r="C1979">
        <f t="shared" si="34"/>
        <v>3935389.314667129</v>
      </c>
    </row>
    <row r="1980" spans="1:3" x14ac:dyDescent="0.3">
      <c r="A1980" s="1">
        <v>45444</v>
      </c>
      <c r="B1980">
        <v>4411830.0896506999</v>
      </c>
      <c r="C1980">
        <f t="shared" si="34"/>
        <v>4861836.7587950714</v>
      </c>
    </row>
    <row r="1981" spans="1:3" x14ac:dyDescent="0.3">
      <c r="A1981" s="1">
        <v>45445</v>
      </c>
      <c r="B1981">
        <v>4803827.9569636201</v>
      </c>
      <c r="C1981">
        <f t="shared" si="34"/>
        <v>5293818.4085739097</v>
      </c>
    </row>
    <row r="1982" spans="1:3" x14ac:dyDescent="0.3">
      <c r="A1982" s="1">
        <v>45446</v>
      </c>
      <c r="B1982">
        <v>4748357.9813134596</v>
      </c>
      <c r="C1982">
        <f t="shared" si="34"/>
        <v>5232690.4954074332</v>
      </c>
    </row>
    <row r="1983" spans="1:3" x14ac:dyDescent="0.3">
      <c r="A1983" s="1">
        <v>45447</v>
      </c>
      <c r="B1983">
        <v>3940965.3059163899</v>
      </c>
      <c r="C1983">
        <f t="shared" si="34"/>
        <v>4342943.7671198621</v>
      </c>
    </row>
    <row r="1984" spans="1:3" x14ac:dyDescent="0.3">
      <c r="A1984" s="1">
        <v>45448</v>
      </c>
      <c r="B1984">
        <v>4827342.2519564899</v>
      </c>
      <c r="C1984">
        <f t="shared" si="34"/>
        <v>5319731.1616560519</v>
      </c>
    </row>
    <row r="1985" spans="1:3" x14ac:dyDescent="0.3">
      <c r="A1985" s="1">
        <v>45449</v>
      </c>
      <c r="B1985">
        <v>3821350.03005662</v>
      </c>
      <c r="C1985">
        <f t="shared" si="34"/>
        <v>4211127.7331223954</v>
      </c>
    </row>
    <row r="1986" spans="1:3" x14ac:dyDescent="0.3">
      <c r="A1986" s="1">
        <v>45450</v>
      </c>
      <c r="B1986">
        <v>3355496.4678073898</v>
      </c>
      <c r="C1986">
        <f t="shared" si="34"/>
        <v>3697757.107523744</v>
      </c>
    </row>
    <row r="1987" spans="1:3" x14ac:dyDescent="0.3">
      <c r="A1987" s="1">
        <v>45451</v>
      </c>
      <c r="B1987">
        <v>4509446.3923658403</v>
      </c>
      <c r="C1987">
        <f t="shared" ref="C1987:C2050" si="35">B1987*1.102</f>
        <v>4969409.924387156</v>
      </c>
    </row>
    <row r="1988" spans="1:3" x14ac:dyDescent="0.3">
      <c r="A1988" s="1">
        <v>45452</v>
      </c>
      <c r="B1988">
        <v>4202204.6707706396</v>
      </c>
      <c r="C1988">
        <f t="shared" si="35"/>
        <v>4630829.547189245</v>
      </c>
    </row>
    <row r="1989" spans="1:3" x14ac:dyDescent="0.3">
      <c r="A1989" s="1">
        <v>45453</v>
      </c>
      <c r="B1989">
        <v>3612066.7264139201</v>
      </c>
      <c r="C1989">
        <f t="shared" si="35"/>
        <v>3980497.5325081404</v>
      </c>
    </row>
    <row r="1990" spans="1:3" x14ac:dyDescent="0.3">
      <c r="A1990" s="1">
        <v>45454</v>
      </c>
      <c r="B1990">
        <v>3208280.5730056502</v>
      </c>
      <c r="C1990">
        <f t="shared" si="35"/>
        <v>3535525.1914522266</v>
      </c>
    </row>
    <row r="1991" spans="1:3" x14ac:dyDescent="0.3">
      <c r="A1991" s="1">
        <v>45455</v>
      </c>
      <c r="B1991">
        <v>4020249.7504174202</v>
      </c>
      <c r="C1991">
        <f t="shared" si="35"/>
        <v>4430315.2249599975</v>
      </c>
    </row>
    <row r="1992" spans="1:3" x14ac:dyDescent="0.3">
      <c r="A1992" s="1">
        <v>45456</v>
      </c>
      <c r="B1992">
        <v>4008841.31796144</v>
      </c>
      <c r="C1992">
        <f t="shared" si="35"/>
        <v>4417743.1323935073</v>
      </c>
    </row>
    <row r="1993" spans="1:3" x14ac:dyDescent="0.3">
      <c r="A1993" s="1">
        <v>45457</v>
      </c>
      <c r="B1993">
        <v>4161562.81261446</v>
      </c>
      <c r="C1993">
        <f t="shared" si="35"/>
        <v>4586042.2195011349</v>
      </c>
    </row>
    <row r="1994" spans="1:3" x14ac:dyDescent="0.3">
      <c r="A1994" s="1">
        <v>45458</v>
      </c>
      <c r="B1994">
        <v>4033416.5134746698</v>
      </c>
      <c r="C1994">
        <f t="shared" si="35"/>
        <v>4444824.9978490863</v>
      </c>
    </row>
    <row r="1995" spans="1:3" x14ac:dyDescent="0.3">
      <c r="A1995" s="1">
        <v>45459</v>
      </c>
      <c r="B1995">
        <v>4314475.4587253695</v>
      </c>
      <c r="C1995">
        <f t="shared" si="35"/>
        <v>4754551.9555153577</v>
      </c>
    </row>
    <row r="1996" spans="1:3" x14ac:dyDescent="0.3">
      <c r="A1996" s="1">
        <v>45460</v>
      </c>
      <c r="B1996">
        <v>4353187.0770302201</v>
      </c>
      <c r="C1996">
        <f t="shared" si="35"/>
        <v>4797212.1588873025</v>
      </c>
    </row>
    <row r="1997" spans="1:3" x14ac:dyDescent="0.3">
      <c r="A1997" s="1">
        <v>45461</v>
      </c>
      <c r="B1997">
        <v>2950430.96930457</v>
      </c>
      <c r="C1997">
        <f t="shared" si="35"/>
        <v>3251374.9281736366</v>
      </c>
    </row>
    <row r="1998" spans="1:3" x14ac:dyDescent="0.3">
      <c r="A1998" s="1">
        <v>45462</v>
      </c>
      <c r="B1998">
        <v>4808016.0013448</v>
      </c>
      <c r="C1998">
        <f t="shared" si="35"/>
        <v>5298433.6334819701</v>
      </c>
    </row>
    <row r="1999" spans="1:3" x14ac:dyDescent="0.3">
      <c r="A1999" s="1">
        <v>45463</v>
      </c>
      <c r="B1999">
        <v>3569913.3598133302</v>
      </c>
      <c r="C1999">
        <f t="shared" si="35"/>
        <v>3934044.5225142902</v>
      </c>
    </row>
    <row r="2000" spans="1:3" x14ac:dyDescent="0.3">
      <c r="A2000" s="1">
        <v>45464</v>
      </c>
      <c r="B2000">
        <v>3046963.96852548</v>
      </c>
      <c r="C2000">
        <f t="shared" si="35"/>
        <v>3357754.2933150791</v>
      </c>
    </row>
    <row r="2001" spans="1:3" x14ac:dyDescent="0.3">
      <c r="A2001" s="1">
        <v>45465</v>
      </c>
      <c r="B2001">
        <v>3355178.2871991098</v>
      </c>
      <c r="C2001">
        <f t="shared" si="35"/>
        <v>3697406.4724934194</v>
      </c>
    </row>
    <row r="2002" spans="1:3" x14ac:dyDescent="0.3">
      <c r="A2002" s="1">
        <v>45466</v>
      </c>
      <c r="B2002">
        <v>3936697.6998728099</v>
      </c>
      <c r="C2002">
        <f t="shared" si="35"/>
        <v>4338240.8652598374</v>
      </c>
    </row>
    <row r="2003" spans="1:3" x14ac:dyDescent="0.3">
      <c r="A2003" s="1">
        <v>45467</v>
      </c>
      <c r="B2003">
        <v>4326394.6240696702</v>
      </c>
      <c r="C2003">
        <f t="shared" si="35"/>
        <v>4767686.8757247766</v>
      </c>
    </row>
    <row r="2004" spans="1:3" x14ac:dyDescent="0.3">
      <c r="A2004" s="1">
        <v>45468</v>
      </c>
      <c r="B2004">
        <v>4276067.94991838</v>
      </c>
      <c r="C2004">
        <f t="shared" si="35"/>
        <v>4712226.880810055</v>
      </c>
    </row>
    <row r="2005" spans="1:3" x14ac:dyDescent="0.3">
      <c r="A2005" s="1">
        <v>45469</v>
      </c>
      <c r="B2005">
        <v>3116726.17749778</v>
      </c>
      <c r="C2005">
        <f t="shared" si="35"/>
        <v>3434632.2476025536</v>
      </c>
    </row>
    <row r="2006" spans="1:3" x14ac:dyDescent="0.3">
      <c r="A2006" s="1">
        <v>45470</v>
      </c>
      <c r="B2006">
        <v>4247840.0228917701</v>
      </c>
      <c r="C2006">
        <f t="shared" si="35"/>
        <v>4681119.7052267315</v>
      </c>
    </row>
    <row r="2007" spans="1:3" x14ac:dyDescent="0.3">
      <c r="A2007" s="1">
        <v>45471</v>
      </c>
      <c r="B2007">
        <v>4055887.91064225</v>
      </c>
      <c r="C2007">
        <f t="shared" si="35"/>
        <v>4469588.47752776</v>
      </c>
    </row>
    <row r="2008" spans="1:3" x14ac:dyDescent="0.3">
      <c r="A2008" s="1">
        <v>45472</v>
      </c>
      <c r="B2008">
        <v>3734153.1644296702</v>
      </c>
      <c r="C2008">
        <f t="shared" si="35"/>
        <v>4115036.7872014968</v>
      </c>
    </row>
    <row r="2009" spans="1:3" x14ac:dyDescent="0.3">
      <c r="A2009" s="1">
        <v>45473</v>
      </c>
      <c r="B2009">
        <v>4573767.53776858</v>
      </c>
      <c r="C2009">
        <f t="shared" si="35"/>
        <v>5040291.8266209755</v>
      </c>
    </row>
    <row r="2010" spans="1:3" x14ac:dyDescent="0.3">
      <c r="A2010" s="1">
        <v>45474</v>
      </c>
      <c r="B2010">
        <v>3286197.4537098398</v>
      </c>
      <c r="C2010">
        <f t="shared" si="35"/>
        <v>3621389.593988244</v>
      </c>
    </row>
    <row r="2011" spans="1:3" x14ac:dyDescent="0.3">
      <c r="A2011" s="1">
        <v>45475</v>
      </c>
      <c r="B2011">
        <v>4578530.1724962601</v>
      </c>
      <c r="C2011">
        <f t="shared" si="35"/>
        <v>5045540.2500908794</v>
      </c>
    </row>
    <row r="2012" spans="1:3" x14ac:dyDescent="0.3">
      <c r="A2012" s="1">
        <v>45476</v>
      </c>
      <c r="B2012">
        <v>3475993.9592200099</v>
      </c>
      <c r="C2012">
        <f t="shared" si="35"/>
        <v>3830545.3430604511</v>
      </c>
    </row>
    <row r="2013" spans="1:3" x14ac:dyDescent="0.3">
      <c r="A2013" s="1">
        <v>45477</v>
      </c>
      <c r="B2013">
        <v>3262729.35621785</v>
      </c>
      <c r="C2013">
        <f t="shared" si="35"/>
        <v>3595527.7505520708</v>
      </c>
    </row>
    <row r="2014" spans="1:3" x14ac:dyDescent="0.3">
      <c r="A2014" s="1">
        <v>45478</v>
      </c>
      <c r="B2014">
        <v>3926334.2424351601</v>
      </c>
      <c r="C2014">
        <f t="shared" si="35"/>
        <v>4326820.3351635467</v>
      </c>
    </row>
    <row r="2015" spans="1:3" x14ac:dyDescent="0.3">
      <c r="A2015" s="1">
        <v>45479</v>
      </c>
      <c r="B2015">
        <v>4497108.5610835003</v>
      </c>
      <c r="C2015">
        <f t="shared" si="35"/>
        <v>4955813.6343140174</v>
      </c>
    </row>
    <row r="2016" spans="1:3" x14ac:dyDescent="0.3">
      <c r="A2016" s="1">
        <v>45480</v>
      </c>
      <c r="B2016">
        <v>4227259.7272206498</v>
      </c>
      <c r="C2016">
        <f t="shared" si="35"/>
        <v>4658440.2193971565</v>
      </c>
    </row>
    <row r="2017" spans="1:3" x14ac:dyDescent="0.3">
      <c r="A2017" s="1">
        <v>45481</v>
      </c>
      <c r="B2017">
        <v>3320021.5223416402</v>
      </c>
      <c r="C2017">
        <f t="shared" si="35"/>
        <v>3658663.7176204878</v>
      </c>
    </row>
    <row r="2018" spans="1:3" x14ac:dyDescent="0.3">
      <c r="A2018" s="1">
        <v>45482</v>
      </c>
      <c r="B2018">
        <v>4992662.5680900803</v>
      </c>
      <c r="C2018">
        <f t="shared" si="35"/>
        <v>5501914.1500352686</v>
      </c>
    </row>
    <row r="2019" spans="1:3" x14ac:dyDescent="0.3">
      <c r="A2019" s="1">
        <v>45483</v>
      </c>
      <c r="B2019">
        <v>3599411.1956768702</v>
      </c>
      <c r="C2019">
        <f t="shared" si="35"/>
        <v>3966551.1376359113</v>
      </c>
    </row>
    <row r="2020" spans="1:3" x14ac:dyDescent="0.3">
      <c r="A2020" s="1">
        <v>45484</v>
      </c>
      <c r="B2020">
        <v>4630529.4723464502</v>
      </c>
      <c r="C2020">
        <f t="shared" si="35"/>
        <v>5102843.4785257885</v>
      </c>
    </row>
    <row r="2021" spans="1:3" x14ac:dyDescent="0.3">
      <c r="A2021" s="1">
        <v>45485</v>
      </c>
      <c r="B2021">
        <v>3906212.7920371699</v>
      </c>
      <c r="C2021">
        <f t="shared" si="35"/>
        <v>4304646.4968249612</v>
      </c>
    </row>
    <row r="2022" spans="1:3" x14ac:dyDescent="0.3">
      <c r="A2022" s="1">
        <v>45486</v>
      </c>
      <c r="B2022">
        <v>3923780.4538471201</v>
      </c>
      <c r="C2022">
        <f t="shared" si="35"/>
        <v>4324006.0601395266</v>
      </c>
    </row>
    <row r="2023" spans="1:3" x14ac:dyDescent="0.3">
      <c r="A2023" s="1">
        <v>45487</v>
      </c>
      <c r="B2023">
        <v>4077043.8424243098</v>
      </c>
      <c r="C2023">
        <f t="shared" si="35"/>
        <v>4492902.3143515894</v>
      </c>
    </row>
    <row r="2024" spans="1:3" x14ac:dyDescent="0.3">
      <c r="A2024" s="1">
        <v>45488</v>
      </c>
      <c r="B2024">
        <v>3815305.8460458899</v>
      </c>
      <c r="C2024">
        <f t="shared" si="35"/>
        <v>4204467.0423425706</v>
      </c>
    </row>
    <row r="2025" spans="1:3" x14ac:dyDescent="0.3">
      <c r="A2025" s="1">
        <v>45489</v>
      </c>
      <c r="B2025">
        <v>3617060.6280990802</v>
      </c>
      <c r="C2025">
        <f t="shared" si="35"/>
        <v>3986000.8121651867</v>
      </c>
    </row>
    <row r="2026" spans="1:3" x14ac:dyDescent="0.3">
      <c r="A2026" s="1">
        <v>45490</v>
      </c>
      <c r="B2026">
        <v>5458630.4987183101</v>
      </c>
      <c r="C2026">
        <f t="shared" si="35"/>
        <v>6015410.8095875783</v>
      </c>
    </row>
    <row r="2027" spans="1:3" x14ac:dyDescent="0.3">
      <c r="A2027" s="1">
        <v>45491</v>
      </c>
      <c r="B2027">
        <v>3371289.20923108</v>
      </c>
      <c r="C2027">
        <f t="shared" si="35"/>
        <v>3715160.7085726503</v>
      </c>
    </row>
    <row r="2028" spans="1:3" x14ac:dyDescent="0.3">
      <c r="A2028" s="1">
        <v>45492</v>
      </c>
      <c r="B2028">
        <v>3977375.9772733599</v>
      </c>
      <c r="C2028">
        <f t="shared" si="35"/>
        <v>4383068.326955243</v>
      </c>
    </row>
    <row r="2029" spans="1:3" x14ac:dyDescent="0.3">
      <c r="A2029" s="1">
        <v>45493</v>
      </c>
      <c r="B2029">
        <v>2660396.4991245898</v>
      </c>
      <c r="C2029">
        <f t="shared" si="35"/>
        <v>2931756.9420352983</v>
      </c>
    </row>
    <row r="2030" spans="1:3" x14ac:dyDescent="0.3">
      <c r="A2030" s="1">
        <v>45494</v>
      </c>
      <c r="B2030">
        <v>5021836.7833978999</v>
      </c>
      <c r="C2030">
        <f t="shared" si="35"/>
        <v>5534064.1353044864</v>
      </c>
    </row>
    <row r="2031" spans="1:3" x14ac:dyDescent="0.3">
      <c r="A2031" s="1">
        <v>45495</v>
      </c>
      <c r="B2031">
        <v>3692543.91076092</v>
      </c>
      <c r="C2031">
        <f t="shared" si="35"/>
        <v>4069183.3896585344</v>
      </c>
    </row>
    <row r="2032" spans="1:3" x14ac:dyDescent="0.3">
      <c r="A2032" s="1">
        <v>45496</v>
      </c>
      <c r="B2032">
        <v>5104824.5375576103</v>
      </c>
      <c r="C2032">
        <f t="shared" si="35"/>
        <v>5625516.6403884869</v>
      </c>
    </row>
    <row r="2033" spans="1:3" x14ac:dyDescent="0.3">
      <c r="A2033" s="1">
        <v>45497</v>
      </c>
      <c r="B2033">
        <v>3999542.7419012301</v>
      </c>
      <c r="C2033">
        <f t="shared" si="35"/>
        <v>4407496.1015751557</v>
      </c>
    </row>
    <row r="2034" spans="1:3" x14ac:dyDescent="0.3">
      <c r="A2034" s="1">
        <v>45498</v>
      </c>
      <c r="B2034">
        <v>4697738.2417486897</v>
      </c>
      <c r="C2034">
        <f t="shared" si="35"/>
        <v>5176907.5424070563</v>
      </c>
    </row>
    <row r="2035" spans="1:3" x14ac:dyDescent="0.3">
      <c r="A2035" s="1">
        <v>45499</v>
      </c>
      <c r="B2035">
        <v>2922738.4809247302</v>
      </c>
      <c r="C2035">
        <f t="shared" si="35"/>
        <v>3220857.805979053</v>
      </c>
    </row>
    <row r="2036" spans="1:3" x14ac:dyDescent="0.3">
      <c r="A2036" s="1">
        <v>45500</v>
      </c>
      <c r="B2036">
        <v>4230959.9776461199</v>
      </c>
      <c r="C2036">
        <f t="shared" si="35"/>
        <v>4662517.8953660242</v>
      </c>
    </row>
    <row r="2037" spans="1:3" x14ac:dyDescent="0.3">
      <c r="A2037" s="1">
        <v>45501</v>
      </c>
      <c r="B2037">
        <v>4020191.8127428298</v>
      </c>
      <c r="C2037">
        <f t="shared" si="35"/>
        <v>4430251.3776425989</v>
      </c>
    </row>
    <row r="2038" spans="1:3" x14ac:dyDescent="0.3">
      <c r="A2038" s="1">
        <v>45502</v>
      </c>
      <c r="B2038">
        <v>4262696.5570729598</v>
      </c>
      <c r="C2038">
        <f t="shared" si="35"/>
        <v>4697491.6058944017</v>
      </c>
    </row>
    <row r="2039" spans="1:3" x14ac:dyDescent="0.3">
      <c r="A2039" s="1">
        <v>45503</v>
      </c>
      <c r="B2039">
        <v>3634310.41394153</v>
      </c>
      <c r="C2039">
        <f t="shared" si="35"/>
        <v>4005010.0761635667</v>
      </c>
    </row>
    <row r="2040" spans="1:3" x14ac:dyDescent="0.3">
      <c r="A2040" s="1">
        <v>45504</v>
      </c>
      <c r="B2040">
        <v>3487297.4077288699</v>
      </c>
      <c r="C2040">
        <f t="shared" si="35"/>
        <v>3843001.7433172148</v>
      </c>
    </row>
    <row r="2041" spans="1:3" x14ac:dyDescent="0.3">
      <c r="A2041" s="1">
        <v>45505</v>
      </c>
      <c r="B2041">
        <v>3464322.5552760502</v>
      </c>
      <c r="C2041">
        <f t="shared" si="35"/>
        <v>3817683.4559142077</v>
      </c>
    </row>
    <row r="2042" spans="1:3" x14ac:dyDescent="0.3">
      <c r="A2042" s="1">
        <v>45506</v>
      </c>
      <c r="B2042">
        <v>3709675.93077895</v>
      </c>
      <c r="C2042">
        <f t="shared" si="35"/>
        <v>4088062.8757184031</v>
      </c>
    </row>
    <row r="2043" spans="1:3" x14ac:dyDescent="0.3">
      <c r="A2043" s="1">
        <v>45507</v>
      </c>
      <c r="B2043">
        <v>4316939.2348570498</v>
      </c>
      <c r="C2043">
        <f t="shared" si="35"/>
        <v>4757267.0368124694</v>
      </c>
    </row>
    <row r="2044" spans="1:3" x14ac:dyDescent="0.3">
      <c r="A2044" s="1">
        <v>45508</v>
      </c>
      <c r="B2044">
        <v>3008209.73383694</v>
      </c>
      <c r="C2044">
        <f t="shared" si="35"/>
        <v>3315047.1266883081</v>
      </c>
    </row>
    <row r="2045" spans="1:3" x14ac:dyDescent="0.3">
      <c r="A2045" s="1">
        <v>45509</v>
      </c>
      <c r="B2045">
        <v>3960496.7981033199</v>
      </c>
      <c r="C2045">
        <f t="shared" si="35"/>
        <v>4364467.471509859</v>
      </c>
    </row>
    <row r="2046" spans="1:3" x14ac:dyDescent="0.3">
      <c r="A2046" s="1">
        <v>45510</v>
      </c>
      <c r="B2046">
        <v>3963354.5111529799</v>
      </c>
      <c r="C2046">
        <f t="shared" si="35"/>
        <v>4367616.6712905839</v>
      </c>
    </row>
    <row r="2047" spans="1:3" x14ac:dyDescent="0.3">
      <c r="A2047" s="1">
        <v>45511</v>
      </c>
      <c r="B2047">
        <v>3592054.0099685201</v>
      </c>
      <c r="C2047">
        <f t="shared" si="35"/>
        <v>3958443.5189853096</v>
      </c>
    </row>
    <row r="2048" spans="1:3" x14ac:dyDescent="0.3">
      <c r="A2048" s="1">
        <v>45512</v>
      </c>
      <c r="B2048">
        <v>4153163.1046593301</v>
      </c>
      <c r="C2048">
        <f t="shared" si="35"/>
        <v>4576785.7413345817</v>
      </c>
    </row>
    <row r="2049" spans="1:3" x14ac:dyDescent="0.3">
      <c r="A2049" s="1">
        <v>45513</v>
      </c>
      <c r="B2049">
        <v>4436734.1723548602</v>
      </c>
      <c r="C2049">
        <f t="shared" si="35"/>
        <v>4889281.0579350563</v>
      </c>
    </row>
    <row r="2050" spans="1:3" x14ac:dyDescent="0.3">
      <c r="A2050" s="1">
        <v>45514</v>
      </c>
      <c r="B2050">
        <v>4908548.3886550199</v>
      </c>
      <c r="C2050">
        <f t="shared" si="35"/>
        <v>5409220.3242978323</v>
      </c>
    </row>
    <row r="2051" spans="1:3" x14ac:dyDescent="0.3">
      <c r="A2051" s="1">
        <v>45515</v>
      </c>
      <c r="B2051">
        <v>3839374.70535901</v>
      </c>
      <c r="C2051">
        <f t="shared" ref="C2051:C2114" si="36">B2051*1.102</f>
        <v>4230990.9253056291</v>
      </c>
    </row>
    <row r="2052" spans="1:3" x14ac:dyDescent="0.3">
      <c r="A2052" s="1">
        <v>45516</v>
      </c>
      <c r="B2052">
        <v>3952331.42383315</v>
      </c>
      <c r="C2052">
        <f t="shared" si="36"/>
        <v>4355469.2290641312</v>
      </c>
    </row>
    <row r="2053" spans="1:3" x14ac:dyDescent="0.3">
      <c r="A2053" s="1">
        <v>45517</v>
      </c>
      <c r="B2053">
        <v>4584056.4568117801</v>
      </c>
      <c r="C2053">
        <f t="shared" si="36"/>
        <v>5051630.2154065818</v>
      </c>
    </row>
    <row r="2054" spans="1:3" x14ac:dyDescent="0.3">
      <c r="A2054" s="1">
        <v>45518</v>
      </c>
      <c r="B2054">
        <v>3743737.8221399598</v>
      </c>
      <c r="C2054">
        <f t="shared" si="36"/>
        <v>4125599.0799982361</v>
      </c>
    </row>
    <row r="2055" spans="1:3" x14ac:dyDescent="0.3">
      <c r="A2055" s="1">
        <v>45519</v>
      </c>
      <c r="B2055">
        <v>3970088.4449061998</v>
      </c>
      <c r="C2055">
        <f t="shared" si="36"/>
        <v>4375037.4662866322</v>
      </c>
    </row>
    <row r="2056" spans="1:3" x14ac:dyDescent="0.3">
      <c r="A2056" s="1">
        <v>45520</v>
      </c>
      <c r="B2056">
        <v>3887943.8374034702</v>
      </c>
      <c r="C2056">
        <f t="shared" si="36"/>
        <v>4284514.1088186242</v>
      </c>
    </row>
    <row r="2057" spans="1:3" x14ac:dyDescent="0.3">
      <c r="A2057" s="1">
        <v>45521</v>
      </c>
      <c r="B2057">
        <v>3608609.2162755998</v>
      </c>
      <c r="C2057">
        <f t="shared" si="36"/>
        <v>3976687.3563357112</v>
      </c>
    </row>
    <row r="2058" spans="1:3" x14ac:dyDescent="0.3">
      <c r="A2058" s="1">
        <v>45522</v>
      </c>
      <c r="B2058">
        <v>3854497.6912540202</v>
      </c>
      <c r="C2058">
        <f t="shared" si="36"/>
        <v>4247656.4557619309</v>
      </c>
    </row>
    <row r="2059" spans="1:3" x14ac:dyDescent="0.3">
      <c r="A2059" s="1">
        <v>45523</v>
      </c>
      <c r="B2059">
        <v>3077278.9313074602</v>
      </c>
      <c r="C2059">
        <f t="shared" si="36"/>
        <v>3391161.3823008216</v>
      </c>
    </row>
    <row r="2060" spans="1:3" x14ac:dyDescent="0.3">
      <c r="A2060" s="1">
        <v>45524</v>
      </c>
      <c r="B2060">
        <v>3582355.23598151</v>
      </c>
      <c r="C2060">
        <f t="shared" si="36"/>
        <v>3947755.4700516243</v>
      </c>
    </row>
    <row r="2061" spans="1:3" x14ac:dyDescent="0.3">
      <c r="A2061" s="1">
        <v>45525</v>
      </c>
      <c r="B2061">
        <v>3367888.49389314</v>
      </c>
      <c r="C2061">
        <f t="shared" si="36"/>
        <v>3711413.1202702406</v>
      </c>
    </row>
    <row r="2062" spans="1:3" x14ac:dyDescent="0.3">
      <c r="A2062" s="1">
        <v>45526</v>
      </c>
      <c r="B2062">
        <v>3401562.41995236</v>
      </c>
      <c r="C2062">
        <f t="shared" si="36"/>
        <v>3748521.7867875011</v>
      </c>
    </row>
    <row r="2063" spans="1:3" x14ac:dyDescent="0.3">
      <c r="A2063" s="1">
        <v>45527</v>
      </c>
      <c r="B2063">
        <v>4133297.20086435</v>
      </c>
      <c r="C2063">
        <f t="shared" si="36"/>
        <v>4554893.5153525136</v>
      </c>
    </row>
    <row r="2064" spans="1:3" x14ac:dyDescent="0.3">
      <c r="A2064" s="1">
        <v>45528</v>
      </c>
      <c r="B2064">
        <v>4555670.2156663202</v>
      </c>
      <c r="C2064">
        <f t="shared" si="36"/>
        <v>5020348.577664285</v>
      </c>
    </row>
    <row r="2065" spans="1:3" x14ac:dyDescent="0.3">
      <c r="A2065" s="1">
        <v>45529</v>
      </c>
      <c r="B2065">
        <v>3800487.9252857198</v>
      </c>
      <c r="C2065">
        <f t="shared" si="36"/>
        <v>4188137.6936648637</v>
      </c>
    </row>
    <row r="2066" spans="1:3" x14ac:dyDescent="0.3">
      <c r="A2066" s="1">
        <v>45530</v>
      </c>
      <c r="B2066">
        <v>4733463.2799394997</v>
      </c>
      <c r="C2066">
        <f t="shared" si="36"/>
        <v>5216276.534493329</v>
      </c>
    </row>
    <row r="2067" spans="1:3" x14ac:dyDescent="0.3">
      <c r="A2067" s="1">
        <v>45531</v>
      </c>
      <c r="B2067">
        <v>4203960.9940889701</v>
      </c>
      <c r="C2067">
        <f t="shared" si="36"/>
        <v>4632765.0154860457</v>
      </c>
    </row>
    <row r="2068" spans="1:3" x14ac:dyDescent="0.3">
      <c r="A2068" s="1">
        <v>45532</v>
      </c>
      <c r="B2068">
        <v>5255202.8398198504</v>
      </c>
      <c r="C2068">
        <f t="shared" si="36"/>
        <v>5791233.5294814752</v>
      </c>
    </row>
    <row r="2069" spans="1:3" x14ac:dyDescent="0.3">
      <c r="A2069" s="1">
        <v>45533</v>
      </c>
      <c r="B2069">
        <v>3112521.87936424</v>
      </c>
      <c r="C2069">
        <f t="shared" si="36"/>
        <v>3429999.1110593928</v>
      </c>
    </row>
    <row r="2070" spans="1:3" x14ac:dyDescent="0.3">
      <c r="A2070" s="1">
        <v>45534</v>
      </c>
      <c r="B2070">
        <v>3653957.3056721301</v>
      </c>
      <c r="C2070">
        <f t="shared" si="36"/>
        <v>4026660.9508506875</v>
      </c>
    </row>
    <row r="2071" spans="1:3" x14ac:dyDescent="0.3">
      <c r="A2071" s="1">
        <v>45535</v>
      </c>
      <c r="B2071">
        <v>2792725.0945308199</v>
      </c>
      <c r="C2071">
        <f t="shared" si="36"/>
        <v>3077583.0541729638</v>
      </c>
    </row>
    <row r="2072" spans="1:3" x14ac:dyDescent="0.3">
      <c r="A2072" s="1">
        <v>45536</v>
      </c>
      <c r="B2072">
        <v>3261160.8004289102</v>
      </c>
      <c r="C2072">
        <f t="shared" si="36"/>
        <v>3593799.2020726595</v>
      </c>
    </row>
    <row r="2073" spans="1:3" x14ac:dyDescent="0.3">
      <c r="A2073" s="1">
        <v>45537</v>
      </c>
      <c r="B2073">
        <v>3527765.1799244699</v>
      </c>
      <c r="C2073">
        <f t="shared" si="36"/>
        <v>3887597.2282767664</v>
      </c>
    </row>
    <row r="2074" spans="1:3" x14ac:dyDescent="0.3">
      <c r="A2074" s="1">
        <v>45538</v>
      </c>
      <c r="B2074">
        <v>4894925.4881972102</v>
      </c>
      <c r="C2074">
        <f t="shared" si="36"/>
        <v>5394207.8879933264</v>
      </c>
    </row>
    <row r="2075" spans="1:3" x14ac:dyDescent="0.3">
      <c r="A2075" s="1">
        <v>45539</v>
      </c>
      <c r="B2075">
        <v>4392182.9724272704</v>
      </c>
      <c r="C2075">
        <f t="shared" si="36"/>
        <v>4840185.6356148524</v>
      </c>
    </row>
    <row r="2076" spans="1:3" x14ac:dyDescent="0.3">
      <c r="A2076" s="1">
        <v>45540</v>
      </c>
      <c r="B2076">
        <v>4212587.3459189199</v>
      </c>
      <c r="C2076">
        <f t="shared" si="36"/>
        <v>4642271.2552026501</v>
      </c>
    </row>
    <row r="2077" spans="1:3" x14ac:dyDescent="0.3">
      <c r="A2077" s="1">
        <v>45541</v>
      </c>
      <c r="B2077">
        <v>4968704.4206445804</v>
      </c>
      <c r="C2077">
        <f t="shared" si="36"/>
        <v>5475512.2715503285</v>
      </c>
    </row>
    <row r="2078" spans="1:3" x14ac:dyDescent="0.3">
      <c r="A2078" s="1">
        <v>45542</v>
      </c>
      <c r="B2078">
        <v>3279629.2344008801</v>
      </c>
      <c r="C2078">
        <f t="shared" si="36"/>
        <v>3614151.4163097702</v>
      </c>
    </row>
    <row r="2079" spans="1:3" x14ac:dyDescent="0.3">
      <c r="A2079" s="1">
        <v>45543</v>
      </c>
      <c r="B2079">
        <v>3785113.8779242202</v>
      </c>
      <c r="C2079">
        <f t="shared" si="36"/>
        <v>4171195.4934724909</v>
      </c>
    </row>
    <row r="2080" spans="1:3" x14ac:dyDescent="0.3">
      <c r="A2080" s="1">
        <v>45544</v>
      </c>
      <c r="B2080">
        <v>4586262.7311019804</v>
      </c>
      <c r="C2080">
        <f t="shared" si="36"/>
        <v>5054061.5296743829</v>
      </c>
    </row>
    <row r="2081" spans="1:3" x14ac:dyDescent="0.3">
      <c r="A2081" s="1">
        <v>45545</v>
      </c>
      <c r="B2081">
        <v>4539860.69499656</v>
      </c>
      <c r="C2081">
        <f t="shared" si="36"/>
        <v>5002926.4858862096</v>
      </c>
    </row>
    <row r="2082" spans="1:3" x14ac:dyDescent="0.3">
      <c r="A2082" s="1">
        <v>45546</v>
      </c>
      <c r="B2082">
        <v>3701064.6096437699</v>
      </c>
      <c r="C2082">
        <f t="shared" si="36"/>
        <v>4078573.199827435</v>
      </c>
    </row>
    <row r="2083" spans="1:3" x14ac:dyDescent="0.3">
      <c r="A2083" s="1">
        <v>45547</v>
      </c>
      <c r="B2083">
        <v>4566862.3921556799</v>
      </c>
      <c r="C2083">
        <f t="shared" si="36"/>
        <v>5032682.3561555594</v>
      </c>
    </row>
    <row r="2084" spans="1:3" x14ac:dyDescent="0.3">
      <c r="A2084" s="1">
        <v>45548</v>
      </c>
      <c r="B2084">
        <v>3265760.5726432698</v>
      </c>
      <c r="C2084">
        <f t="shared" si="36"/>
        <v>3598868.1510528838</v>
      </c>
    </row>
    <row r="2085" spans="1:3" x14ac:dyDescent="0.3">
      <c r="A2085" s="1">
        <v>45549</v>
      </c>
      <c r="B2085">
        <v>4135437.87147921</v>
      </c>
      <c r="C2085">
        <f t="shared" si="36"/>
        <v>4557252.5343700899</v>
      </c>
    </row>
    <row r="2086" spans="1:3" x14ac:dyDescent="0.3">
      <c r="A2086" s="1">
        <v>45550</v>
      </c>
      <c r="B2086">
        <v>3751318.6297950102</v>
      </c>
      <c r="C2086">
        <f t="shared" si="36"/>
        <v>4133953.1300341017</v>
      </c>
    </row>
    <row r="2087" spans="1:3" x14ac:dyDescent="0.3">
      <c r="A2087" s="1">
        <v>45551</v>
      </c>
      <c r="B2087">
        <v>3994567.3540567299</v>
      </c>
      <c r="C2087">
        <f t="shared" si="36"/>
        <v>4402013.2241705172</v>
      </c>
    </row>
    <row r="2088" spans="1:3" x14ac:dyDescent="0.3">
      <c r="A2088" s="1">
        <v>45552</v>
      </c>
      <c r="B2088">
        <v>3815833.2154214201</v>
      </c>
      <c r="C2088">
        <f t="shared" si="36"/>
        <v>4205048.2033944055</v>
      </c>
    </row>
    <row r="2089" spans="1:3" x14ac:dyDescent="0.3">
      <c r="A2089" s="1">
        <v>45553</v>
      </c>
      <c r="B2089">
        <v>5959696.18603482</v>
      </c>
      <c r="C2089">
        <f t="shared" si="36"/>
        <v>6567585.1970103718</v>
      </c>
    </row>
    <row r="2090" spans="1:3" x14ac:dyDescent="0.3">
      <c r="A2090" s="1">
        <v>45554</v>
      </c>
      <c r="B2090">
        <v>4101710.4038911602</v>
      </c>
      <c r="C2090">
        <f t="shared" si="36"/>
        <v>4520084.8650880586</v>
      </c>
    </row>
    <row r="2091" spans="1:3" x14ac:dyDescent="0.3">
      <c r="A2091" s="1">
        <v>45555</v>
      </c>
      <c r="B2091">
        <v>2700433.5359422602</v>
      </c>
      <c r="C2091">
        <f t="shared" si="36"/>
        <v>2975877.7566083712</v>
      </c>
    </row>
    <row r="2092" spans="1:3" x14ac:dyDescent="0.3">
      <c r="A2092" s="1">
        <v>45556</v>
      </c>
      <c r="B2092">
        <v>3732448.25061179</v>
      </c>
      <c r="C2092">
        <f t="shared" si="36"/>
        <v>4113157.9721741928</v>
      </c>
    </row>
    <row r="2093" spans="1:3" x14ac:dyDescent="0.3">
      <c r="A2093" s="1">
        <v>45557</v>
      </c>
      <c r="B2093">
        <v>3999094.2550298399</v>
      </c>
      <c r="C2093">
        <f t="shared" si="36"/>
        <v>4407001.8690428836</v>
      </c>
    </row>
    <row r="2094" spans="1:3" x14ac:dyDescent="0.3">
      <c r="A2094" s="1">
        <v>45558</v>
      </c>
      <c r="B2094">
        <v>5363237.0496451799</v>
      </c>
      <c r="C2094">
        <f t="shared" si="36"/>
        <v>5910287.228708989</v>
      </c>
    </row>
    <row r="2095" spans="1:3" x14ac:dyDescent="0.3">
      <c r="A2095" s="1">
        <v>45559</v>
      </c>
      <c r="B2095">
        <v>4238213.0816655802</v>
      </c>
      <c r="C2095">
        <f t="shared" si="36"/>
        <v>4670510.8159954697</v>
      </c>
    </row>
    <row r="2096" spans="1:3" x14ac:dyDescent="0.3">
      <c r="A2096" s="1">
        <v>45560</v>
      </c>
      <c r="B2096">
        <v>4870035.9364305399</v>
      </c>
      <c r="C2096">
        <f t="shared" si="36"/>
        <v>5366779.6019464554</v>
      </c>
    </row>
    <row r="2097" spans="1:3" x14ac:dyDescent="0.3">
      <c r="A2097" s="1">
        <v>45561</v>
      </c>
      <c r="B2097">
        <v>2913357.0795308701</v>
      </c>
      <c r="C2097">
        <f t="shared" si="36"/>
        <v>3210519.5016430193</v>
      </c>
    </row>
    <row r="2098" spans="1:3" x14ac:dyDescent="0.3">
      <c r="A2098" s="1">
        <v>45562</v>
      </c>
      <c r="B2098">
        <v>4424004.17783444</v>
      </c>
      <c r="C2098">
        <f t="shared" si="36"/>
        <v>4875252.6039735535</v>
      </c>
    </row>
    <row r="2099" spans="1:3" x14ac:dyDescent="0.3">
      <c r="A2099" s="1">
        <v>45563</v>
      </c>
      <c r="B2099">
        <v>3727948.9327233802</v>
      </c>
      <c r="C2099">
        <f t="shared" si="36"/>
        <v>4108199.7238611653</v>
      </c>
    </row>
    <row r="2100" spans="1:3" x14ac:dyDescent="0.3">
      <c r="A2100" s="1">
        <v>45564</v>
      </c>
      <c r="B2100">
        <v>3641859.3778017</v>
      </c>
      <c r="C2100">
        <f t="shared" si="36"/>
        <v>4013329.0343374736</v>
      </c>
    </row>
    <row r="2101" spans="1:3" x14ac:dyDescent="0.3">
      <c r="A2101" s="1">
        <v>45565</v>
      </c>
      <c r="B2101">
        <v>3738917.42018286</v>
      </c>
      <c r="C2101">
        <f t="shared" si="36"/>
        <v>4120286.9970415123</v>
      </c>
    </row>
    <row r="2102" spans="1:3" x14ac:dyDescent="0.3">
      <c r="A2102" s="1">
        <v>45566</v>
      </c>
      <c r="B2102">
        <v>2902850.1928962101</v>
      </c>
      <c r="C2102">
        <f t="shared" si="36"/>
        <v>3198940.9125716239</v>
      </c>
    </row>
    <row r="2103" spans="1:3" x14ac:dyDescent="0.3">
      <c r="A2103" s="1">
        <v>45567</v>
      </c>
      <c r="B2103">
        <v>4947366.4291065903</v>
      </c>
      <c r="C2103">
        <f t="shared" si="36"/>
        <v>5451997.8048754632</v>
      </c>
    </row>
    <row r="2104" spans="1:3" x14ac:dyDescent="0.3">
      <c r="A2104" s="1">
        <v>45568</v>
      </c>
      <c r="B2104">
        <v>2651712.2400703798</v>
      </c>
      <c r="C2104">
        <f t="shared" si="36"/>
        <v>2922186.8885575589</v>
      </c>
    </row>
    <row r="2105" spans="1:3" x14ac:dyDescent="0.3">
      <c r="A2105" s="1">
        <v>45569</v>
      </c>
      <c r="B2105">
        <v>4252660.8668642603</v>
      </c>
      <c r="C2105">
        <f t="shared" si="36"/>
        <v>4686432.2752844151</v>
      </c>
    </row>
    <row r="2106" spans="1:3" x14ac:dyDescent="0.3">
      <c r="A2106" s="1">
        <v>45570</v>
      </c>
      <c r="B2106">
        <v>4704050.7935308795</v>
      </c>
      <c r="C2106">
        <f t="shared" si="36"/>
        <v>5183863.9744710298</v>
      </c>
    </row>
    <row r="2107" spans="1:3" x14ac:dyDescent="0.3">
      <c r="A2107" s="1">
        <v>45571</v>
      </c>
      <c r="B2107">
        <v>3723431.6065026801</v>
      </c>
      <c r="C2107">
        <f t="shared" si="36"/>
        <v>4103221.6303659538</v>
      </c>
    </row>
    <row r="2108" spans="1:3" x14ac:dyDescent="0.3">
      <c r="A2108" s="1">
        <v>45572</v>
      </c>
      <c r="B2108">
        <v>4343111.65580713</v>
      </c>
      <c r="C2108">
        <f t="shared" si="36"/>
        <v>4786109.0446994575</v>
      </c>
    </row>
    <row r="2109" spans="1:3" x14ac:dyDescent="0.3">
      <c r="A2109" s="1">
        <v>45573</v>
      </c>
      <c r="B2109">
        <v>3922035.8722090102</v>
      </c>
      <c r="C2109">
        <f t="shared" si="36"/>
        <v>4322083.5311743291</v>
      </c>
    </row>
    <row r="2110" spans="1:3" x14ac:dyDescent="0.3">
      <c r="A2110" s="1">
        <v>45574</v>
      </c>
      <c r="B2110">
        <v>3895736.3696019398</v>
      </c>
      <c r="C2110">
        <f t="shared" si="36"/>
        <v>4293101.4793013381</v>
      </c>
    </row>
    <row r="2111" spans="1:3" x14ac:dyDescent="0.3">
      <c r="A2111" s="1">
        <v>45575</v>
      </c>
      <c r="B2111">
        <v>4096581.6304585198</v>
      </c>
      <c r="C2111">
        <f t="shared" si="36"/>
        <v>4514432.9567652894</v>
      </c>
    </row>
    <row r="2112" spans="1:3" x14ac:dyDescent="0.3">
      <c r="A2112" s="1">
        <v>45576</v>
      </c>
      <c r="B2112">
        <v>3946585.0491097001</v>
      </c>
      <c r="C2112">
        <f t="shared" si="36"/>
        <v>4349136.7241188902</v>
      </c>
    </row>
    <row r="2113" spans="1:3" x14ac:dyDescent="0.3">
      <c r="A2113" s="1">
        <v>45577</v>
      </c>
      <c r="B2113">
        <v>4534704.8092527399</v>
      </c>
      <c r="C2113">
        <f t="shared" si="36"/>
        <v>4997244.6997965202</v>
      </c>
    </row>
    <row r="2114" spans="1:3" x14ac:dyDescent="0.3">
      <c r="A2114" s="1">
        <v>45578</v>
      </c>
      <c r="B2114">
        <v>4320473.4219610998</v>
      </c>
      <c r="C2114">
        <f t="shared" si="36"/>
        <v>4761161.7110011326</v>
      </c>
    </row>
    <row r="2115" spans="1:3" x14ac:dyDescent="0.3">
      <c r="A2115" s="1">
        <v>45579</v>
      </c>
      <c r="B2115">
        <v>3500077.60801156</v>
      </c>
      <c r="C2115">
        <f t="shared" ref="C2115:C2178" si="37">B2115*1.102</f>
        <v>3857085.5240287394</v>
      </c>
    </row>
    <row r="2116" spans="1:3" x14ac:dyDescent="0.3">
      <c r="A2116" s="1">
        <v>45580</v>
      </c>
      <c r="B2116">
        <v>3845133.3635900398</v>
      </c>
      <c r="C2116">
        <f t="shared" si="37"/>
        <v>4237336.966676224</v>
      </c>
    </row>
    <row r="2117" spans="1:3" x14ac:dyDescent="0.3">
      <c r="A2117" s="1">
        <v>45581</v>
      </c>
      <c r="B2117">
        <v>2792390.1144389501</v>
      </c>
      <c r="C2117">
        <f t="shared" si="37"/>
        <v>3077213.9061117233</v>
      </c>
    </row>
    <row r="2118" spans="1:3" x14ac:dyDescent="0.3">
      <c r="A2118" s="1">
        <v>45582</v>
      </c>
      <c r="B2118">
        <v>2796570.12737031</v>
      </c>
      <c r="C2118">
        <f t="shared" si="37"/>
        <v>3081820.2803620817</v>
      </c>
    </row>
    <row r="2119" spans="1:3" x14ac:dyDescent="0.3">
      <c r="A2119" s="1">
        <v>45583</v>
      </c>
      <c r="B2119">
        <v>4508461.1100343801</v>
      </c>
      <c r="C2119">
        <f t="shared" si="37"/>
        <v>4968324.1432578871</v>
      </c>
    </row>
    <row r="2120" spans="1:3" x14ac:dyDescent="0.3">
      <c r="A2120" s="1">
        <v>45584</v>
      </c>
      <c r="B2120">
        <v>3769890.2700496302</v>
      </c>
      <c r="C2120">
        <f t="shared" si="37"/>
        <v>4154419.0775946928</v>
      </c>
    </row>
    <row r="2121" spans="1:3" x14ac:dyDescent="0.3">
      <c r="A2121" s="1">
        <v>45585</v>
      </c>
      <c r="B2121">
        <v>3665042.02837006</v>
      </c>
      <c r="C2121">
        <f t="shared" si="37"/>
        <v>4038876.3152638064</v>
      </c>
    </row>
    <row r="2122" spans="1:3" x14ac:dyDescent="0.3">
      <c r="A2122" s="1">
        <v>45586</v>
      </c>
      <c r="B2122">
        <v>2378435.5463460302</v>
      </c>
      <c r="C2122">
        <f t="shared" si="37"/>
        <v>2621035.9720733254</v>
      </c>
    </row>
    <row r="2123" spans="1:3" x14ac:dyDescent="0.3">
      <c r="A2123" s="1">
        <v>45587</v>
      </c>
      <c r="B2123">
        <v>3028510.38084871</v>
      </c>
      <c r="C2123">
        <f t="shared" si="37"/>
        <v>3337418.4396952786</v>
      </c>
    </row>
    <row r="2124" spans="1:3" x14ac:dyDescent="0.3">
      <c r="A2124" s="1">
        <v>45588</v>
      </c>
      <c r="B2124">
        <v>4075536.5945677301</v>
      </c>
      <c r="C2124">
        <f t="shared" si="37"/>
        <v>4491241.3272136394</v>
      </c>
    </row>
    <row r="2125" spans="1:3" x14ac:dyDescent="0.3">
      <c r="A2125" s="1">
        <v>45589</v>
      </c>
      <c r="B2125">
        <v>4107406.6116923201</v>
      </c>
      <c r="C2125">
        <f t="shared" si="37"/>
        <v>4526362.0860849367</v>
      </c>
    </row>
    <row r="2126" spans="1:3" x14ac:dyDescent="0.3">
      <c r="A2126" s="1">
        <v>45590</v>
      </c>
      <c r="B2126">
        <v>4192654.46055457</v>
      </c>
      <c r="C2126">
        <f t="shared" si="37"/>
        <v>4620305.2155311368</v>
      </c>
    </row>
    <row r="2127" spans="1:3" x14ac:dyDescent="0.3">
      <c r="A2127" s="1">
        <v>45591</v>
      </c>
      <c r="B2127">
        <v>3002370.9610707201</v>
      </c>
      <c r="C2127">
        <f t="shared" si="37"/>
        <v>3308612.7990999338</v>
      </c>
    </row>
    <row r="2128" spans="1:3" x14ac:dyDescent="0.3">
      <c r="A2128" s="1">
        <v>45592</v>
      </c>
      <c r="B2128">
        <v>3517666.6449941699</v>
      </c>
      <c r="C2128">
        <f t="shared" si="37"/>
        <v>3876468.6427835757</v>
      </c>
    </row>
    <row r="2129" spans="1:3" x14ac:dyDescent="0.3">
      <c r="A2129" s="1">
        <v>45593</v>
      </c>
      <c r="B2129">
        <v>2730755.3266099198</v>
      </c>
      <c r="C2129">
        <f t="shared" si="37"/>
        <v>3009292.3699241318</v>
      </c>
    </row>
    <row r="2130" spans="1:3" x14ac:dyDescent="0.3">
      <c r="A2130" s="1">
        <v>45594</v>
      </c>
      <c r="B2130">
        <v>2697969.0947396201</v>
      </c>
      <c r="C2130">
        <f t="shared" si="37"/>
        <v>2973161.9424030618</v>
      </c>
    </row>
    <row r="2131" spans="1:3" x14ac:dyDescent="0.3">
      <c r="A2131" s="1">
        <v>45595</v>
      </c>
      <c r="B2131">
        <v>1279108.0526338799</v>
      </c>
      <c r="C2131">
        <f t="shared" si="37"/>
        <v>1409577.0740025358</v>
      </c>
    </row>
    <row r="2132" spans="1:3" x14ac:dyDescent="0.3">
      <c r="A2132" s="1">
        <v>45596</v>
      </c>
      <c r="B2132">
        <v>2568420.1922585401</v>
      </c>
      <c r="C2132">
        <f t="shared" si="37"/>
        <v>2830399.0518689114</v>
      </c>
    </row>
    <row r="2133" spans="1:3" x14ac:dyDescent="0.3">
      <c r="A2133" s="1">
        <v>45597</v>
      </c>
      <c r="B2133">
        <v>2947651.6802727999</v>
      </c>
      <c r="C2133">
        <f t="shared" si="37"/>
        <v>3248312.1516606258</v>
      </c>
    </row>
    <row r="2134" spans="1:3" x14ac:dyDescent="0.3">
      <c r="A2134" s="1">
        <v>45598</v>
      </c>
      <c r="B2134">
        <v>3600320.33017086</v>
      </c>
      <c r="C2134">
        <f t="shared" si="37"/>
        <v>3967553.0038482882</v>
      </c>
    </row>
    <row r="2135" spans="1:3" x14ac:dyDescent="0.3">
      <c r="A2135" s="1">
        <v>45599</v>
      </c>
      <c r="B2135">
        <v>4116974.98321144</v>
      </c>
      <c r="C2135">
        <f t="shared" si="37"/>
        <v>4536906.4314990072</v>
      </c>
    </row>
    <row r="2136" spans="1:3" x14ac:dyDescent="0.3">
      <c r="A2136" s="1">
        <v>45600</v>
      </c>
      <c r="B2136">
        <v>4610399.8169275196</v>
      </c>
      <c r="C2136">
        <f t="shared" si="37"/>
        <v>5080660.5982541274</v>
      </c>
    </row>
    <row r="2137" spans="1:3" x14ac:dyDescent="0.3">
      <c r="A2137" s="1">
        <v>45601</v>
      </c>
      <c r="B2137">
        <v>3797665.2332747998</v>
      </c>
      <c r="C2137">
        <f t="shared" si="37"/>
        <v>4185027.0870688297</v>
      </c>
    </row>
    <row r="2138" spans="1:3" x14ac:dyDescent="0.3">
      <c r="A2138" s="1">
        <v>45602</v>
      </c>
      <c r="B2138">
        <v>4587313.5403419901</v>
      </c>
      <c r="C2138">
        <f t="shared" si="37"/>
        <v>5055219.521456873</v>
      </c>
    </row>
    <row r="2139" spans="1:3" x14ac:dyDescent="0.3">
      <c r="A2139" s="1">
        <v>45603</v>
      </c>
      <c r="B2139">
        <v>4592685.2344748704</v>
      </c>
      <c r="C2139">
        <f t="shared" si="37"/>
        <v>5061139.1283913078</v>
      </c>
    </row>
    <row r="2140" spans="1:3" x14ac:dyDescent="0.3">
      <c r="A2140" s="1">
        <v>45604</v>
      </c>
      <c r="B2140">
        <v>4697843.9060019003</v>
      </c>
      <c r="C2140">
        <f t="shared" si="37"/>
        <v>5177023.9844140941</v>
      </c>
    </row>
    <row r="2141" spans="1:3" x14ac:dyDescent="0.3">
      <c r="A2141" s="1">
        <v>45605</v>
      </c>
      <c r="B2141">
        <v>3827524.0945318299</v>
      </c>
      <c r="C2141">
        <f t="shared" si="37"/>
        <v>4217931.5521740774</v>
      </c>
    </row>
    <row r="2142" spans="1:3" x14ac:dyDescent="0.3">
      <c r="A2142" s="1">
        <v>45606</v>
      </c>
      <c r="B2142">
        <v>4122424.33597008</v>
      </c>
      <c r="C2142">
        <f t="shared" si="37"/>
        <v>4542911.6182390284</v>
      </c>
    </row>
    <row r="2143" spans="1:3" x14ac:dyDescent="0.3">
      <c r="A2143" s="1">
        <v>45607</v>
      </c>
      <c r="B2143">
        <v>4332917.15468622</v>
      </c>
      <c r="C2143">
        <f t="shared" si="37"/>
        <v>4774874.7044642149</v>
      </c>
    </row>
    <row r="2144" spans="1:3" x14ac:dyDescent="0.3">
      <c r="A2144" s="1">
        <v>45608</v>
      </c>
      <c r="B2144">
        <v>3848720.02476522</v>
      </c>
      <c r="C2144">
        <f t="shared" si="37"/>
        <v>4241289.4672912732</v>
      </c>
    </row>
    <row r="2145" spans="1:3" x14ac:dyDescent="0.3">
      <c r="A2145" s="1">
        <v>45609</v>
      </c>
      <c r="B2145">
        <v>3198963.5265949802</v>
      </c>
      <c r="C2145">
        <f t="shared" si="37"/>
        <v>3525257.8063076683</v>
      </c>
    </row>
    <row r="2146" spans="1:3" x14ac:dyDescent="0.3">
      <c r="A2146" s="1">
        <v>45610</v>
      </c>
      <c r="B2146">
        <v>2653508.4247545302</v>
      </c>
      <c r="C2146">
        <f t="shared" si="37"/>
        <v>2924166.2840794926</v>
      </c>
    </row>
    <row r="2147" spans="1:3" x14ac:dyDescent="0.3">
      <c r="A2147" s="1">
        <v>45611</v>
      </c>
      <c r="B2147">
        <v>2594933.1086404901</v>
      </c>
      <c r="C2147">
        <f t="shared" si="37"/>
        <v>2859616.2857218203</v>
      </c>
    </row>
    <row r="2148" spans="1:3" x14ac:dyDescent="0.3">
      <c r="A2148" s="1">
        <v>45612</v>
      </c>
      <c r="B2148">
        <v>3694936.8957322701</v>
      </c>
      <c r="C2148">
        <f t="shared" si="37"/>
        <v>4071820.4590969621</v>
      </c>
    </row>
    <row r="2149" spans="1:3" x14ac:dyDescent="0.3">
      <c r="A2149" s="1">
        <v>45613</v>
      </c>
      <c r="B2149">
        <v>2966787.0974399801</v>
      </c>
      <c r="C2149">
        <f t="shared" si="37"/>
        <v>3269399.3813788584</v>
      </c>
    </row>
    <row r="2150" spans="1:3" x14ac:dyDescent="0.3">
      <c r="A2150" s="1">
        <v>45614</v>
      </c>
      <c r="B2150">
        <v>4028267.0320128398</v>
      </c>
      <c r="C2150">
        <f t="shared" si="37"/>
        <v>4439150.2692781501</v>
      </c>
    </row>
    <row r="2151" spans="1:3" x14ac:dyDescent="0.3">
      <c r="A2151" s="1">
        <v>45615</v>
      </c>
      <c r="B2151">
        <v>3453225.2172250901</v>
      </c>
      <c r="C2151">
        <f t="shared" si="37"/>
        <v>3805454.1893820497</v>
      </c>
    </row>
    <row r="2152" spans="1:3" x14ac:dyDescent="0.3">
      <c r="A2152" s="1">
        <v>45616</v>
      </c>
      <c r="B2152">
        <v>3317491.5195735898</v>
      </c>
      <c r="C2152">
        <f t="shared" si="37"/>
        <v>3655875.6545700962</v>
      </c>
    </row>
    <row r="2153" spans="1:3" x14ac:dyDescent="0.3">
      <c r="A2153" s="1">
        <v>45617</v>
      </c>
      <c r="B2153">
        <v>4190623.0148003902</v>
      </c>
      <c r="C2153">
        <f t="shared" si="37"/>
        <v>4618066.5623100307</v>
      </c>
    </row>
    <row r="2154" spans="1:3" x14ac:dyDescent="0.3">
      <c r="A2154" s="1">
        <v>45618</v>
      </c>
      <c r="B2154">
        <v>3419808.6506696902</v>
      </c>
      <c r="C2154">
        <f t="shared" si="37"/>
        <v>3768629.1330379988</v>
      </c>
    </row>
    <row r="2155" spans="1:3" x14ac:dyDescent="0.3">
      <c r="A2155" s="1">
        <v>45619</v>
      </c>
      <c r="B2155">
        <v>2381829.1853479999</v>
      </c>
      <c r="C2155">
        <f t="shared" si="37"/>
        <v>2624775.7622534963</v>
      </c>
    </row>
    <row r="2156" spans="1:3" x14ac:dyDescent="0.3">
      <c r="A2156" s="1">
        <v>45620</v>
      </c>
      <c r="B2156">
        <v>2614645.6773487101</v>
      </c>
      <c r="C2156">
        <f t="shared" si="37"/>
        <v>2881339.5364382789</v>
      </c>
    </row>
    <row r="2157" spans="1:3" x14ac:dyDescent="0.3">
      <c r="A2157" s="1">
        <v>45621</v>
      </c>
      <c r="B2157">
        <v>3139865.88022658</v>
      </c>
      <c r="C2157">
        <f t="shared" si="37"/>
        <v>3460132.2000096915</v>
      </c>
    </row>
    <row r="2158" spans="1:3" x14ac:dyDescent="0.3">
      <c r="A2158" s="1">
        <v>45622</v>
      </c>
      <c r="B2158">
        <v>3332758.67191731</v>
      </c>
      <c r="C2158">
        <f t="shared" si="37"/>
        <v>3672700.056452876</v>
      </c>
    </row>
    <row r="2159" spans="1:3" x14ac:dyDescent="0.3">
      <c r="A2159" s="1">
        <v>45623</v>
      </c>
      <c r="B2159">
        <v>4263664.5009685904</v>
      </c>
      <c r="C2159">
        <f t="shared" si="37"/>
        <v>4698558.280067387</v>
      </c>
    </row>
    <row r="2160" spans="1:3" x14ac:dyDescent="0.3">
      <c r="A2160" s="1">
        <v>45624</v>
      </c>
      <c r="B2160">
        <v>2087216.66739806</v>
      </c>
      <c r="C2160">
        <f t="shared" si="37"/>
        <v>2300112.7674726625</v>
      </c>
    </row>
    <row r="2161" spans="1:3" x14ac:dyDescent="0.3">
      <c r="A2161" s="1">
        <v>45625</v>
      </c>
      <c r="B2161">
        <v>2710043.05398791</v>
      </c>
      <c r="C2161">
        <f t="shared" si="37"/>
        <v>2986467.4454946769</v>
      </c>
    </row>
    <row r="2162" spans="1:3" x14ac:dyDescent="0.3">
      <c r="A2162" s="1">
        <v>45626</v>
      </c>
      <c r="B2162">
        <v>3977650.0917596198</v>
      </c>
      <c r="C2162">
        <f t="shared" si="37"/>
        <v>4383370.4011191018</v>
      </c>
    </row>
    <row r="2163" spans="1:3" x14ac:dyDescent="0.3">
      <c r="A2163" s="1">
        <v>45627</v>
      </c>
      <c r="B2163">
        <v>1597161.19803629</v>
      </c>
      <c r="C2163">
        <f t="shared" si="37"/>
        <v>1760071.6402359917</v>
      </c>
    </row>
    <row r="2164" spans="1:3" x14ac:dyDescent="0.3">
      <c r="A2164" s="1">
        <v>45628</v>
      </c>
      <c r="B2164">
        <v>2811318.5402054102</v>
      </c>
      <c r="C2164">
        <f t="shared" si="37"/>
        <v>3098073.0313063622</v>
      </c>
    </row>
    <row r="2165" spans="1:3" x14ac:dyDescent="0.3">
      <c r="A2165" s="1">
        <v>45629</v>
      </c>
      <c r="B2165">
        <v>2867151.8737309701</v>
      </c>
      <c r="C2165">
        <f t="shared" si="37"/>
        <v>3159601.3648515292</v>
      </c>
    </row>
    <row r="2166" spans="1:3" x14ac:dyDescent="0.3">
      <c r="A2166" s="1">
        <v>45630</v>
      </c>
      <c r="B2166">
        <v>2669645.3694347702</v>
      </c>
      <c r="C2166">
        <f t="shared" si="37"/>
        <v>2941949.1971171168</v>
      </c>
    </row>
    <row r="2167" spans="1:3" x14ac:dyDescent="0.3">
      <c r="A2167" s="1">
        <v>45631</v>
      </c>
      <c r="B2167">
        <v>4426581.6146326996</v>
      </c>
      <c r="C2167">
        <f t="shared" si="37"/>
        <v>4878092.9393252358</v>
      </c>
    </row>
    <row r="2168" spans="1:3" x14ac:dyDescent="0.3">
      <c r="A2168" s="1">
        <v>45632</v>
      </c>
      <c r="B2168">
        <v>2782150.7478831098</v>
      </c>
      <c r="C2168">
        <f t="shared" si="37"/>
        <v>3065930.1241671871</v>
      </c>
    </row>
    <row r="2169" spans="1:3" x14ac:dyDescent="0.3">
      <c r="A2169" s="1">
        <v>45633</v>
      </c>
      <c r="B2169">
        <v>3213140.1700934302</v>
      </c>
      <c r="C2169">
        <f t="shared" si="37"/>
        <v>3540880.4674429605</v>
      </c>
    </row>
    <row r="2170" spans="1:3" x14ac:dyDescent="0.3">
      <c r="A2170" s="1">
        <v>45634</v>
      </c>
      <c r="B2170">
        <v>3841915.4456813699</v>
      </c>
      <c r="C2170">
        <f t="shared" si="37"/>
        <v>4233790.8211408695</v>
      </c>
    </row>
    <row r="2171" spans="1:3" x14ac:dyDescent="0.3">
      <c r="A2171" s="1">
        <v>45635</v>
      </c>
      <c r="B2171">
        <v>3669851.09934186</v>
      </c>
      <c r="C2171">
        <f t="shared" si="37"/>
        <v>4044175.9114747299</v>
      </c>
    </row>
    <row r="2172" spans="1:3" x14ac:dyDescent="0.3">
      <c r="A2172" s="1">
        <v>45636</v>
      </c>
      <c r="B2172">
        <v>3271974.2187790801</v>
      </c>
      <c r="C2172">
        <f t="shared" si="37"/>
        <v>3605715.5890945466</v>
      </c>
    </row>
    <row r="2173" spans="1:3" x14ac:dyDescent="0.3">
      <c r="A2173" s="1">
        <v>45637</v>
      </c>
      <c r="B2173">
        <v>3199116.5523278601</v>
      </c>
      <c r="C2173">
        <f t="shared" si="37"/>
        <v>3525426.4406653023</v>
      </c>
    </row>
    <row r="2174" spans="1:3" x14ac:dyDescent="0.3">
      <c r="A2174" s="1">
        <v>45638</v>
      </c>
      <c r="B2174">
        <v>3513062.28411686</v>
      </c>
      <c r="C2174">
        <f t="shared" si="37"/>
        <v>3871394.6370967799</v>
      </c>
    </row>
    <row r="2175" spans="1:3" x14ac:dyDescent="0.3">
      <c r="A2175" s="1">
        <v>45639</v>
      </c>
      <c r="B2175">
        <v>3644420.8512186902</v>
      </c>
      <c r="C2175">
        <f t="shared" si="37"/>
        <v>4016151.7780429968</v>
      </c>
    </row>
    <row r="2176" spans="1:3" x14ac:dyDescent="0.3">
      <c r="A2176" s="1">
        <v>45640</v>
      </c>
      <c r="B2176">
        <v>3293196.4788266402</v>
      </c>
      <c r="C2176">
        <f t="shared" si="37"/>
        <v>3629102.5196669577</v>
      </c>
    </row>
    <row r="2177" spans="1:3" x14ac:dyDescent="0.3">
      <c r="A2177" s="1">
        <v>45641</v>
      </c>
      <c r="B2177">
        <v>3882429.2997417501</v>
      </c>
      <c r="C2177">
        <f t="shared" si="37"/>
        <v>4278437.0883154087</v>
      </c>
    </row>
    <row r="2178" spans="1:3" x14ac:dyDescent="0.3">
      <c r="A2178" s="1">
        <v>45642</v>
      </c>
      <c r="B2178">
        <v>2378089.3903612699</v>
      </c>
      <c r="C2178">
        <f t="shared" si="37"/>
        <v>2620654.5081781195</v>
      </c>
    </row>
    <row r="2179" spans="1:3" x14ac:dyDescent="0.3">
      <c r="A2179" s="1">
        <v>45643</v>
      </c>
      <c r="B2179">
        <v>1998267.5770047801</v>
      </c>
      <c r="C2179">
        <f t="shared" ref="C2179:C2242" si="38">B2179*1.102</f>
        <v>2202090.869859268</v>
      </c>
    </row>
    <row r="2180" spans="1:3" x14ac:dyDescent="0.3">
      <c r="A2180" s="1">
        <v>45644</v>
      </c>
      <c r="B2180">
        <v>4085271.6949658701</v>
      </c>
      <c r="C2180">
        <f t="shared" si="38"/>
        <v>4501969.4078523889</v>
      </c>
    </row>
    <row r="2181" spans="1:3" x14ac:dyDescent="0.3">
      <c r="A2181" s="1">
        <v>45645</v>
      </c>
      <c r="B2181">
        <v>2646918.0419484</v>
      </c>
      <c r="C2181">
        <f t="shared" si="38"/>
        <v>2916903.682227137</v>
      </c>
    </row>
    <row r="2182" spans="1:3" x14ac:dyDescent="0.3">
      <c r="A2182" s="1">
        <v>45646</v>
      </c>
      <c r="B2182">
        <v>2728281.5582913798</v>
      </c>
      <c r="C2182">
        <f t="shared" si="38"/>
        <v>3006566.277237101</v>
      </c>
    </row>
    <row r="2183" spans="1:3" x14ac:dyDescent="0.3">
      <c r="A2183" s="1">
        <v>45647</v>
      </c>
      <c r="B2183">
        <v>2875482.2709147902</v>
      </c>
      <c r="C2183">
        <f t="shared" si="38"/>
        <v>3168781.462548099</v>
      </c>
    </row>
    <row r="2184" spans="1:3" x14ac:dyDescent="0.3">
      <c r="A2184" s="1">
        <v>45648</v>
      </c>
      <c r="B2184">
        <v>4116191.2595257401</v>
      </c>
      <c r="C2184">
        <f t="shared" si="38"/>
        <v>4536042.7679973664</v>
      </c>
    </row>
    <row r="2185" spans="1:3" x14ac:dyDescent="0.3">
      <c r="A2185" s="1">
        <v>45649</v>
      </c>
      <c r="B2185">
        <v>2761582.1238716901</v>
      </c>
      <c r="C2185">
        <f t="shared" si="38"/>
        <v>3043263.5005066027</v>
      </c>
    </row>
    <row r="2186" spans="1:3" x14ac:dyDescent="0.3">
      <c r="A2186" s="1">
        <v>45650</v>
      </c>
      <c r="B2186">
        <v>3781455.0841407399</v>
      </c>
      <c r="C2186">
        <f t="shared" si="38"/>
        <v>4167163.5027230955</v>
      </c>
    </row>
    <row r="2187" spans="1:3" x14ac:dyDescent="0.3">
      <c r="A2187" s="1">
        <v>45651</v>
      </c>
      <c r="B2187">
        <v>3481872.76442128</v>
      </c>
      <c r="C2187">
        <f t="shared" si="38"/>
        <v>3837023.786392251</v>
      </c>
    </row>
    <row r="2188" spans="1:3" x14ac:dyDescent="0.3">
      <c r="A2188" s="1">
        <v>45652</v>
      </c>
      <c r="B2188">
        <v>3069327.03063227</v>
      </c>
      <c r="C2188">
        <f t="shared" si="38"/>
        <v>3382398.3877567616</v>
      </c>
    </row>
    <row r="2189" spans="1:3" x14ac:dyDescent="0.3">
      <c r="A2189" s="1">
        <v>45653</v>
      </c>
      <c r="B2189">
        <v>2854527.7427536598</v>
      </c>
      <c r="C2189">
        <f t="shared" si="38"/>
        <v>3145689.5725145335</v>
      </c>
    </row>
    <row r="2190" spans="1:3" x14ac:dyDescent="0.3">
      <c r="A2190" s="1">
        <v>45654</v>
      </c>
      <c r="B2190">
        <v>2386727.52832689</v>
      </c>
      <c r="C2190">
        <f t="shared" si="38"/>
        <v>2630173.7362162331</v>
      </c>
    </row>
    <row r="2191" spans="1:3" x14ac:dyDescent="0.3">
      <c r="A2191" s="1">
        <v>45655</v>
      </c>
      <c r="B2191">
        <v>2961070.95893279</v>
      </c>
      <c r="C2191">
        <f t="shared" si="38"/>
        <v>3263100.1967439349</v>
      </c>
    </row>
    <row r="2192" spans="1:3" x14ac:dyDescent="0.3">
      <c r="A2192" s="1">
        <v>45656</v>
      </c>
      <c r="B2192">
        <v>3011728.1384032299</v>
      </c>
      <c r="C2192">
        <f t="shared" si="38"/>
        <v>3318924.4085203595</v>
      </c>
    </row>
    <row r="2193" spans="1:3" x14ac:dyDescent="0.3">
      <c r="A2193" s="1">
        <v>45657</v>
      </c>
      <c r="B2193">
        <v>3051679.21441969</v>
      </c>
      <c r="C2193">
        <f t="shared" si="38"/>
        <v>3362950.4942904986</v>
      </c>
    </row>
    <row r="2194" spans="1:3" x14ac:dyDescent="0.3">
      <c r="A2194" s="1">
        <v>45658</v>
      </c>
      <c r="B2194">
        <v>3461482.30787011</v>
      </c>
      <c r="C2194">
        <f t="shared" si="38"/>
        <v>3814553.5032728617</v>
      </c>
    </row>
    <row r="2195" spans="1:3" x14ac:dyDescent="0.3">
      <c r="A2195" s="1">
        <v>45659</v>
      </c>
      <c r="B2195">
        <v>2690731.2457041699</v>
      </c>
      <c r="C2195">
        <f t="shared" si="38"/>
        <v>2965185.8327659955</v>
      </c>
    </row>
    <row r="2196" spans="1:3" x14ac:dyDescent="0.3">
      <c r="A2196" s="1">
        <v>45660</v>
      </c>
      <c r="B2196">
        <v>4130155.5257052798</v>
      </c>
      <c r="C2196">
        <f t="shared" si="38"/>
        <v>4551431.3893272188</v>
      </c>
    </row>
    <row r="2197" spans="1:3" x14ac:dyDescent="0.3">
      <c r="A2197" s="1">
        <v>45661</v>
      </c>
      <c r="B2197">
        <v>3587893.7697831001</v>
      </c>
      <c r="C2197">
        <f t="shared" si="38"/>
        <v>3953858.9343009768</v>
      </c>
    </row>
    <row r="2198" spans="1:3" x14ac:dyDescent="0.3">
      <c r="A2198" s="1">
        <v>45662</v>
      </c>
      <c r="B2198">
        <v>2275274.7466179002</v>
      </c>
      <c r="C2198">
        <f t="shared" si="38"/>
        <v>2507352.770772926</v>
      </c>
    </row>
    <row r="2199" spans="1:3" x14ac:dyDescent="0.3">
      <c r="A2199" s="1">
        <v>45663</v>
      </c>
      <c r="B2199">
        <v>1986450.79845248</v>
      </c>
      <c r="C2199">
        <f t="shared" si="38"/>
        <v>2189068.7798946332</v>
      </c>
    </row>
    <row r="2200" spans="1:3" x14ac:dyDescent="0.3">
      <c r="A2200" s="1">
        <v>45664</v>
      </c>
      <c r="B2200">
        <v>3064271.7911295998</v>
      </c>
      <c r="C2200">
        <f t="shared" si="38"/>
        <v>3376827.5138248191</v>
      </c>
    </row>
    <row r="2201" spans="1:3" x14ac:dyDescent="0.3">
      <c r="A2201" s="1">
        <v>45665</v>
      </c>
      <c r="B2201">
        <v>3001218.8437953601</v>
      </c>
      <c r="C2201">
        <f t="shared" si="38"/>
        <v>3307343.1658624872</v>
      </c>
    </row>
    <row r="2202" spans="1:3" x14ac:dyDescent="0.3">
      <c r="A2202" s="1">
        <v>45666</v>
      </c>
      <c r="B2202">
        <v>3586066.4988850001</v>
      </c>
      <c r="C2202">
        <f t="shared" si="38"/>
        <v>3951845.2817712706</v>
      </c>
    </row>
    <row r="2203" spans="1:3" x14ac:dyDescent="0.3">
      <c r="A2203" s="1">
        <v>45667</v>
      </c>
      <c r="B2203">
        <v>3643982.0163688902</v>
      </c>
      <c r="C2203">
        <f t="shared" si="38"/>
        <v>4015668.1820385172</v>
      </c>
    </row>
    <row r="2204" spans="1:3" x14ac:dyDescent="0.3">
      <c r="A2204" s="1">
        <v>45668</v>
      </c>
      <c r="B2204">
        <v>3407503.8102496699</v>
      </c>
      <c r="C2204">
        <f t="shared" si="38"/>
        <v>3755069.1988951364</v>
      </c>
    </row>
    <row r="2205" spans="1:3" x14ac:dyDescent="0.3">
      <c r="A2205" s="1">
        <v>45669</v>
      </c>
      <c r="B2205">
        <v>4142960.4226338202</v>
      </c>
      <c r="C2205">
        <f t="shared" si="38"/>
        <v>4565542.3857424706</v>
      </c>
    </row>
    <row r="2206" spans="1:3" x14ac:dyDescent="0.3">
      <c r="A2206" s="1">
        <v>45670</v>
      </c>
      <c r="B2206">
        <v>2417735.5294495798</v>
      </c>
      <c r="C2206">
        <f t="shared" si="38"/>
        <v>2664344.5534534371</v>
      </c>
    </row>
    <row r="2207" spans="1:3" x14ac:dyDescent="0.3">
      <c r="A2207" s="1">
        <v>45671</v>
      </c>
      <c r="B2207">
        <v>2807492.3094402701</v>
      </c>
      <c r="C2207">
        <f t="shared" si="38"/>
        <v>3093856.525003178</v>
      </c>
    </row>
    <row r="2208" spans="1:3" x14ac:dyDescent="0.3">
      <c r="A2208" s="1">
        <v>45672</v>
      </c>
      <c r="B2208">
        <v>3296374.2326945001</v>
      </c>
      <c r="C2208">
        <f t="shared" si="38"/>
        <v>3632604.4044293393</v>
      </c>
    </row>
    <row r="2209" spans="1:3" x14ac:dyDescent="0.3">
      <c r="A2209" s="1">
        <v>45673</v>
      </c>
      <c r="B2209">
        <v>3392285.2611167398</v>
      </c>
      <c r="C2209">
        <f t="shared" si="38"/>
        <v>3738298.3577506477</v>
      </c>
    </row>
    <row r="2210" spans="1:3" x14ac:dyDescent="0.3">
      <c r="A2210" s="1">
        <v>45674</v>
      </c>
      <c r="B2210">
        <v>3205691.91728761</v>
      </c>
      <c r="C2210">
        <f t="shared" si="38"/>
        <v>3532672.4928509467</v>
      </c>
    </row>
    <row r="2211" spans="1:3" x14ac:dyDescent="0.3">
      <c r="A2211" s="1">
        <v>45675</v>
      </c>
      <c r="B2211">
        <v>3368138.4646043</v>
      </c>
      <c r="C2211">
        <f t="shared" si="38"/>
        <v>3711688.5879939389</v>
      </c>
    </row>
    <row r="2212" spans="1:3" x14ac:dyDescent="0.3">
      <c r="A2212" s="1">
        <v>45676</v>
      </c>
      <c r="B2212">
        <v>2305902.10935634</v>
      </c>
      <c r="C2212">
        <f t="shared" si="38"/>
        <v>2541104.1245106868</v>
      </c>
    </row>
    <row r="2213" spans="1:3" x14ac:dyDescent="0.3">
      <c r="A2213" s="1">
        <v>45677</v>
      </c>
      <c r="B2213">
        <v>2477023.41788927</v>
      </c>
      <c r="C2213">
        <f t="shared" si="38"/>
        <v>2729679.8065139758</v>
      </c>
    </row>
    <row r="2214" spans="1:3" x14ac:dyDescent="0.3">
      <c r="A2214" s="1">
        <v>45678</v>
      </c>
      <c r="B2214">
        <v>2981886.4519229</v>
      </c>
      <c r="C2214">
        <f t="shared" si="38"/>
        <v>3286038.8700190363</v>
      </c>
    </row>
    <row r="2215" spans="1:3" x14ac:dyDescent="0.3">
      <c r="A2215" s="1">
        <v>45679</v>
      </c>
      <c r="B2215">
        <v>3005902.3035467798</v>
      </c>
      <c r="C2215">
        <f t="shared" si="38"/>
        <v>3312504.3385085515</v>
      </c>
    </row>
    <row r="2216" spans="1:3" x14ac:dyDescent="0.3">
      <c r="A2216" s="1">
        <v>45680</v>
      </c>
      <c r="B2216">
        <v>2991673.3558532801</v>
      </c>
      <c r="C2216">
        <f t="shared" si="38"/>
        <v>3296824.0381503147</v>
      </c>
    </row>
    <row r="2217" spans="1:3" x14ac:dyDescent="0.3">
      <c r="A2217" s="1">
        <v>45681</v>
      </c>
      <c r="B2217">
        <v>3662761.1958139301</v>
      </c>
      <c r="C2217">
        <f t="shared" si="38"/>
        <v>4036362.8377869511</v>
      </c>
    </row>
    <row r="2218" spans="1:3" x14ac:dyDescent="0.3">
      <c r="A2218" s="1">
        <v>45682</v>
      </c>
      <c r="B2218">
        <v>3576223.5793875302</v>
      </c>
      <c r="C2218">
        <f t="shared" si="38"/>
        <v>3940998.3844850585</v>
      </c>
    </row>
    <row r="2219" spans="1:3" x14ac:dyDescent="0.3">
      <c r="A2219" s="1">
        <v>45683</v>
      </c>
      <c r="B2219">
        <v>3216564.8599986499</v>
      </c>
      <c r="C2219">
        <f t="shared" si="38"/>
        <v>3544654.4757185127</v>
      </c>
    </row>
    <row r="2220" spans="1:3" x14ac:dyDescent="0.3">
      <c r="A2220" s="1">
        <v>45684</v>
      </c>
      <c r="B2220">
        <v>2956925.2151563801</v>
      </c>
      <c r="C2220">
        <f t="shared" si="38"/>
        <v>3258531.5871023312</v>
      </c>
    </row>
    <row r="2221" spans="1:3" x14ac:dyDescent="0.3">
      <c r="A2221" s="1">
        <v>45685</v>
      </c>
      <c r="B2221">
        <v>2642121.30324094</v>
      </c>
      <c r="C2221">
        <f t="shared" si="38"/>
        <v>2911617.6761715161</v>
      </c>
    </row>
    <row r="2222" spans="1:3" x14ac:dyDescent="0.3">
      <c r="A2222" s="1">
        <v>45686</v>
      </c>
      <c r="B2222">
        <v>2561619.8054830302</v>
      </c>
      <c r="C2222">
        <f t="shared" si="38"/>
        <v>2822905.0256422996</v>
      </c>
    </row>
    <row r="2223" spans="1:3" x14ac:dyDescent="0.3">
      <c r="A2223" s="1">
        <v>45687</v>
      </c>
      <c r="B2223">
        <v>3591032.8997138999</v>
      </c>
      <c r="C2223">
        <f t="shared" si="38"/>
        <v>3957318.2554847179</v>
      </c>
    </row>
    <row r="2224" spans="1:3" x14ac:dyDescent="0.3">
      <c r="A2224" s="1">
        <v>45688</v>
      </c>
      <c r="B2224">
        <v>2298902.1891418002</v>
      </c>
      <c r="C2224">
        <f t="shared" si="38"/>
        <v>2533390.2124342639</v>
      </c>
    </row>
    <row r="2225" spans="1:3" x14ac:dyDescent="0.3">
      <c r="A2225" s="1">
        <v>45689</v>
      </c>
      <c r="B2225">
        <v>2839697.0731777698</v>
      </c>
      <c r="C2225">
        <f t="shared" si="38"/>
        <v>3129346.1746419026</v>
      </c>
    </row>
    <row r="2226" spans="1:3" x14ac:dyDescent="0.3">
      <c r="A2226" s="1">
        <v>45690</v>
      </c>
      <c r="B2226">
        <v>2146820.6095566102</v>
      </c>
      <c r="C2226">
        <f t="shared" si="38"/>
        <v>2365796.3117313846</v>
      </c>
    </row>
    <row r="2227" spans="1:3" x14ac:dyDescent="0.3">
      <c r="A2227" s="1">
        <v>45691</v>
      </c>
      <c r="B2227">
        <v>3507755.2945534699</v>
      </c>
      <c r="C2227">
        <f t="shared" si="38"/>
        <v>3865546.3345979243</v>
      </c>
    </row>
    <row r="2228" spans="1:3" x14ac:dyDescent="0.3">
      <c r="A2228" s="1">
        <v>45692</v>
      </c>
      <c r="B2228">
        <v>2389715.0254738298</v>
      </c>
      <c r="C2228">
        <f t="shared" si="38"/>
        <v>2633465.9580721608</v>
      </c>
    </row>
    <row r="2229" spans="1:3" x14ac:dyDescent="0.3">
      <c r="A2229" s="1">
        <v>45693</v>
      </c>
      <c r="B2229">
        <v>3215709.2868696898</v>
      </c>
      <c r="C2229">
        <f t="shared" si="38"/>
        <v>3543711.6341303983</v>
      </c>
    </row>
    <row r="2230" spans="1:3" x14ac:dyDescent="0.3">
      <c r="A2230" s="1">
        <v>45694</v>
      </c>
      <c r="B2230">
        <v>2828227.5612837202</v>
      </c>
      <c r="C2230">
        <f t="shared" si="38"/>
        <v>3116706.7725346601</v>
      </c>
    </row>
    <row r="2231" spans="1:3" x14ac:dyDescent="0.3">
      <c r="A2231" s="1">
        <v>45695</v>
      </c>
      <c r="B2231">
        <v>2358852.5135038998</v>
      </c>
      <c r="C2231">
        <f t="shared" si="38"/>
        <v>2599455.469881298</v>
      </c>
    </row>
    <row r="2232" spans="1:3" x14ac:dyDescent="0.3">
      <c r="A2232" s="1">
        <v>45696</v>
      </c>
      <c r="B2232">
        <v>2086190.75628926</v>
      </c>
      <c r="C2232">
        <f t="shared" si="38"/>
        <v>2298982.2134307646</v>
      </c>
    </row>
    <row r="2233" spans="1:3" x14ac:dyDescent="0.3">
      <c r="A2233" s="1">
        <v>45697</v>
      </c>
      <c r="B2233">
        <v>2099159.0579774301</v>
      </c>
      <c r="C2233">
        <f t="shared" si="38"/>
        <v>2313273.281891128</v>
      </c>
    </row>
    <row r="2234" spans="1:3" x14ac:dyDescent="0.3">
      <c r="A2234" s="1">
        <v>45698</v>
      </c>
      <c r="B2234">
        <v>3832167.1776912599</v>
      </c>
      <c r="C2234">
        <f t="shared" si="38"/>
        <v>4223048.229815769</v>
      </c>
    </row>
    <row r="2235" spans="1:3" x14ac:dyDescent="0.3">
      <c r="A2235" s="1">
        <v>45699</v>
      </c>
      <c r="B2235">
        <v>3255004.24617519</v>
      </c>
      <c r="C2235">
        <f t="shared" si="38"/>
        <v>3587014.6792850597</v>
      </c>
    </row>
    <row r="2236" spans="1:3" x14ac:dyDescent="0.3">
      <c r="A2236" s="1">
        <v>45700</v>
      </c>
      <c r="B2236">
        <v>4894312.5395465298</v>
      </c>
      <c r="C2236">
        <f t="shared" si="38"/>
        <v>5393532.418580276</v>
      </c>
    </row>
    <row r="2237" spans="1:3" x14ac:dyDescent="0.3">
      <c r="A2237" s="1">
        <v>45701</v>
      </c>
      <c r="B2237">
        <v>4655154.3738360601</v>
      </c>
      <c r="C2237">
        <f t="shared" si="38"/>
        <v>5129980.1199673386</v>
      </c>
    </row>
    <row r="2238" spans="1:3" x14ac:dyDescent="0.3">
      <c r="A2238" s="1">
        <v>45702</v>
      </c>
      <c r="B2238">
        <v>3230501.6299010199</v>
      </c>
      <c r="C2238">
        <f t="shared" si="38"/>
        <v>3560012.7961509242</v>
      </c>
    </row>
    <row r="2239" spans="1:3" x14ac:dyDescent="0.3">
      <c r="A2239" s="1">
        <v>45703</v>
      </c>
      <c r="B2239">
        <v>3399118.3586451099</v>
      </c>
      <c r="C2239">
        <f t="shared" si="38"/>
        <v>3745828.4312269115</v>
      </c>
    </row>
    <row r="2240" spans="1:3" x14ac:dyDescent="0.3">
      <c r="A2240" s="1">
        <v>45704</v>
      </c>
      <c r="B2240">
        <v>3586749.5320083401</v>
      </c>
      <c r="C2240">
        <f t="shared" si="38"/>
        <v>3952597.9842731911</v>
      </c>
    </row>
    <row r="2241" spans="1:3" x14ac:dyDescent="0.3">
      <c r="A2241" s="1">
        <v>45705</v>
      </c>
      <c r="B2241">
        <v>3343639.8544680998</v>
      </c>
      <c r="C2241">
        <f t="shared" si="38"/>
        <v>3684691.1196238464</v>
      </c>
    </row>
    <row r="2242" spans="1:3" x14ac:dyDescent="0.3">
      <c r="A2242" s="1">
        <v>45706</v>
      </c>
      <c r="B2242">
        <v>2904808.9577915901</v>
      </c>
      <c r="C2242">
        <f t="shared" si="38"/>
        <v>3201099.4714863324</v>
      </c>
    </row>
    <row r="2243" spans="1:3" x14ac:dyDescent="0.3">
      <c r="A2243" s="1">
        <v>45707</v>
      </c>
      <c r="B2243">
        <v>3364510.5464131502</v>
      </c>
      <c r="C2243">
        <f t="shared" ref="C2243:C2306" si="39">B2243*1.102</f>
        <v>3707690.6221472919</v>
      </c>
    </row>
    <row r="2244" spans="1:3" x14ac:dyDescent="0.3">
      <c r="A2244" s="1">
        <v>45708</v>
      </c>
      <c r="B2244">
        <v>3037087.3943996802</v>
      </c>
      <c r="C2244">
        <f t="shared" si="39"/>
        <v>3346870.3086284478</v>
      </c>
    </row>
    <row r="2245" spans="1:3" x14ac:dyDescent="0.3">
      <c r="A2245" s="1">
        <v>45709</v>
      </c>
      <c r="B2245">
        <v>4331159.6672658902</v>
      </c>
      <c r="C2245">
        <f t="shared" si="39"/>
        <v>4772937.9533270113</v>
      </c>
    </row>
    <row r="2246" spans="1:3" x14ac:dyDescent="0.3">
      <c r="A2246" s="1">
        <v>45710</v>
      </c>
      <c r="B2246">
        <v>4751497.0710498802</v>
      </c>
      <c r="C2246">
        <f t="shared" si="39"/>
        <v>5236149.7722969688</v>
      </c>
    </row>
    <row r="2247" spans="1:3" x14ac:dyDescent="0.3">
      <c r="A2247" s="1">
        <v>45711</v>
      </c>
      <c r="B2247">
        <v>2093875.6076556901</v>
      </c>
      <c r="C2247">
        <f t="shared" si="39"/>
        <v>2307450.9196365708</v>
      </c>
    </row>
    <row r="2248" spans="1:3" x14ac:dyDescent="0.3">
      <c r="A2248" s="1">
        <v>45712</v>
      </c>
      <c r="B2248">
        <v>2698615.6359295198</v>
      </c>
      <c r="C2248">
        <f t="shared" si="39"/>
        <v>2973874.4307943312</v>
      </c>
    </row>
    <row r="2249" spans="1:3" x14ac:dyDescent="0.3">
      <c r="A2249" s="1">
        <v>45713</v>
      </c>
      <c r="B2249">
        <v>2788501.9842894101</v>
      </c>
      <c r="C2249">
        <f t="shared" si="39"/>
        <v>3072929.1866869302</v>
      </c>
    </row>
    <row r="2250" spans="1:3" x14ac:dyDescent="0.3">
      <c r="A2250" s="1">
        <v>45714</v>
      </c>
      <c r="B2250">
        <v>1098324.71263441</v>
      </c>
      <c r="C2250">
        <f t="shared" si="39"/>
        <v>1210353.8333231199</v>
      </c>
    </row>
    <row r="2251" spans="1:3" x14ac:dyDescent="0.3">
      <c r="A2251" s="1">
        <v>45715</v>
      </c>
      <c r="B2251">
        <v>1277094.81377345</v>
      </c>
      <c r="C2251">
        <f t="shared" si="39"/>
        <v>1407358.4847783421</v>
      </c>
    </row>
    <row r="2252" spans="1:3" x14ac:dyDescent="0.3">
      <c r="A2252" s="1">
        <v>45716</v>
      </c>
      <c r="B2252">
        <v>2715668.2079647598</v>
      </c>
      <c r="C2252">
        <f t="shared" si="39"/>
        <v>2992666.3651771657</v>
      </c>
    </row>
    <row r="2253" spans="1:3" x14ac:dyDescent="0.3">
      <c r="A2253" s="1">
        <v>45717</v>
      </c>
      <c r="B2253">
        <v>3848486.7715230398</v>
      </c>
      <c r="C2253">
        <f t="shared" si="39"/>
        <v>4241032.4222183898</v>
      </c>
    </row>
    <row r="2254" spans="1:3" x14ac:dyDescent="0.3">
      <c r="A2254" s="1">
        <v>45718</v>
      </c>
      <c r="B2254">
        <v>2778017.1961031999</v>
      </c>
      <c r="C2254">
        <f t="shared" si="39"/>
        <v>3061374.9501057267</v>
      </c>
    </row>
    <row r="2255" spans="1:3" x14ac:dyDescent="0.3">
      <c r="A2255" s="1">
        <v>45719</v>
      </c>
      <c r="B2255">
        <v>4162937.2557353</v>
      </c>
      <c r="C2255">
        <f t="shared" si="39"/>
        <v>4587556.855820301</v>
      </c>
    </row>
    <row r="2256" spans="1:3" x14ac:dyDescent="0.3">
      <c r="A2256" s="1">
        <v>45720</v>
      </c>
      <c r="B2256">
        <v>2723700.3941616202</v>
      </c>
      <c r="C2256">
        <f t="shared" si="39"/>
        <v>3001517.8343661055</v>
      </c>
    </row>
    <row r="2257" spans="1:3" x14ac:dyDescent="0.3">
      <c r="A2257" s="1">
        <v>45721</v>
      </c>
      <c r="B2257">
        <v>3135695.6620338201</v>
      </c>
      <c r="C2257">
        <f t="shared" si="39"/>
        <v>3455536.6195612699</v>
      </c>
    </row>
    <row r="2258" spans="1:3" x14ac:dyDescent="0.3">
      <c r="A2258" s="1">
        <v>45722</v>
      </c>
      <c r="B2258">
        <v>4375855.6848569904</v>
      </c>
      <c r="C2258">
        <f t="shared" si="39"/>
        <v>4822192.9647124037</v>
      </c>
    </row>
    <row r="2259" spans="1:3" x14ac:dyDescent="0.3">
      <c r="A2259" s="1">
        <v>45723</v>
      </c>
      <c r="B2259">
        <v>3338876.32169904</v>
      </c>
      <c r="C2259">
        <f t="shared" si="39"/>
        <v>3679441.7065123422</v>
      </c>
    </row>
    <row r="2260" spans="1:3" x14ac:dyDescent="0.3">
      <c r="A2260" s="1">
        <v>45724</v>
      </c>
      <c r="B2260">
        <v>3855342.0659262701</v>
      </c>
      <c r="C2260">
        <f t="shared" si="39"/>
        <v>4248586.9566507498</v>
      </c>
    </row>
    <row r="2261" spans="1:3" x14ac:dyDescent="0.3">
      <c r="A2261" s="1">
        <v>45725</v>
      </c>
      <c r="B2261">
        <v>3046440.7858036198</v>
      </c>
      <c r="C2261">
        <f t="shared" si="39"/>
        <v>3357177.7459555892</v>
      </c>
    </row>
    <row r="2262" spans="1:3" x14ac:dyDescent="0.3">
      <c r="A2262" s="1">
        <v>45726</v>
      </c>
      <c r="B2262">
        <v>4768075.4376060199</v>
      </c>
      <c r="C2262">
        <f t="shared" si="39"/>
        <v>5254419.132241834</v>
      </c>
    </row>
    <row r="2263" spans="1:3" x14ac:dyDescent="0.3">
      <c r="A2263" s="1">
        <v>45727</v>
      </c>
      <c r="B2263">
        <v>5302735.7872372996</v>
      </c>
      <c r="C2263">
        <f t="shared" si="39"/>
        <v>5843614.8375355043</v>
      </c>
    </row>
    <row r="2264" spans="1:3" x14ac:dyDescent="0.3">
      <c r="A2264" s="1">
        <v>45728</v>
      </c>
      <c r="B2264">
        <v>3848459.6924193399</v>
      </c>
      <c r="C2264">
        <f t="shared" si="39"/>
        <v>4241002.5810461128</v>
      </c>
    </row>
    <row r="2265" spans="1:3" x14ac:dyDescent="0.3">
      <c r="A2265" s="1">
        <v>45729</v>
      </c>
      <c r="B2265">
        <v>3969895.8487485698</v>
      </c>
      <c r="C2265">
        <f t="shared" si="39"/>
        <v>4374825.2253209241</v>
      </c>
    </row>
    <row r="2266" spans="1:3" x14ac:dyDescent="0.3">
      <c r="A2266" s="1">
        <v>45730</v>
      </c>
      <c r="B2266">
        <v>4553351.32703848</v>
      </c>
      <c r="C2266">
        <f t="shared" si="39"/>
        <v>5017793.1623964049</v>
      </c>
    </row>
    <row r="2267" spans="1:3" x14ac:dyDescent="0.3">
      <c r="A2267" s="1">
        <v>45731</v>
      </c>
      <c r="B2267">
        <v>2888126.4538008599</v>
      </c>
      <c r="C2267">
        <f t="shared" si="39"/>
        <v>3182715.3520885478</v>
      </c>
    </row>
    <row r="2268" spans="1:3" x14ac:dyDescent="0.3">
      <c r="A2268" s="1">
        <v>45732</v>
      </c>
      <c r="B2268">
        <v>4805081.2654172797</v>
      </c>
      <c r="C2268">
        <f t="shared" si="39"/>
        <v>5295199.5544898426</v>
      </c>
    </row>
    <row r="2269" spans="1:3" x14ac:dyDescent="0.3">
      <c r="A2269" s="1">
        <v>45733</v>
      </c>
      <c r="B2269">
        <v>3001514.20049359</v>
      </c>
      <c r="C2269">
        <f t="shared" si="39"/>
        <v>3307668.6489439365</v>
      </c>
    </row>
    <row r="2270" spans="1:3" x14ac:dyDescent="0.3">
      <c r="A2270" s="1">
        <v>45734</v>
      </c>
      <c r="B2270">
        <v>3963312.6447926601</v>
      </c>
      <c r="C2270">
        <f t="shared" si="39"/>
        <v>4367570.5345615121</v>
      </c>
    </row>
    <row r="2271" spans="1:3" x14ac:dyDescent="0.3">
      <c r="A2271" s="1">
        <v>45735</v>
      </c>
      <c r="B2271">
        <v>3397488.9039672702</v>
      </c>
      <c r="C2271">
        <f t="shared" si="39"/>
        <v>3744032.7721719318</v>
      </c>
    </row>
    <row r="2272" spans="1:3" x14ac:dyDescent="0.3">
      <c r="A2272" s="1">
        <v>45736</v>
      </c>
      <c r="B2272">
        <v>5182239.8682901999</v>
      </c>
      <c r="C2272">
        <f t="shared" si="39"/>
        <v>5710828.3348558005</v>
      </c>
    </row>
    <row r="2273" spans="1:3" x14ac:dyDescent="0.3">
      <c r="A2273" s="1">
        <v>45737</v>
      </c>
      <c r="B2273">
        <v>3186495.9891319601</v>
      </c>
      <c r="C2273">
        <f t="shared" si="39"/>
        <v>3511518.5800234205</v>
      </c>
    </row>
    <row r="2274" spans="1:3" x14ac:dyDescent="0.3">
      <c r="A2274" s="1">
        <v>45738</v>
      </c>
      <c r="B2274">
        <v>4012480.9965552101</v>
      </c>
      <c r="C2274">
        <f t="shared" si="39"/>
        <v>4421754.0582038416</v>
      </c>
    </row>
    <row r="2275" spans="1:3" x14ac:dyDescent="0.3">
      <c r="A2275" s="1">
        <v>45739</v>
      </c>
      <c r="B2275">
        <v>3431023.6980747902</v>
      </c>
      <c r="C2275">
        <f t="shared" si="39"/>
        <v>3780988.1152784191</v>
      </c>
    </row>
    <row r="2276" spans="1:3" x14ac:dyDescent="0.3">
      <c r="A2276" s="1">
        <v>45740</v>
      </c>
      <c r="B2276">
        <v>3249558.1438347599</v>
      </c>
      <c r="C2276">
        <f t="shared" si="39"/>
        <v>3581013.0745059056</v>
      </c>
    </row>
    <row r="2277" spans="1:3" x14ac:dyDescent="0.3">
      <c r="A2277" s="1">
        <v>45741</v>
      </c>
      <c r="B2277">
        <v>1587822.2127840901</v>
      </c>
      <c r="C2277">
        <f t="shared" si="39"/>
        <v>1749780.0784880675</v>
      </c>
    </row>
    <row r="2278" spans="1:3" x14ac:dyDescent="0.3">
      <c r="A2278" s="1">
        <v>45742</v>
      </c>
      <c r="B2278">
        <v>1898514.3170076499</v>
      </c>
      <c r="C2278">
        <f t="shared" si="39"/>
        <v>2092162.7773424303</v>
      </c>
    </row>
    <row r="2279" spans="1:3" x14ac:dyDescent="0.3">
      <c r="A2279" s="1">
        <v>45743</v>
      </c>
      <c r="B2279">
        <v>4092428.9781319899</v>
      </c>
      <c r="C2279">
        <f t="shared" si="39"/>
        <v>4509856.7339014532</v>
      </c>
    </row>
    <row r="2280" spans="1:3" x14ac:dyDescent="0.3">
      <c r="A2280" s="1">
        <v>45744</v>
      </c>
      <c r="B2280">
        <v>4323936.0763297696</v>
      </c>
      <c r="C2280">
        <f t="shared" si="39"/>
        <v>4764977.5561154066</v>
      </c>
    </row>
    <row r="2281" spans="1:3" x14ac:dyDescent="0.3">
      <c r="A2281" s="1">
        <v>45745</v>
      </c>
      <c r="B2281">
        <v>4052909.8201446701</v>
      </c>
      <c r="C2281">
        <f t="shared" si="39"/>
        <v>4466306.6217994271</v>
      </c>
    </row>
    <row r="2282" spans="1:3" x14ac:dyDescent="0.3">
      <c r="A2282" s="1">
        <v>45746</v>
      </c>
      <c r="B2282">
        <v>4460919.7572784098</v>
      </c>
      <c r="C2282">
        <f t="shared" si="39"/>
        <v>4915933.5725208083</v>
      </c>
    </row>
    <row r="2283" spans="1:3" x14ac:dyDescent="0.3">
      <c r="A2283" s="1">
        <v>45747</v>
      </c>
      <c r="B2283">
        <v>4421019.2509527402</v>
      </c>
      <c r="C2283">
        <f t="shared" si="39"/>
        <v>4871963.2145499205</v>
      </c>
    </row>
    <row r="2284" spans="1:3" x14ac:dyDescent="0.3">
      <c r="A2284" s="1">
        <v>45748</v>
      </c>
      <c r="B2284">
        <v>4422022.4939001799</v>
      </c>
      <c r="C2284">
        <f t="shared" si="39"/>
        <v>4873068.7882779986</v>
      </c>
    </row>
    <row r="2285" spans="1:3" x14ac:dyDescent="0.3">
      <c r="A2285" s="1">
        <v>45749</v>
      </c>
      <c r="B2285">
        <v>3859429.2488707602</v>
      </c>
      <c r="C2285">
        <f t="shared" si="39"/>
        <v>4253091.0322555779</v>
      </c>
    </row>
    <row r="2286" spans="1:3" x14ac:dyDescent="0.3">
      <c r="A2286" s="1">
        <v>45750</v>
      </c>
      <c r="B2286">
        <v>4627258.6209461903</v>
      </c>
      <c r="C2286">
        <f t="shared" si="39"/>
        <v>5099239.000282702</v>
      </c>
    </row>
    <row r="2287" spans="1:3" x14ac:dyDescent="0.3">
      <c r="A2287" s="1">
        <v>45751</v>
      </c>
      <c r="B2287">
        <v>5423920.17214143</v>
      </c>
      <c r="C2287">
        <f t="shared" si="39"/>
        <v>5977160.0296998564</v>
      </c>
    </row>
    <row r="2288" spans="1:3" x14ac:dyDescent="0.3">
      <c r="A2288" s="1">
        <v>45752</v>
      </c>
      <c r="B2288">
        <v>4295556.16941828</v>
      </c>
      <c r="C2288">
        <f t="shared" si="39"/>
        <v>4733702.8986989446</v>
      </c>
    </row>
    <row r="2289" spans="1:3" x14ac:dyDescent="0.3">
      <c r="A2289" s="1">
        <v>45753</v>
      </c>
      <c r="B2289">
        <v>3806888.2776155998</v>
      </c>
      <c r="C2289">
        <f t="shared" si="39"/>
        <v>4195190.8819323918</v>
      </c>
    </row>
    <row r="2290" spans="1:3" x14ac:dyDescent="0.3">
      <c r="A2290" s="1">
        <v>45754</v>
      </c>
      <c r="B2290">
        <v>3142092.10684809</v>
      </c>
      <c r="C2290">
        <f t="shared" si="39"/>
        <v>3462585.5017465954</v>
      </c>
    </row>
    <row r="2291" spans="1:3" x14ac:dyDescent="0.3">
      <c r="A2291" s="1">
        <v>45755</v>
      </c>
      <c r="B2291">
        <v>4386658.4223032203</v>
      </c>
      <c r="C2291">
        <f t="shared" si="39"/>
        <v>4834097.5813781489</v>
      </c>
    </row>
    <row r="2292" spans="1:3" x14ac:dyDescent="0.3">
      <c r="A2292" s="1">
        <v>45756</v>
      </c>
      <c r="B2292">
        <v>3741686.6907517998</v>
      </c>
      <c r="C2292">
        <f t="shared" si="39"/>
        <v>4123338.7332084836</v>
      </c>
    </row>
    <row r="2293" spans="1:3" x14ac:dyDescent="0.3">
      <c r="A2293" s="1">
        <v>45757</v>
      </c>
      <c r="B2293">
        <v>4076315.5093246601</v>
      </c>
      <c r="C2293">
        <f t="shared" si="39"/>
        <v>4492099.6912757754</v>
      </c>
    </row>
    <row r="2294" spans="1:3" x14ac:dyDescent="0.3">
      <c r="A2294" s="1">
        <v>45758</v>
      </c>
      <c r="B2294">
        <v>4084400.1825599899</v>
      </c>
      <c r="C2294">
        <f t="shared" si="39"/>
        <v>4501009.0011811089</v>
      </c>
    </row>
    <row r="2295" spans="1:3" x14ac:dyDescent="0.3">
      <c r="A2295" s="1">
        <v>45759</v>
      </c>
      <c r="B2295">
        <v>4123621.4315534602</v>
      </c>
      <c r="C2295">
        <f t="shared" si="39"/>
        <v>4544230.8175719138</v>
      </c>
    </row>
    <row r="2296" spans="1:3" x14ac:dyDescent="0.3">
      <c r="A2296" s="1">
        <v>45760</v>
      </c>
      <c r="B2296">
        <v>3982414.2456982601</v>
      </c>
      <c r="C2296">
        <f t="shared" si="39"/>
        <v>4388620.498759483</v>
      </c>
    </row>
    <row r="2297" spans="1:3" x14ac:dyDescent="0.3">
      <c r="A2297" s="1">
        <v>45761</v>
      </c>
      <c r="B2297">
        <v>4744932.1927577704</v>
      </c>
      <c r="C2297">
        <f t="shared" si="39"/>
        <v>5228915.2764190631</v>
      </c>
    </row>
    <row r="2298" spans="1:3" x14ac:dyDescent="0.3">
      <c r="A2298" s="1">
        <v>45762</v>
      </c>
      <c r="B2298">
        <v>3387338.7288762098</v>
      </c>
      <c r="C2298">
        <f t="shared" si="39"/>
        <v>3732847.2792215836</v>
      </c>
    </row>
    <row r="2299" spans="1:3" x14ac:dyDescent="0.3">
      <c r="A2299" s="1">
        <v>45763</v>
      </c>
      <c r="B2299">
        <v>4337074.7672353303</v>
      </c>
      <c r="C2299">
        <f t="shared" si="39"/>
        <v>4779456.3934933348</v>
      </c>
    </row>
    <row r="2300" spans="1:3" x14ac:dyDescent="0.3">
      <c r="A2300" s="1">
        <v>45764</v>
      </c>
      <c r="B2300">
        <v>3108146.5263382699</v>
      </c>
      <c r="C2300">
        <f t="shared" si="39"/>
        <v>3425177.4720247737</v>
      </c>
    </row>
    <row r="2301" spans="1:3" x14ac:dyDescent="0.3">
      <c r="A2301" s="1">
        <v>45765</v>
      </c>
      <c r="B2301">
        <v>2031641.6003358201</v>
      </c>
      <c r="C2301">
        <f t="shared" si="39"/>
        <v>2238869.0435700738</v>
      </c>
    </row>
    <row r="2302" spans="1:3" x14ac:dyDescent="0.3">
      <c r="A2302" s="1">
        <v>45766</v>
      </c>
      <c r="B2302">
        <v>3320063.1606260398</v>
      </c>
      <c r="C2302">
        <f t="shared" si="39"/>
        <v>3658709.6030098964</v>
      </c>
    </row>
    <row r="2303" spans="1:3" x14ac:dyDescent="0.3">
      <c r="A2303" s="1">
        <v>45767</v>
      </c>
      <c r="B2303">
        <v>4552214.8820996499</v>
      </c>
      <c r="C2303">
        <f t="shared" si="39"/>
        <v>5016540.8000738146</v>
      </c>
    </row>
    <row r="2304" spans="1:3" x14ac:dyDescent="0.3">
      <c r="A2304" s="1">
        <v>45768</v>
      </c>
      <c r="B2304">
        <v>3334947.2012650999</v>
      </c>
      <c r="C2304">
        <f t="shared" si="39"/>
        <v>3675111.8157941406</v>
      </c>
    </row>
    <row r="2305" spans="1:3" x14ac:dyDescent="0.3">
      <c r="A2305" s="1">
        <v>45769</v>
      </c>
      <c r="B2305">
        <v>3687584.7288041799</v>
      </c>
      <c r="C2305">
        <f t="shared" si="39"/>
        <v>4063718.3711422067</v>
      </c>
    </row>
    <row r="2306" spans="1:3" x14ac:dyDescent="0.3">
      <c r="A2306" s="1">
        <v>45770</v>
      </c>
      <c r="B2306">
        <v>3731451.6970000202</v>
      </c>
      <c r="C2306">
        <f t="shared" si="39"/>
        <v>4112059.7700940226</v>
      </c>
    </row>
    <row r="2307" spans="1:3" x14ac:dyDescent="0.3">
      <c r="A2307" s="1">
        <v>45771</v>
      </c>
      <c r="B2307">
        <v>3102482.2756541101</v>
      </c>
      <c r="C2307">
        <f t="shared" ref="C2307:C2370" si="40">B2307*1.102</f>
        <v>3418935.4677708298</v>
      </c>
    </row>
    <row r="2308" spans="1:3" x14ac:dyDescent="0.3">
      <c r="A2308" s="1">
        <v>45772</v>
      </c>
      <c r="B2308">
        <v>4341677.2358820802</v>
      </c>
      <c r="C2308">
        <f t="shared" si="40"/>
        <v>4784528.3139420524</v>
      </c>
    </row>
    <row r="2309" spans="1:3" x14ac:dyDescent="0.3">
      <c r="A2309" s="1">
        <v>45773</v>
      </c>
      <c r="B2309">
        <v>4647051.3964842502</v>
      </c>
      <c r="C2309">
        <f t="shared" si="40"/>
        <v>5121050.6389256446</v>
      </c>
    </row>
    <row r="2310" spans="1:3" x14ac:dyDescent="0.3">
      <c r="A2310" s="1">
        <v>45774</v>
      </c>
      <c r="B2310">
        <v>3551326.9137620199</v>
      </c>
      <c r="C2310">
        <f t="shared" si="40"/>
        <v>3913562.2589657465</v>
      </c>
    </row>
    <row r="2311" spans="1:3" x14ac:dyDescent="0.3">
      <c r="A2311" s="1">
        <v>45775</v>
      </c>
      <c r="B2311">
        <v>4217297.4781555599</v>
      </c>
      <c r="C2311">
        <f t="shared" si="40"/>
        <v>4647461.8209274272</v>
      </c>
    </row>
    <row r="2312" spans="1:3" x14ac:dyDescent="0.3">
      <c r="A2312" s="1">
        <v>45776</v>
      </c>
      <c r="B2312">
        <v>3582444.4498622501</v>
      </c>
      <c r="C2312">
        <f t="shared" si="40"/>
        <v>3947853.7837482002</v>
      </c>
    </row>
    <row r="2313" spans="1:3" x14ac:dyDescent="0.3">
      <c r="A2313" s="1">
        <v>45777</v>
      </c>
      <c r="B2313">
        <v>4409638.5979844499</v>
      </c>
      <c r="C2313">
        <f t="shared" si="40"/>
        <v>4859421.734978864</v>
      </c>
    </row>
    <row r="2314" spans="1:3" x14ac:dyDescent="0.3">
      <c r="A2314" s="1">
        <v>45778</v>
      </c>
      <c r="B2314">
        <v>4579979.9203824</v>
      </c>
      <c r="C2314">
        <f t="shared" si="40"/>
        <v>5047137.872261405</v>
      </c>
    </row>
    <row r="2315" spans="1:3" x14ac:dyDescent="0.3">
      <c r="A2315" s="1">
        <v>45779</v>
      </c>
      <c r="B2315">
        <v>3201670.4332452798</v>
      </c>
      <c r="C2315">
        <f t="shared" si="40"/>
        <v>3528240.8174362988</v>
      </c>
    </row>
    <row r="2316" spans="1:3" x14ac:dyDescent="0.3">
      <c r="A2316" s="1">
        <v>45780</v>
      </c>
      <c r="B2316">
        <v>3272505.7893184298</v>
      </c>
      <c r="C2316">
        <f t="shared" si="40"/>
        <v>3606301.3798289099</v>
      </c>
    </row>
    <row r="2317" spans="1:3" x14ac:dyDescent="0.3">
      <c r="A2317" s="1">
        <v>45781</v>
      </c>
      <c r="B2317">
        <v>3668954.7834625202</v>
      </c>
      <c r="C2317">
        <f t="shared" si="40"/>
        <v>4043188.1713756975</v>
      </c>
    </row>
    <row r="2318" spans="1:3" x14ac:dyDescent="0.3">
      <c r="A2318" s="1">
        <v>45782</v>
      </c>
      <c r="B2318">
        <v>4577036.5180834997</v>
      </c>
      <c r="C2318">
        <f t="shared" si="40"/>
        <v>5043894.2429280169</v>
      </c>
    </row>
    <row r="2319" spans="1:3" x14ac:dyDescent="0.3">
      <c r="A2319" s="1">
        <v>45783</v>
      </c>
      <c r="B2319">
        <v>4551353.0285149096</v>
      </c>
      <c r="C2319">
        <f t="shared" si="40"/>
        <v>5015591.0374234309</v>
      </c>
    </row>
    <row r="2320" spans="1:3" x14ac:dyDescent="0.3">
      <c r="A2320" s="1">
        <v>45784</v>
      </c>
      <c r="B2320">
        <v>2814677.7435918199</v>
      </c>
      <c r="C2320">
        <f t="shared" si="40"/>
        <v>3101774.8734381855</v>
      </c>
    </row>
    <row r="2321" spans="1:3" x14ac:dyDescent="0.3">
      <c r="A2321" s="1">
        <v>45785</v>
      </c>
      <c r="B2321">
        <v>2190161.77985198</v>
      </c>
      <c r="C2321">
        <f t="shared" si="40"/>
        <v>2413558.2813968821</v>
      </c>
    </row>
    <row r="2322" spans="1:3" x14ac:dyDescent="0.3">
      <c r="A2322" s="1">
        <v>45786</v>
      </c>
      <c r="B2322">
        <v>2202890.92415511</v>
      </c>
      <c r="C2322">
        <f t="shared" si="40"/>
        <v>2427585.7984189317</v>
      </c>
    </row>
    <row r="2323" spans="1:3" x14ac:dyDescent="0.3">
      <c r="A2323" s="1">
        <v>45787</v>
      </c>
      <c r="B2323">
        <v>3817286.3121112199</v>
      </c>
      <c r="C2323">
        <f t="shared" si="40"/>
        <v>4206649.5159465643</v>
      </c>
    </row>
    <row r="2324" spans="1:3" x14ac:dyDescent="0.3">
      <c r="A2324" s="1">
        <v>45788</v>
      </c>
      <c r="B2324">
        <v>3677275.56136361</v>
      </c>
      <c r="C2324">
        <f t="shared" si="40"/>
        <v>4052357.6686226986</v>
      </c>
    </row>
    <row r="2325" spans="1:3" x14ac:dyDescent="0.3">
      <c r="A2325" s="1">
        <v>45789</v>
      </c>
      <c r="B2325">
        <v>4914213.7757880399</v>
      </c>
      <c r="C2325">
        <f t="shared" si="40"/>
        <v>5415463.5809184201</v>
      </c>
    </row>
    <row r="2326" spans="1:3" x14ac:dyDescent="0.3">
      <c r="A2326" s="1">
        <v>45790</v>
      </c>
      <c r="B2326">
        <v>3474770.0032847398</v>
      </c>
      <c r="C2326">
        <f t="shared" si="40"/>
        <v>3829196.5436197836</v>
      </c>
    </row>
    <row r="2327" spans="1:3" x14ac:dyDescent="0.3">
      <c r="A2327" s="1">
        <v>45791</v>
      </c>
      <c r="B2327">
        <v>4205494.0695964396</v>
      </c>
      <c r="C2327">
        <f t="shared" si="40"/>
        <v>4634454.4646952767</v>
      </c>
    </row>
    <row r="2328" spans="1:3" x14ac:dyDescent="0.3">
      <c r="A2328" s="1">
        <v>45792</v>
      </c>
      <c r="B2328">
        <v>3814585.62595572</v>
      </c>
      <c r="C2328">
        <f t="shared" si="40"/>
        <v>4203673.3598032035</v>
      </c>
    </row>
    <row r="2329" spans="1:3" x14ac:dyDescent="0.3">
      <c r="A2329" s="1">
        <v>45793</v>
      </c>
      <c r="B2329">
        <v>3607019.9212789801</v>
      </c>
      <c r="C2329">
        <f t="shared" si="40"/>
        <v>3974935.9532494363</v>
      </c>
    </row>
    <row r="2330" spans="1:3" x14ac:dyDescent="0.3">
      <c r="A2330" s="1">
        <v>45794</v>
      </c>
      <c r="B2330">
        <v>3806046.9131812099</v>
      </c>
      <c r="C2330">
        <f t="shared" si="40"/>
        <v>4194263.6983256936</v>
      </c>
    </row>
    <row r="2331" spans="1:3" x14ac:dyDescent="0.3">
      <c r="A2331" s="1">
        <v>45795</v>
      </c>
      <c r="B2331">
        <v>4075587.9878575099</v>
      </c>
      <c r="C2331">
        <f t="shared" si="40"/>
        <v>4491297.9626189759</v>
      </c>
    </row>
    <row r="2332" spans="1:3" x14ac:dyDescent="0.3">
      <c r="A2332" s="1">
        <v>45796</v>
      </c>
      <c r="B2332">
        <v>3942226.2148144101</v>
      </c>
      <c r="C2332">
        <f t="shared" si="40"/>
        <v>4344333.2887254804</v>
      </c>
    </row>
    <row r="2333" spans="1:3" x14ac:dyDescent="0.3">
      <c r="A2333" s="1">
        <v>45797</v>
      </c>
      <c r="B2333">
        <v>4460663.8346640998</v>
      </c>
      <c r="C2333">
        <f t="shared" si="40"/>
        <v>4915651.5457998384</v>
      </c>
    </row>
    <row r="2334" spans="1:3" x14ac:dyDescent="0.3">
      <c r="A2334" s="1">
        <v>45798</v>
      </c>
      <c r="B2334">
        <v>3676589.7776963199</v>
      </c>
      <c r="C2334">
        <f t="shared" si="40"/>
        <v>4051601.935021345</v>
      </c>
    </row>
    <row r="2335" spans="1:3" x14ac:dyDescent="0.3">
      <c r="A2335" s="1">
        <v>45799</v>
      </c>
      <c r="B2335">
        <v>2806555.2115290798</v>
      </c>
      <c r="C2335">
        <f t="shared" si="40"/>
        <v>3092823.8431050461</v>
      </c>
    </row>
    <row r="2336" spans="1:3" x14ac:dyDescent="0.3">
      <c r="A2336" s="1">
        <v>45800</v>
      </c>
      <c r="B2336">
        <v>4431046.1565385796</v>
      </c>
      <c r="C2336">
        <f t="shared" si="40"/>
        <v>4883012.8645055154</v>
      </c>
    </row>
    <row r="2337" spans="1:3" x14ac:dyDescent="0.3">
      <c r="A2337" s="1">
        <v>45801</v>
      </c>
      <c r="B2337">
        <v>3564833.3700952101</v>
      </c>
      <c r="C2337">
        <f t="shared" si="40"/>
        <v>3928446.3738449221</v>
      </c>
    </row>
    <row r="2338" spans="1:3" x14ac:dyDescent="0.3">
      <c r="A2338" s="1">
        <v>45802</v>
      </c>
      <c r="B2338">
        <v>3606005.1518959999</v>
      </c>
      <c r="C2338">
        <f t="shared" si="40"/>
        <v>3973817.6773893922</v>
      </c>
    </row>
    <row r="2339" spans="1:3" x14ac:dyDescent="0.3">
      <c r="A2339" s="1">
        <v>45803</v>
      </c>
      <c r="B2339">
        <v>5002617.8777358904</v>
      </c>
      <c r="C2339">
        <f t="shared" si="40"/>
        <v>5512884.9012649516</v>
      </c>
    </row>
    <row r="2340" spans="1:3" x14ac:dyDescent="0.3">
      <c r="A2340" s="1">
        <v>45804</v>
      </c>
      <c r="B2340">
        <v>3605031.0858413</v>
      </c>
      <c r="C2340">
        <f t="shared" si="40"/>
        <v>3972744.2565971129</v>
      </c>
    </row>
    <row r="2341" spans="1:3" x14ac:dyDescent="0.3">
      <c r="A2341" s="1">
        <v>45805</v>
      </c>
      <c r="B2341">
        <v>3330728.2910691998</v>
      </c>
      <c r="C2341">
        <f t="shared" si="40"/>
        <v>3670462.5767582585</v>
      </c>
    </row>
    <row r="2342" spans="1:3" x14ac:dyDescent="0.3">
      <c r="A2342" s="1">
        <v>45806</v>
      </c>
      <c r="B2342">
        <v>5386515.9567495203</v>
      </c>
      <c r="C2342">
        <f t="shared" si="40"/>
        <v>5935940.5843379721</v>
      </c>
    </row>
    <row r="2343" spans="1:3" x14ac:dyDescent="0.3">
      <c r="A2343" s="1">
        <v>45807</v>
      </c>
      <c r="B2343">
        <v>3074869.18218438</v>
      </c>
      <c r="C2343">
        <f t="shared" si="40"/>
        <v>3388505.8387671872</v>
      </c>
    </row>
    <row r="2344" spans="1:3" x14ac:dyDescent="0.3">
      <c r="A2344" s="1">
        <v>45808</v>
      </c>
      <c r="B2344">
        <v>3127185.1914054002</v>
      </c>
      <c r="C2344">
        <f t="shared" si="40"/>
        <v>3446158.0809287513</v>
      </c>
    </row>
    <row r="2345" spans="1:3" x14ac:dyDescent="0.3">
      <c r="A2345" s="1">
        <v>45809</v>
      </c>
      <c r="B2345">
        <v>3449028.1137946602</v>
      </c>
      <c r="C2345">
        <f t="shared" si="40"/>
        <v>3800828.9814017159</v>
      </c>
    </row>
    <row r="2346" spans="1:3" x14ac:dyDescent="0.3">
      <c r="A2346" s="1">
        <v>45810</v>
      </c>
      <c r="B2346">
        <v>4231212.5171109997</v>
      </c>
      <c r="C2346">
        <f t="shared" si="40"/>
        <v>4662796.1938563222</v>
      </c>
    </row>
    <row r="2347" spans="1:3" x14ac:dyDescent="0.3">
      <c r="A2347" s="1">
        <v>45811</v>
      </c>
      <c r="B2347">
        <v>4069557.3953838199</v>
      </c>
      <c r="C2347">
        <f t="shared" si="40"/>
        <v>4484652.2497129701</v>
      </c>
    </row>
    <row r="2348" spans="1:3" x14ac:dyDescent="0.3">
      <c r="A2348" s="1">
        <v>45812</v>
      </c>
      <c r="B2348">
        <v>4680864.2984675895</v>
      </c>
      <c r="C2348">
        <f t="shared" si="40"/>
        <v>5158312.4569112845</v>
      </c>
    </row>
    <row r="2349" spans="1:3" x14ac:dyDescent="0.3">
      <c r="A2349" s="1">
        <v>45813</v>
      </c>
      <c r="B2349">
        <v>4123734.7760368702</v>
      </c>
      <c r="C2349">
        <f t="shared" si="40"/>
        <v>4544355.7231926313</v>
      </c>
    </row>
    <row r="2350" spans="1:3" x14ac:dyDescent="0.3">
      <c r="A2350" s="1">
        <v>45814</v>
      </c>
      <c r="B2350">
        <v>2222217.23964357</v>
      </c>
      <c r="C2350">
        <f t="shared" si="40"/>
        <v>2448883.3980872142</v>
      </c>
    </row>
    <row r="2351" spans="1:3" x14ac:dyDescent="0.3">
      <c r="A2351" s="1">
        <v>45815</v>
      </c>
      <c r="B2351">
        <v>4135849.8160757199</v>
      </c>
      <c r="C2351">
        <f t="shared" si="40"/>
        <v>4557706.4973154441</v>
      </c>
    </row>
    <row r="2352" spans="1:3" x14ac:dyDescent="0.3">
      <c r="A2352" s="1">
        <v>45816</v>
      </c>
      <c r="B2352">
        <v>4595887.3459734498</v>
      </c>
      <c r="C2352">
        <f t="shared" si="40"/>
        <v>5064667.8552627424</v>
      </c>
    </row>
    <row r="2353" spans="1:3" x14ac:dyDescent="0.3">
      <c r="A2353" s="1">
        <v>45817</v>
      </c>
      <c r="B2353">
        <v>5147022.1009643897</v>
      </c>
      <c r="C2353">
        <f t="shared" si="40"/>
        <v>5672018.3552627582</v>
      </c>
    </row>
    <row r="2354" spans="1:3" x14ac:dyDescent="0.3">
      <c r="A2354" s="1">
        <v>45818</v>
      </c>
      <c r="B2354">
        <v>3831397.2771677398</v>
      </c>
      <c r="C2354">
        <f t="shared" si="40"/>
        <v>4222199.79943885</v>
      </c>
    </row>
    <row r="2355" spans="1:3" x14ac:dyDescent="0.3">
      <c r="A2355" s="1">
        <v>45819</v>
      </c>
      <c r="B2355">
        <v>3408951.31919696</v>
      </c>
      <c r="C2355">
        <f t="shared" si="40"/>
        <v>3756664.3537550503</v>
      </c>
    </row>
    <row r="2356" spans="1:3" x14ac:dyDescent="0.3">
      <c r="A2356" s="1">
        <v>45820</v>
      </c>
      <c r="B2356">
        <v>3666611.11608013</v>
      </c>
      <c r="C2356">
        <f t="shared" si="40"/>
        <v>4040605.4499203037</v>
      </c>
    </row>
    <row r="2357" spans="1:3" x14ac:dyDescent="0.3">
      <c r="A2357" s="1">
        <v>45821</v>
      </c>
      <c r="B2357">
        <v>4043951.3734604502</v>
      </c>
      <c r="C2357">
        <f t="shared" si="40"/>
        <v>4456434.4135534167</v>
      </c>
    </row>
    <row r="2358" spans="1:3" x14ac:dyDescent="0.3">
      <c r="A2358" s="1">
        <v>45822</v>
      </c>
      <c r="B2358">
        <v>3886458.71101481</v>
      </c>
      <c r="C2358">
        <f t="shared" si="40"/>
        <v>4282877.499538321</v>
      </c>
    </row>
    <row r="2359" spans="1:3" x14ac:dyDescent="0.3">
      <c r="A2359" s="1">
        <v>45823</v>
      </c>
      <c r="B2359">
        <v>4398757.3923977204</v>
      </c>
      <c r="C2359">
        <f t="shared" si="40"/>
        <v>4847430.6464222884</v>
      </c>
    </row>
    <row r="2360" spans="1:3" x14ac:dyDescent="0.3">
      <c r="A2360" s="1">
        <v>45824</v>
      </c>
      <c r="B2360">
        <v>3884963.5630697799</v>
      </c>
      <c r="C2360">
        <f t="shared" si="40"/>
        <v>4281229.8465028973</v>
      </c>
    </row>
    <row r="2361" spans="1:3" x14ac:dyDescent="0.3">
      <c r="A2361" s="1">
        <v>45825</v>
      </c>
      <c r="B2361">
        <v>3523533.5327799302</v>
      </c>
      <c r="C2361">
        <f t="shared" si="40"/>
        <v>3882933.9531234833</v>
      </c>
    </row>
    <row r="2362" spans="1:3" x14ac:dyDescent="0.3">
      <c r="A2362" s="1">
        <v>45826</v>
      </c>
      <c r="B2362">
        <v>3207951.0467855101</v>
      </c>
      <c r="C2362">
        <f t="shared" si="40"/>
        <v>3535162.0535576325</v>
      </c>
    </row>
    <row r="2363" spans="1:3" x14ac:dyDescent="0.3">
      <c r="A2363" s="1">
        <v>45827</v>
      </c>
      <c r="B2363">
        <v>4085036.9183734101</v>
      </c>
      <c r="C2363">
        <f t="shared" si="40"/>
        <v>4501710.6840474987</v>
      </c>
    </row>
    <row r="2364" spans="1:3" x14ac:dyDescent="0.3">
      <c r="A2364" s="1">
        <v>45828</v>
      </c>
      <c r="B2364">
        <v>3123657.1006603302</v>
      </c>
      <c r="C2364">
        <f t="shared" si="40"/>
        <v>3442270.1249276842</v>
      </c>
    </row>
    <row r="2365" spans="1:3" x14ac:dyDescent="0.3">
      <c r="A2365" s="1">
        <v>45829</v>
      </c>
      <c r="B2365">
        <v>3692861.0869132201</v>
      </c>
      <c r="C2365">
        <f t="shared" si="40"/>
        <v>4069532.917778369</v>
      </c>
    </row>
    <row r="2366" spans="1:3" x14ac:dyDescent="0.3">
      <c r="A2366" s="1">
        <v>45830</v>
      </c>
      <c r="B2366">
        <v>4074476.3302265401</v>
      </c>
      <c r="C2366">
        <f t="shared" si="40"/>
        <v>4490072.9159096479</v>
      </c>
    </row>
    <row r="2367" spans="1:3" x14ac:dyDescent="0.3">
      <c r="A2367" s="1">
        <v>45831</v>
      </c>
      <c r="B2367">
        <v>2942187.8518540701</v>
      </c>
      <c r="C2367">
        <f t="shared" si="40"/>
        <v>3242291.0127431853</v>
      </c>
    </row>
    <row r="2368" spans="1:3" x14ac:dyDescent="0.3">
      <c r="A2368" s="1">
        <v>45832</v>
      </c>
      <c r="B2368">
        <v>3800364.66027166</v>
      </c>
      <c r="C2368">
        <f t="shared" si="40"/>
        <v>4188001.8556193695</v>
      </c>
    </row>
    <row r="2369" spans="1:3" x14ac:dyDescent="0.3">
      <c r="A2369" s="1">
        <v>45833</v>
      </c>
      <c r="B2369">
        <v>4142703.1268319502</v>
      </c>
      <c r="C2369">
        <f t="shared" si="40"/>
        <v>4565258.8457688093</v>
      </c>
    </row>
    <row r="2370" spans="1:3" x14ac:dyDescent="0.3">
      <c r="A2370" s="1">
        <v>45834</v>
      </c>
      <c r="B2370">
        <v>4382667.6589209298</v>
      </c>
      <c r="C2370">
        <f t="shared" si="40"/>
        <v>4829699.7601308646</v>
      </c>
    </row>
    <row r="2371" spans="1:3" x14ac:dyDescent="0.3">
      <c r="A2371" s="1">
        <v>45835</v>
      </c>
      <c r="B2371">
        <v>3547260.0222422699</v>
      </c>
      <c r="C2371">
        <f t="shared" ref="C2371:C2434" si="41">B2371*1.102</f>
        <v>3909080.544510982</v>
      </c>
    </row>
    <row r="2372" spans="1:3" x14ac:dyDescent="0.3">
      <c r="A2372" s="1">
        <v>45836</v>
      </c>
      <c r="B2372">
        <v>3953283.9980436298</v>
      </c>
      <c r="C2372">
        <f t="shared" si="41"/>
        <v>4356518.9658440808</v>
      </c>
    </row>
    <row r="2373" spans="1:3" x14ac:dyDescent="0.3">
      <c r="A2373" s="1">
        <v>45837</v>
      </c>
      <c r="B2373">
        <v>3656484.5518589299</v>
      </c>
      <c r="C2373">
        <f t="shared" si="41"/>
        <v>4029445.9761485411</v>
      </c>
    </row>
    <row r="2374" spans="1:3" x14ac:dyDescent="0.3">
      <c r="A2374" s="1">
        <v>45838</v>
      </c>
      <c r="B2374">
        <v>3167491.7702780599</v>
      </c>
      <c r="C2374">
        <f t="shared" si="41"/>
        <v>3490575.9308464224</v>
      </c>
    </row>
    <row r="2375" spans="1:3" x14ac:dyDescent="0.3">
      <c r="A2375" s="1">
        <v>45839</v>
      </c>
      <c r="B2375">
        <v>2610562.7863499802</v>
      </c>
      <c r="C2375">
        <f t="shared" si="41"/>
        <v>2876840.1905576782</v>
      </c>
    </row>
    <row r="2376" spans="1:3" x14ac:dyDescent="0.3">
      <c r="A2376" s="1">
        <v>45840</v>
      </c>
      <c r="B2376">
        <v>3284656.9756948501</v>
      </c>
      <c r="C2376">
        <f t="shared" si="41"/>
        <v>3619691.9872157252</v>
      </c>
    </row>
    <row r="2377" spans="1:3" x14ac:dyDescent="0.3">
      <c r="A2377" s="1">
        <v>45841</v>
      </c>
      <c r="B2377">
        <v>2723020.0635132901</v>
      </c>
      <c r="C2377">
        <f t="shared" si="41"/>
        <v>3000768.1099916459</v>
      </c>
    </row>
    <row r="2378" spans="1:3" x14ac:dyDescent="0.3">
      <c r="A2378" s="1">
        <v>45842</v>
      </c>
      <c r="B2378">
        <v>4115736.2487474098</v>
      </c>
      <c r="C2378">
        <f t="shared" si="41"/>
        <v>4535541.346119646</v>
      </c>
    </row>
    <row r="2379" spans="1:3" x14ac:dyDescent="0.3">
      <c r="A2379" s="1">
        <v>45843</v>
      </c>
      <c r="B2379">
        <v>3057831.2412682199</v>
      </c>
      <c r="C2379">
        <f t="shared" si="41"/>
        <v>3369730.0278775785</v>
      </c>
    </row>
    <row r="2380" spans="1:3" x14ac:dyDescent="0.3">
      <c r="A2380" s="1">
        <v>45844</v>
      </c>
      <c r="B2380">
        <v>2397365.5155936899</v>
      </c>
      <c r="C2380">
        <f t="shared" si="41"/>
        <v>2641896.7981842463</v>
      </c>
    </row>
    <row r="2381" spans="1:3" x14ac:dyDescent="0.3">
      <c r="A2381" s="1">
        <v>45845</v>
      </c>
      <c r="B2381">
        <v>3499784.8329277802</v>
      </c>
      <c r="C2381">
        <f t="shared" si="41"/>
        <v>3856762.885886414</v>
      </c>
    </row>
    <row r="2382" spans="1:3" x14ac:dyDescent="0.3">
      <c r="A2382" s="1">
        <v>45846</v>
      </c>
      <c r="B2382">
        <v>2534348.6168136098</v>
      </c>
      <c r="C2382">
        <f t="shared" si="41"/>
        <v>2792852.1757285981</v>
      </c>
    </row>
    <row r="2383" spans="1:3" x14ac:dyDescent="0.3">
      <c r="A2383" s="1">
        <v>45847</v>
      </c>
      <c r="B2383">
        <v>4419970.49863993</v>
      </c>
      <c r="C2383">
        <f t="shared" si="41"/>
        <v>4870807.4895012034</v>
      </c>
    </row>
    <row r="2384" spans="1:3" x14ac:dyDescent="0.3">
      <c r="A2384" s="1">
        <v>45848</v>
      </c>
      <c r="B2384">
        <v>3756093.3891915102</v>
      </c>
      <c r="C2384">
        <f t="shared" si="41"/>
        <v>4139214.9148890446</v>
      </c>
    </row>
    <row r="2385" spans="1:3" x14ac:dyDescent="0.3">
      <c r="A2385" s="1">
        <v>45849</v>
      </c>
      <c r="B2385">
        <v>4279345.3755797697</v>
      </c>
      <c r="C2385">
        <f t="shared" si="41"/>
        <v>4715838.6038889065</v>
      </c>
    </row>
    <row r="2386" spans="1:3" x14ac:dyDescent="0.3">
      <c r="A2386" s="1">
        <v>45850</v>
      </c>
      <c r="B2386">
        <v>4938090.6468110299</v>
      </c>
      <c r="C2386">
        <f t="shared" si="41"/>
        <v>5441775.892785755</v>
      </c>
    </row>
    <row r="2387" spans="1:3" x14ac:dyDescent="0.3">
      <c r="A2387" s="1">
        <v>45851</v>
      </c>
      <c r="B2387">
        <v>3106733.7107191999</v>
      </c>
      <c r="C2387">
        <f t="shared" si="41"/>
        <v>3423620.5492125587</v>
      </c>
    </row>
    <row r="2388" spans="1:3" x14ac:dyDescent="0.3">
      <c r="A2388" s="1">
        <v>45852</v>
      </c>
      <c r="B2388">
        <v>4296603.48518016</v>
      </c>
      <c r="C2388">
        <f t="shared" si="41"/>
        <v>4734857.0406685369</v>
      </c>
    </row>
    <row r="2389" spans="1:3" x14ac:dyDescent="0.3">
      <c r="A2389" s="1">
        <v>45853</v>
      </c>
      <c r="B2389">
        <v>4201072.1021599397</v>
      </c>
      <c r="C2389">
        <f t="shared" si="41"/>
        <v>4629581.4565802542</v>
      </c>
    </row>
    <row r="2390" spans="1:3" x14ac:dyDescent="0.3">
      <c r="A2390" s="1">
        <v>45854</v>
      </c>
      <c r="B2390">
        <v>4602677.69041014</v>
      </c>
      <c r="C2390">
        <f t="shared" si="41"/>
        <v>5072150.8148319749</v>
      </c>
    </row>
    <row r="2391" spans="1:3" x14ac:dyDescent="0.3">
      <c r="A2391" s="1">
        <v>45855</v>
      </c>
      <c r="B2391">
        <v>4619632.85797955</v>
      </c>
      <c r="C2391">
        <f t="shared" si="41"/>
        <v>5090835.409493465</v>
      </c>
    </row>
    <row r="2392" spans="1:3" x14ac:dyDescent="0.3">
      <c r="A2392" s="1">
        <v>45856</v>
      </c>
      <c r="B2392">
        <v>3571220.0480449698</v>
      </c>
      <c r="C2392">
        <f t="shared" si="41"/>
        <v>3935484.492945557</v>
      </c>
    </row>
    <row r="2393" spans="1:3" x14ac:dyDescent="0.3">
      <c r="A2393" s="1">
        <v>45857</v>
      </c>
      <c r="B2393">
        <v>2848883.3677096702</v>
      </c>
      <c r="C2393">
        <f t="shared" si="41"/>
        <v>3139469.471216057</v>
      </c>
    </row>
    <row r="2394" spans="1:3" x14ac:dyDescent="0.3">
      <c r="A2394" s="1">
        <v>45858</v>
      </c>
      <c r="B2394">
        <v>4433926.2043297999</v>
      </c>
      <c r="C2394">
        <f t="shared" si="41"/>
        <v>4886186.6771714399</v>
      </c>
    </row>
    <row r="2395" spans="1:3" x14ac:dyDescent="0.3">
      <c r="A2395" s="1">
        <v>45859</v>
      </c>
      <c r="B2395">
        <v>3890494.8608318702</v>
      </c>
      <c r="C2395">
        <f t="shared" si="41"/>
        <v>4287325.3366367212</v>
      </c>
    </row>
    <row r="2396" spans="1:3" x14ac:dyDescent="0.3">
      <c r="A2396" s="1">
        <v>45860</v>
      </c>
      <c r="B2396">
        <v>3854734.93198488</v>
      </c>
      <c r="C2396">
        <f t="shared" si="41"/>
        <v>4247917.8950473377</v>
      </c>
    </row>
    <row r="2397" spans="1:3" x14ac:dyDescent="0.3">
      <c r="A2397" s="1">
        <v>45861</v>
      </c>
      <c r="B2397">
        <v>2507269.27166453</v>
      </c>
      <c r="C2397">
        <f t="shared" si="41"/>
        <v>2763010.7373743122</v>
      </c>
    </row>
    <row r="2398" spans="1:3" x14ac:dyDescent="0.3">
      <c r="A2398" s="1">
        <v>45862</v>
      </c>
      <c r="B2398">
        <v>3582952.7667577099</v>
      </c>
      <c r="C2398">
        <f t="shared" si="41"/>
        <v>3948413.9489669967</v>
      </c>
    </row>
    <row r="2399" spans="1:3" x14ac:dyDescent="0.3">
      <c r="A2399" s="1">
        <v>45863</v>
      </c>
      <c r="B2399">
        <v>3303163.4081264902</v>
      </c>
      <c r="C2399">
        <f t="shared" si="41"/>
        <v>3640086.0757553927</v>
      </c>
    </row>
    <row r="2400" spans="1:3" x14ac:dyDescent="0.3">
      <c r="A2400" s="1">
        <v>45864</v>
      </c>
      <c r="B2400">
        <v>3998340.0147317299</v>
      </c>
      <c r="C2400">
        <f t="shared" si="41"/>
        <v>4406170.6962343669</v>
      </c>
    </row>
    <row r="2401" spans="1:3" x14ac:dyDescent="0.3">
      <c r="A2401" s="1">
        <v>45865</v>
      </c>
      <c r="B2401">
        <v>3698806.3595675202</v>
      </c>
      <c r="C2401">
        <f t="shared" si="41"/>
        <v>4076084.6082434077</v>
      </c>
    </row>
    <row r="2402" spans="1:3" x14ac:dyDescent="0.3">
      <c r="A2402" s="1">
        <v>45866</v>
      </c>
      <c r="B2402">
        <v>2987853.3783115</v>
      </c>
      <c r="C2402">
        <f t="shared" si="41"/>
        <v>3292614.4228992732</v>
      </c>
    </row>
    <row r="2403" spans="1:3" x14ac:dyDescent="0.3">
      <c r="A2403" s="1">
        <v>45867</v>
      </c>
      <c r="B2403">
        <v>3541181.3545204201</v>
      </c>
      <c r="C2403">
        <f t="shared" si="41"/>
        <v>3902381.8526815032</v>
      </c>
    </row>
    <row r="2404" spans="1:3" x14ac:dyDescent="0.3">
      <c r="A2404" s="1">
        <v>45868</v>
      </c>
      <c r="B2404">
        <v>4664675.2661501504</v>
      </c>
      <c r="C2404">
        <f t="shared" si="41"/>
        <v>5140472.1432974664</v>
      </c>
    </row>
    <row r="2405" spans="1:3" x14ac:dyDescent="0.3">
      <c r="A2405" s="1">
        <v>45869</v>
      </c>
      <c r="B2405">
        <v>2721570.5886080102</v>
      </c>
      <c r="C2405">
        <f t="shared" si="41"/>
        <v>2999170.7886460274</v>
      </c>
    </row>
    <row r="2406" spans="1:3" x14ac:dyDescent="0.3">
      <c r="A2406" s="1">
        <v>45870</v>
      </c>
      <c r="B2406">
        <v>3058695.27694534</v>
      </c>
      <c r="C2406">
        <f t="shared" si="41"/>
        <v>3370682.1951937648</v>
      </c>
    </row>
    <row r="2407" spans="1:3" x14ac:dyDescent="0.3">
      <c r="A2407" s="1">
        <v>45871</v>
      </c>
      <c r="B2407">
        <v>4652891.2111346303</v>
      </c>
      <c r="C2407">
        <f t="shared" si="41"/>
        <v>5127486.1146703633</v>
      </c>
    </row>
    <row r="2408" spans="1:3" x14ac:dyDescent="0.3">
      <c r="A2408" s="1">
        <v>45872</v>
      </c>
      <c r="B2408">
        <v>3550272.53032168</v>
      </c>
      <c r="C2408">
        <f t="shared" si="41"/>
        <v>3912400.3284144918</v>
      </c>
    </row>
    <row r="2409" spans="1:3" x14ac:dyDescent="0.3">
      <c r="A2409" s="1">
        <v>45873</v>
      </c>
      <c r="B2409">
        <v>2656349.9911790998</v>
      </c>
      <c r="C2409">
        <f t="shared" si="41"/>
        <v>2927297.6902793683</v>
      </c>
    </row>
    <row r="2410" spans="1:3" x14ac:dyDescent="0.3">
      <c r="A2410" s="1">
        <v>45874</v>
      </c>
      <c r="B2410">
        <v>3987970.6202022</v>
      </c>
      <c r="C2410">
        <f t="shared" si="41"/>
        <v>4394743.6234628251</v>
      </c>
    </row>
    <row r="2411" spans="1:3" x14ac:dyDescent="0.3">
      <c r="A2411" s="1">
        <v>45875</v>
      </c>
      <c r="B2411">
        <v>2453568.6177129201</v>
      </c>
      <c r="C2411">
        <f t="shared" si="41"/>
        <v>2703832.616719638</v>
      </c>
    </row>
    <row r="2412" spans="1:3" x14ac:dyDescent="0.3">
      <c r="A2412" s="1">
        <v>45876</v>
      </c>
      <c r="B2412">
        <v>3891725.1564579699</v>
      </c>
      <c r="C2412">
        <f t="shared" si="41"/>
        <v>4288681.1224166835</v>
      </c>
    </row>
    <row r="2413" spans="1:3" x14ac:dyDescent="0.3">
      <c r="A2413" s="1">
        <v>45877</v>
      </c>
      <c r="B2413">
        <v>3253480.8783508898</v>
      </c>
      <c r="C2413">
        <f t="shared" si="41"/>
        <v>3585335.9279426807</v>
      </c>
    </row>
    <row r="2414" spans="1:3" x14ac:dyDescent="0.3">
      <c r="A2414" s="1">
        <v>45878</v>
      </c>
      <c r="B2414">
        <v>4420780.7793551804</v>
      </c>
      <c r="C2414">
        <f t="shared" si="41"/>
        <v>4871700.4188494096</v>
      </c>
    </row>
    <row r="2415" spans="1:3" x14ac:dyDescent="0.3">
      <c r="A2415" s="1">
        <v>45879</v>
      </c>
      <c r="B2415">
        <v>4335128.7461099299</v>
      </c>
      <c r="C2415">
        <f t="shared" si="41"/>
        <v>4777311.878213143</v>
      </c>
    </row>
    <row r="2416" spans="1:3" x14ac:dyDescent="0.3">
      <c r="A2416" s="1">
        <v>45880</v>
      </c>
      <c r="B2416">
        <v>3796183.64174168</v>
      </c>
      <c r="C2416">
        <f t="shared" si="41"/>
        <v>4183394.3731993316</v>
      </c>
    </row>
    <row r="2417" spans="1:3" x14ac:dyDescent="0.3">
      <c r="A2417" s="1">
        <v>45881</v>
      </c>
      <c r="B2417">
        <v>4157983.74016072</v>
      </c>
      <c r="C2417">
        <f t="shared" si="41"/>
        <v>4582098.0816571135</v>
      </c>
    </row>
    <row r="2418" spans="1:3" x14ac:dyDescent="0.3">
      <c r="A2418" s="1">
        <v>45882</v>
      </c>
      <c r="B2418">
        <v>3982321.5114058098</v>
      </c>
      <c r="C2418">
        <f t="shared" si="41"/>
        <v>4388518.3055692026</v>
      </c>
    </row>
    <row r="2419" spans="1:3" x14ac:dyDescent="0.3">
      <c r="A2419" s="1">
        <v>45883</v>
      </c>
      <c r="B2419">
        <v>3430020.1965628699</v>
      </c>
      <c r="C2419">
        <f t="shared" si="41"/>
        <v>3779882.2566122832</v>
      </c>
    </row>
    <row r="2420" spans="1:3" x14ac:dyDescent="0.3">
      <c r="A2420" s="1">
        <v>45884</v>
      </c>
      <c r="B2420">
        <v>3901298.2183324499</v>
      </c>
      <c r="C2420">
        <f t="shared" si="41"/>
        <v>4299230.6366023598</v>
      </c>
    </row>
    <row r="2421" spans="1:3" x14ac:dyDescent="0.3">
      <c r="A2421" s="1">
        <v>45885</v>
      </c>
      <c r="B2421">
        <v>3112631.55342393</v>
      </c>
      <c r="C2421">
        <f t="shared" si="41"/>
        <v>3430119.9718731712</v>
      </c>
    </row>
    <row r="2422" spans="1:3" x14ac:dyDescent="0.3">
      <c r="A2422" s="1">
        <v>45886</v>
      </c>
      <c r="B2422">
        <v>4608491.9652063996</v>
      </c>
      <c r="C2422">
        <f t="shared" si="41"/>
        <v>5078558.1456574528</v>
      </c>
    </row>
    <row r="2423" spans="1:3" x14ac:dyDescent="0.3">
      <c r="A2423" s="1">
        <v>45887</v>
      </c>
      <c r="B2423">
        <v>3066530.57139664</v>
      </c>
      <c r="C2423">
        <f t="shared" si="41"/>
        <v>3379316.6896790974</v>
      </c>
    </row>
    <row r="2424" spans="1:3" x14ac:dyDescent="0.3">
      <c r="A2424" s="1">
        <v>45888</v>
      </c>
      <c r="B2424">
        <v>4688173.8735856097</v>
      </c>
      <c r="C2424">
        <f t="shared" si="41"/>
        <v>5166367.6086913422</v>
      </c>
    </row>
    <row r="2425" spans="1:3" x14ac:dyDescent="0.3">
      <c r="A2425" s="1">
        <v>45889</v>
      </c>
      <c r="B2425">
        <v>3738716.31830324</v>
      </c>
      <c r="C2425">
        <f t="shared" si="41"/>
        <v>4120065.3827701709</v>
      </c>
    </row>
    <row r="2426" spans="1:3" x14ac:dyDescent="0.3">
      <c r="A2426" s="1">
        <v>45890</v>
      </c>
      <c r="B2426">
        <v>3669252.4660212798</v>
      </c>
      <c r="C2426">
        <f t="shared" si="41"/>
        <v>4043516.2175554507</v>
      </c>
    </row>
    <row r="2427" spans="1:3" x14ac:dyDescent="0.3">
      <c r="A2427" s="1">
        <v>45891</v>
      </c>
      <c r="B2427">
        <v>4097820.6118646502</v>
      </c>
      <c r="C2427">
        <f t="shared" si="41"/>
        <v>4515798.3142748447</v>
      </c>
    </row>
    <row r="2428" spans="1:3" x14ac:dyDescent="0.3">
      <c r="A2428" s="1">
        <v>45892</v>
      </c>
      <c r="B2428">
        <v>3497884.2324340199</v>
      </c>
      <c r="C2428">
        <f t="shared" si="41"/>
        <v>3854668.4241422904</v>
      </c>
    </row>
    <row r="2429" spans="1:3" x14ac:dyDescent="0.3">
      <c r="A2429" s="1">
        <v>45893</v>
      </c>
      <c r="B2429">
        <v>3861441.1579250698</v>
      </c>
      <c r="C2429">
        <f t="shared" si="41"/>
        <v>4255308.1560334275</v>
      </c>
    </row>
    <row r="2430" spans="1:3" x14ac:dyDescent="0.3">
      <c r="A2430" s="1">
        <v>45894</v>
      </c>
      <c r="B2430">
        <v>3572202.1782033499</v>
      </c>
      <c r="C2430">
        <f t="shared" si="41"/>
        <v>3936566.8003800921</v>
      </c>
    </row>
    <row r="2431" spans="1:3" x14ac:dyDescent="0.3">
      <c r="A2431" s="1">
        <v>45895</v>
      </c>
      <c r="B2431">
        <v>3349306.81755296</v>
      </c>
      <c r="C2431">
        <f t="shared" si="41"/>
        <v>3690936.1129433624</v>
      </c>
    </row>
    <row r="2432" spans="1:3" x14ac:dyDescent="0.3">
      <c r="A2432" s="1">
        <v>45896</v>
      </c>
      <c r="B2432">
        <v>3230533.5585571001</v>
      </c>
      <c r="C2432">
        <f t="shared" si="41"/>
        <v>3560047.9815299246</v>
      </c>
    </row>
    <row r="2433" spans="1:3" x14ac:dyDescent="0.3">
      <c r="A2433" s="1">
        <v>45897</v>
      </c>
      <c r="B2433">
        <v>3063962.00619365</v>
      </c>
      <c r="C2433">
        <f t="shared" si="41"/>
        <v>3376486.1308254027</v>
      </c>
    </row>
    <row r="2434" spans="1:3" x14ac:dyDescent="0.3">
      <c r="A2434" s="1">
        <v>45898</v>
      </c>
      <c r="B2434">
        <v>3340009.4245073702</v>
      </c>
      <c r="C2434">
        <f t="shared" si="41"/>
        <v>3680690.3858071221</v>
      </c>
    </row>
    <row r="2435" spans="1:3" x14ac:dyDescent="0.3">
      <c r="A2435" s="1">
        <v>45899</v>
      </c>
      <c r="B2435">
        <v>4673916.4773885598</v>
      </c>
      <c r="C2435">
        <f t="shared" ref="C2435:C2485" si="42">B2435*1.102</f>
        <v>5150655.9580821935</v>
      </c>
    </row>
    <row r="2436" spans="1:3" x14ac:dyDescent="0.3">
      <c r="A2436" s="1">
        <v>45900</v>
      </c>
      <c r="B2436">
        <v>2889666.6158442898</v>
      </c>
      <c r="C2436">
        <f t="shared" si="42"/>
        <v>3184412.6106604077</v>
      </c>
    </row>
    <row r="2437" spans="1:3" x14ac:dyDescent="0.3">
      <c r="A2437" s="1">
        <v>45901</v>
      </c>
      <c r="B2437">
        <v>4184408.1591477999</v>
      </c>
      <c r="C2437">
        <f t="shared" si="42"/>
        <v>4611217.7913808757</v>
      </c>
    </row>
    <row r="2438" spans="1:3" x14ac:dyDescent="0.3">
      <c r="A2438" s="1">
        <v>45902</v>
      </c>
      <c r="B2438">
        <v>2554433.4184146398</v>
      </c>
      <c r="C2438">
        <f t="shared" si="42"/>
        <v>2814985.6270929333</v>
      </c>
    </row>
    <row r="2439" spans="1:3" x14ac:dyDescent="0.3">
      <c r="A2439" s="1">
        <v>45903</v>
      </c>
      <c r="B2439">
        <v>3388532.38171604</v>
      </c>
      <c r="C2439">
        <f t="shared" si="42"/>
        <v>3734162.6846510763</v>
      </c>
    </row>
    <row r="2440" spans="1:3" x14ac:dyDescent="0.3">
      <c r="A2440" s="1">
        <v>45904</v>
      </c>
      <c r="B2440">
        <v>2295374.2378464998</v>
      </c>
      <c r="C2440">
        <f t="shared" si="42"/>
        <v>2529502.4101068429</v>
      </c>
    </row>
    <row r="2441" spans="1:3" x14ac:dyDescent="0.3">
      <c r="A2441" s="1">
        <v>45905</v>
      </c>
      <c r="B2441">
        <v>5194698.5102493297</v>
      </c>
      <c r="C2441">
        <f t="shared" si="42"/>
        <v>5724557.7582947621</v>
      </c>
    </row>
    <row r="2442" spans="1:3" x14ac:dyDescent="0.3">
      <c r="A2442" s="1">
        <v>45906</v>
      </c>
      <c r="B2442">
        <v>3420225.0267103398</v>
      </c>
      <c r="C2442">
        <f t="shared" si="42"/>
        <v>3769087.9794347947</v>
      </c>
    </row>
    <row r="2443" spans="1:3" x14ac:dyDescent="0.3">
      <c r="A2443" s="1">
        <v>45907</v>
      </c>
      <c r="B2443">
        <v>5066013.6652908996</v>
      </c>
      <c r="C2443">
        <f t="shared" si="42"/>
        <v>5582747.0591505719</v>
      </c>
    </row>
    <row r="2444" spans="1:3" x14ac:dyDescent="0.3">
      <c r="A2444" s="1">
        <v>45908</v>
      </c>
      <c r="B2444">
        <v>3860500.9770215699</v>
      </c>
      <c r="C2444">
        <f t="shared" si="42"/>
        <v>4254272.0766777704</v>
      </c>
    </row>
    <row r="2445" spans="1:3" x14ac:dyDescent="0.3">
      <c r="A2445" s="1">
        <v>45909</v>
      </c>
      <c r="B2445">
        <v>3175733.1912743598</v>
      </c>
      <c r="C2445">
        <f t="shared" si="42"/>
        <v>3499657.9767843448</v>
      </c>
    </row>
    <row r="2446" spans="1:3" x14ac:dyDescent="0.3">
      <c r="A2446" s="1">
        <v>45910</v>
      </c>
      <c r="B2446">
        <v>2515857.5743636498</v>
      </c>
      <c r="C2446">
        <f t="shared" si="42"/>
        <v>2772475.0469487421</v>
      </c>
    </row>
    <row r="2447" spans="1:3" x14ac:dyDescent="0.3">
      <c r="A2447" s="1">
        <v>45911</v>
      </c>
      <c r="B2447">
        <v>2351504.3142296602</v>
      </c>
      <c r="C2447">
        <f t="shared" si="42"/>
        <v>2591357.7542810859</v>
      </c>
    </row>
    <row r="2448" spans="1:3" x14ac:dyDescent="0.3">
      <c r="A2448" s="1">
        <v>45912</v>
      </c>
      <c r="B2448">
        <v>1826059.14719306</v>
      </c>
      <c r="C2448">
        <f t="shared" si="42"/>
        <v>2012317.1802067524</v>
      </c>
    </row>
    <row r="2449" spans="1:3" x14ac:dyDescent="0.3">
      <c r="A2449" s="1">
        <v>45913</v>
      </c>
      <c r="B2449">
        <v>2458900.6945038498</v>
      </c>
      <c r="C2449">
        <f t="shared" si="42"/>
        <v>2709708.5653432426</v>
      </c>
    </row>
    <row r="2450" spans="1:3" x14ac:dyDescent="0.3">
      <c r="A2450" s="1">
        <v>45914</v>
      </c>
      <c r="B2450">
        <v>1729790.0515966599</v>
      </c>
      <c r="C2450">
        <f t="shared" si="42"/>
        <v>1906228.6368595194</v>
      </c>
    </row>
    <row r="2451" spans="1:3" x14ac:dyDescent="0.3">
      <c r="A2451" s="1">
        <v>45915</v>
      </c>
      <c r="B2451">
        <v>2756701.6620417899</v>
      </c>
      <c r="C2451">
        <f t="shared" si="42"/>
        <v>3037885.2315700524</v>
      </c>
    </row>
    <row r="2452" spans="1:3" x14ac:dyDescent="0.3">
      <c r="A2452" s="1">
        <v>45916</v>
      </c>
      <c r="B2452">
        <v>3883815.0314392201</v>
      </c>
      <c r="C2452">
        <f t="shared" si="42"/>
        <v>4279964.1646460211</v>
      </c>
    </row>
    <row r="2453" spans="1:3" x14ac:dyDescent="0.3">
      <c r="A2453" s="1">
        <v>45917</v>
      </c>
      <c r="B2453">
        <v>3498440.2144548199</v>
      </c>
      <c r="C2453">
        <f t="shared" si="42"/>
        <v>3855281.1163292117</v>
      </c>
    </row>
    <row r="2454" spans="1:3" x14ac:dyDescent="0.3">
      <c r="A2454" s="1">
        <v>45918</v>
      </c>
      <c r="B2454">
        <v>3683575.1296686199</v>
      </c>
      <c r="C2454">
        <f t="shared" si="42"/>
        <v>4059299.7928948193</v>
      </c>
    </row>
    <row r="2455" spans="1:3" x14ac:dyDescent="0.3">
      <c r="A2455" s="1">
        <v>45919</v>
      </c>
      <c r="B2455">
        <v>2469151.3754268098</v>
      </c>
      <c r="C2455">
        <f t="shared" si="42"/>
        <v>2721004.8157203444</v>
      </c>
    </row>
    <row r="2456" spans="1:3" x14ac:dyDescent="0.3">
      <c r="A2456" s="1">
        <v>45920</v>
      </c>
      <c r="B2456">
        <v>2730629.1442094399</v>
      </c>
      <c r="C2456">
        <f t="shared" si="42"/>
        <v>3009153.3169188029</v>
      </c>
    </row>
    <row r="2457" spans="1:3" x14ac:dyDescent="0.3">
      <c r="A2457" s="1">
        <v>45921</v>
      </c>
      <c r="B2457">
        <v>2069287.32319581</v>
      </c>
      <c r="C2457">
        <f t="shared" si="42"/>
        <v>2280354.6301617827</v>
      </c>
    </row>
    <row r="2458" spans="1:3" x14ac:dyDescent="0.3">
      <c r="A2458" s="1">
        <v>45922</v>
      </c>
      <c r="B2458">
        <v>2162097.6899726498</v>
      </c>
      <c r="C2458">
        <f t="shared" si="42"/>
        <v>2382631.6543498603</v>
      </c>
    </row>
    <row r="2459" spans="1:3" x14ac:dyDescent="0.3">
      <c r="A2459" s="1">
        <v>45923</v>
      </c>
      <c r="B2459">
        <v>3462164.9382919301</v>
      </c>
      <c r="C2459">
        <f t="shared" si="42"/>
        <v>3815305.7619977072</v>
      </c>
    </row>
    <row r="2460" spans="1:3" x14ac:dyDescent="0.3">
      <c r="A2460" s="1">
        <v>45924</v>
      </c>
      <c r="B2460">
        <v>3104398.3014290999</v>
      </c>
      <c r="C2460">
        <f t="shared" si="42"/>
        <v>3421046.9281748682</v>
      </c>
    </row>
    <row r="2461" spans="1:3" x14ac:dyDescent="0.3">
      <c r="A2461" s="1">
        <v>45925</v>
      </c>
      <c r="B2461">
        <v>2714718.7670335402</v>
      </c>
      <c r="C2461">
        <f t="shared" si="42"/>
        <v>2991620.0812709616</v>
      </c>
    </row>
    <row r="2462" spans="1:3" x14ac:dyDescent="0.3">
      <c r="A2462" s="1">
        <v>45926</v>
      </c>
      <c r="B2462">
        <v>2115800.1702552699</v>
      </c>
      <c r="C2462">
        <f t="shared" si="42"/>
        <v>2331611.7876213077</v>
      </c>
    </row>
    <row r="2463" spans="1:3" x14ac:dyDescent="0.3">
      <c r="A2463" s="1">
        <v>45927</v>
      </c>
      <c r="B2463">
        <v>3941633.8175078998</v>
      </c>
      <c r="C2463">
        <f t="shared" si="42"/>
        <v>4343680.4668937055</v>
      </c>
    </row>
    <row r="2464" spans="1:3" x14ac:dyDescent="0.3">
      <c r="A2464" s="1">
        <v>45928</v>
      </c>
      <c r="B2464">
        <v>4693518.7010708004</v>
      </c>
      <c r="C2464">
        <f t="shared" si="42"/>
        <v>5172257.6085800221</v>
      </c>
    </row>
    <row r="2465" spans="1:3" x14ac:dyDescent="0.3">
      <c r="A2465" s="1">
        <v>45929</v>
      </c>
      <c r="B2465">
        <v>3933802.5599557701</v>
      </c>
      <c r="C2465">
        <f t="shared" si="42"/>
        <v>4335050.4210712593</v>
      </c>
    </row>
    <row r="2466" spans="1:3" x14ac:dyDescent="0.3">
      <c r="A2466" s="1">
        <v>45930</v>
      </c>
      <c r="B2466">
        <v>2280057.13593412</v>
      </c>
      <c r="C2466">
        <f t="shared" si="42"/>
        <v>2512622.9637994007</v>
      </c>
    </row>
    <row r="2467" spans="1:3" x14ac:dyDescent="0.3">
      <c r="A2467" s="1">
        <v>45931</v>
      </c>
      <c r="B2467">
        <v>4232927.4464242104</v>
      </c>
      <c r="C2467">
        <f t="shared" si="42"/>
        <v>4664686.0459594801</v>
      </c>
    </row>
    <row r="2468" spans="1:3" x14ac:dyDescent="0.3">
      <c r="A2468" s="1">
        <v>45932</v>
      </c>
      <c r="B2468">
        <v>4796394.0401450396</v>
      </c>
      <c r="C2468">
        <f t="shared" si="42"/>
        <v>5285626.232239834</v>
      </c>
    </row>
    <row r="2469" spans="1:3" x14ac:dyDescent="0.3">
      <c r="A2469" s="1">
        <v>45933</v>
      </c>
      <c r="B2469">
        <v>4535115.1905468898</v>
      </c>
      <c r="C2469">
        <f t="shared" si="42"/>
        <v>4997696.9399826732</v>
      </c>
    </row>
    <row r="2470" spans="1:3" x14ac:dyDescent="0.3">
      <c r="A2470" s="1">
        <v>45934</v>
      </c>
      <c r="B2470">
        <v>2846556.15325773</v>
      </c>
      <c r="C2470">
        <f t="shared" si="42"/>
        <v>3136904.8808900188</v>
      </c>
    </row>
    <row r="2471" spans="1:3" x14ac:dyDescent="0.3">
      <c r="A2471" s="1">
        <v>45935</v>
      </c>
      <c r="B2471">
        <v>4056597.2582826298</v>
      </c>
      <c r="C2471">
        <f t="shared" si="42"/>
        <v>4470370.1786274584</v>
      </c>
    </row>
    <row r="2472" spans="1:3" x14ac:dyDescent="0.3">
      <c r="A2472" s="1">
        <v>45936</v>
      </c>
      <c r="B2472">
        <v>3599274.7084797001</v>
      </c>
      <c r="C2472">
        <f t="shared" si="42"/>
        <v>3966400.7287446298</v>
      </c>
    </row>
    <row r="2473" spans="1:3" x14ac:dyDescent="0.3">
      <c r="A2473" s="1">
        <v>45937</v>
      </c>
      <c r="B2473">
        <v>2807604.5975299198</v>
      </c>
      <c r="C2473">
        <f t="shared" si="42"/>
        <v>3093980.2664779718</v>
      </c>
    </row>
    <row r="2474" spans="1:3" x14ac:dyDescent="0.3">
      <c r="A2474" s="1">
        <v>45938</v>
      </c>
      <c r="B2474">
        <v>1391700.06835907</v>
      </c>
      <c r="C2474">
        <f t="shared" si="42"/>
        <v>1533653.4753316953</v>
      </c>
    </row>
    <row r="2475" spans="1:3" x14ac:dyDescent="0.3">
      <c r="A2475" s="1">
        <v>45939</v>
      </c>
      <c r="B2475">
        <v>1736551.5837782701</v>
      </c>
      <c r="C2475">
        <f t="shared" si="42"/>
        <v>1913679.8453236537</v>
      </c>
    </row>
    <row r="2476" spans="1:3" x14ac:dyDescent="0.3">
      <c r="A2476" s="1">
        <v>45940</v>
      </c>
      <c r="B2476">
        <v>2069795.07372281</v>
      </c>
      <c r="C2476">
        <f t="shared" si="42"/>
        <v>2280914.171242537</v>
      </c>
    </row>
    <row r="2477" spans="1:3" x14ac:dyDescent="0.3">
      <c r="A2477" s="1">
        <v>45941</v>
      </c>
      <c r="B2477">
        <v>3383391.74460591</v>
      </c>
      <c r="C2477">
        <f t="shared" si="42"/>
        <v>3728497.7025557132</v>
      </c>
    </row>
    <row r="2478" spans="1:3" x14ac:dyDescent="0.3">
      <c r="A2478" s="1">
        <v>45942</v>
      </c>
      <c r="B2478">
        <v>1671192.1107906001</v>
      </c>
      <c r="C2478">
        <f t="shared" si="42"/>
        <v>1841653.7060912414</v>
      </c>
    </row>
    <row r="2479" spans="1:3" x14ac:dyDescent="0.3">
      <c r="A2479" s="1">
        <v>45943</v>
      </c>
      <c r="B2479">
        <v>3244427.81006512</v>
      </c>
      <c r="C2479">
        <f t="shared" si="42"/>
        <v>3575359.4466917627</v>
      </c>
    </row>
    <row r="2480" spans="1:3" x14ac:dyDescent="0.3">
      <c r="A2480" s="1">
        <v>45944</v>
      </c>
      <c r="B2480">
        <v>5197609.1617465802</v>
      </c>
      <c r="C2480">
        <f t="shared" si="42"/>
        <v>5727765.2962447321</v>
      </c>
    </row>
    <row r="2481" spans="1:3" x14ac:dyDescent="0.3">
      <c r="A2481" s="1">
        <v>45945</v>
      </c>
      <c r="B2481">
        <v>1928973.2702874199</v>
      </c>
      <c r="C2481">
        <f t="shared" si="42"/>
        <v>2125728.5438567367</v>
      </c>
    </row>
    <row r="2482" spans="1:3" x14ac:dyDescent="0.3">
      <c r="A2482" s="1">
        <v>45946</v>
      </c>
      <c r="B2482">
        <v>2270739.7491269298</v>
      </c>
      <c r="C2482">
        <f t="shared" si="42"/>
        <v>2502355.2035378767</v>
      </c>
    </row>
    <row r="2483" spans="1:3" x14ac:dyDescent="0.3">
      <c r="A2483" s="1">
        <v>45947</v>
      </c>
      <c r="B2483">
        <v>2449278.0055117402</v>
      </c>
      <c r="C2483">
        <f t="shared" si="42"/>
        <v>2699104.3620739379</v>
      </c>
    </row>
    <row r="2484" spans="1:3" x14ac:dyDescent="0.3">
      <c r="A2484" s="1">
        <v>45948</v>
      </c>
      <c r="B2484">
        <v>3916917.9282455598</v>
      </c>
      <c r="C2484">
        <f t="shared" si="42"/>
        <v>4316443.5569266072</v>
      </c>
    </row>
    <row r="2485" spans="1:3" x14ac:dyDescent="0.3">
      <c r="A2485" s="1">
        <v>45949</v>
      </c>
      <c r="B2485">
        <v>3842647.6397599098</v>
      </c>
      <c r="C2485">
        <f t="shared" si="42"/>
        <v>4234597.6990154209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39E90-AD93-46F9-96D0-713C9A0B79EA}">
  <dimension ref="A1:W2485"/>
  <sheetViews>
    <sheetView topLeftCell="B1" zoomScale="55" zoomScaleNormal="55" workbookViewId="0">
      <selection activeCell="F2" sqref="F2:G46"/>
    </sheetView>
  </sheetViews>
  <sheetFormatPr defaultRowHeight="14.4" x14ac:dyDescent="0.3"/>
  <cols>
    <col min="1" max="1" width="13.88671875" bestFit="1" customWidth="1"/>
    <col min="2" max="2" width="19.88671875" bestFit="1" customWidth="1"/>
    <col min="3" max="3" width="20.5546875" bestFit="1" customWidth="1"/>
    <col min="19" max="19" width="9" bestFit="1" customWidth="1"/>
  </cols>
  <sheetData>
    <row r="1" spans="1:23" x14ac:dyDescent="0.3">
      <c r="A1" t="s">
        <v>0</v>
      </c>
      <c r="B1" t="s">
        <v>9</v>
      </c>
      <c r="C1" t="s">
        <v>10</v>
      </c>
      <c r="E1" t="s">
        <v>3</v>
      </c>
      <c r="F1" t="s">
        <v>11</v>
      </c>
      <c r="G1" t="s">
        <v>12</v>
      </c>
      <c r="H1" t="s">
        <v>13</v>
      </c>
      <c r="J1" t="s">
        <v>3</v>
      </c>
      <c r="K1" t="s">
        <v>13</v>
      </c>
      <c r="M1" t="s">
        <v>3</v>
      </c>
      <c r="N1" t="s">
        <v>11</v>
      </c>
      <c r="P1" t="s">
        <v>3</v>
      </c>
      <c r="Q1" t="s">
        <v>12</v>
      </c>
      <c r="S1" t="s">
        <v>3</v>
      </c>
      <c r="T1" t="s">
        <v>11</v>
      </c>
      <c r="V1" t="s">
        <v>14</v>
      </c>
    </row>
    <row r="2" spans="1:23" x14ac:dyDescent="0.3">
      <c r="A2" s="1">
        <v>43466</v>
      </c>
      <c r="B2">
        <v>28</v>
      </c>
      <c r="C2">
        <v>51</v>
      </c>
      <c r="E2" s="6">
        <v>44562</v>
      </c>
      <c r="F2">
        <f>SUMIFS(C:C,A:A,"&gt;="&amp;E2,A:A,"&lt;"&amp;E3)</f>
        <v>1715</v>
      </c>
      <c r="G2">
        <f>SUMIFS(B:B,A:A,"&gt;="&amp;E2,A:A,"&lt;"&amp;E3)</f>
        <v>953</v>
      </c>
      <c r="H2">
        <f>SUM(F2:G2)</f>
        <v>2668</v>
      </c>
      <c r="J2" s="2"/>
      <c r="M2" s="2">
        <v>44562</v>
      </c>
      <c r="N2">
        <v>1715</v>
      </c>
      <c r="P2" s="2">
        <v>44562</v>
      </c>
      <c r="Q2">
        <v>953</v>
      </c>
      <c r="S2" s="2">
        <v>44562</v>
      </c>
      <c r="T2">
        <f>SUMIFS(C:C,A:A,"&gt;="&amp;S2,A:A,"&lt;"&amp;S3)</f>
        <v>17036</v>
      </c>
      <c r="U2">
        <f>1-T8/T2</f>
        <v>0.12990138530171402</v>
      </c>
      <c r="V2">
        <f>SUMIFS(B:B,A:A,"&gt;="&amp;S2,A:A,"&lt;"&amp;S3)</f>
        <v>10043</v>
      </c>
      <c r="W2">
        <f>V8/V2</f>
        <v>1.1208802150751767</v>
      </c>
    </row>
    <row r="3" spans="1:23" x14ac:dyDescent="0.3">
      <c r="A3" s="1">
        <v>43467</v>
      </c>
      <c r="B3">
        <v>28</v>
      </c>
      <c r="C3">
        <v>55</v>
      </c>
      <c r="E3" s="6">
        <v>44593</v>
      </c>
      <c r="F3">
        <f t="shared" ref="F3:F46" si="0">SUMIFS(C:C,A:A,"&gt;="&amp;E3,A:A,"&lt;"&amp;E4)</f>
        <v>1723</v>
      </c>
      <c r="G3">
        <f t="shared" ref="G3:G46" si="1">SUMIFS(B:B,A:A,"&gt;="&amp;E3,A:A,"&lt;"&amp;E4)</f>
        <v>1029</v>
      </c>
      <c r="H3">
        <f t="shared" ref="H3:H47" si="2">SUM(F3:G3)</f>
        <v>2752</v>
      </c>
      <c r="J3" s="2">
        <v>45689</v>
      </c>
      <c r="K3">
        <v>2369</v>
      </c>
      <c r="M3" s="2">
        <v>44593</v>
      </c>
      <c r="N3">
        <v>1723</v>
      </c>
      <c r="P3" s="2">
        <v>45323</v>
      </c>
      <c r="Q3">
        <v>1003</v>
      </c>
      <c r="S3" s="2">
        <v>44835</v>
      </c>
    </row>
    <row r="4" spans="1:23" x14ac:dyDescent="0.3">
      <c r="A4" s="1">
        <v>43468</v>
      </c>
      <c r="B4">
        <v>36</v>
      </c>
      <c r="C4">
        <v>58</v>
      </c>
      <c r="E4" s="6">
        <v>44621</v>
      </c>
      <c r="F4">
        <f t="shared" si="0"/>
        <v>1891</v>
      </c>
      <c r="G4">
        <f t="shared" si="1"/>
        <v>1124</v>
      </c>
      <c r="H4">
        <f t="shared" si="2"/>
        <v>3015</v>
      </c>
      <c r="J4" s="2">
        <v>45323</v>
      </c>
      <c r="K4">
        <v>2492</v>
      </c>
      <c r="M4" s="2">
        <v>44621</v>
      </c>
      <c r="N4">
        <v>1891</v>
      </c>
      <c r="P4" s="2">
        <v>45689</v>
      </c>
      <c r="Q4">
        <v>1005</v>
      </c>
      <c r="S4" s="2">
        <v>44927</v>
      </c>
      <c r="T4">
        <f t="shared" ref="T4" si="3">SUMIFS(C:C,A:A,"&gt;="&amp;S4,A:A,"&lt;"&amp;S5)</f>
        <v>16819</v>
      </c>
      <c r="U4">
        <f>1-T8/T4</f>
        <v>0.11867530768773416</v>
      </c>
      <c r="V4">
        <f t="shared" ref="V4:V8" si="4">SUMIFS(B:B,A:A,"&gt;="&amp;S4,A:A,"&lt;"&amp;S5)</f>
        <v>10793</v>
      </c>
      <c r="W4">
        <f>V8/V4</f>
        <v>1.0429908273881219</v>
      </c>
    </row>
    <row r="5" spans="1:23" x14ac:dyDescent="0.3">
      <c r="A5" s="1">
        <v>43469</v>
      </c>
      <c r="B5">
        <v>28</v>
      </c>
      <c r="C5">
        <v>41</v>
      </c>
      <c r="E5" s="6">
        <v>44652</v>
      </c>
      <c r="F5">
        <f t="shared" si="0"/>
        <v>1950</v>
      </c>
      <c r="G5">
        <f t="shared" si="1"/>
        <v>1152</v>
      </c>
      <c r="H5">
        <f t="shared" si="2"/>
        <v>3102</v>
      </c>
      <c r="J5" s="2">
        <v>45901</v>
      </c>
      <c r="K5">
        <v>2589</v>
      </c>
      <c r="M5" s="2">
        <v>44652</v>
      </c>
      <c r="N5">
        <v>1950</v>
      </c>
      <c r="P5" s="2">
        <v>45292</v>
      </c>
      <c r="Q5">
        <v>1006</v>
      </c>
      <c r="S5" s="2">
        <v>45200</v>
      </c>
    </row>
    <row r="6" spans="1:23" x14ac:dyDescent="0.3">
      <c r="A6" s="1">
        <v>43470</v>
      </c>
      <c r="B6">
        <v>30</v>
      </c>
      <c r="C6">
        <v>51</v>
      </c>
      <c r="E6" s="6">
        <v>44682</v>
      </c>
      <c r="F6">
        <f t="shared" si="0"/>
        <v>1943</v>
      </c>
      <c r="G6">
        <f t="shared" si="1"/>
        <v>1140</v>
      </c>
      <c r="H6">
        <f t="shared" si="2"/>
        <v>3083</v>
      </c>
      <c r="J6" s="2">
        <v>45627</v>
      </c>
      <c r="K6">
        <v>2612</v>
      </c>
      <c r="M6" s="2">
        <v>44682</v>
      </c>
      <c r="N6">
        <v>1943</v>
      </c>
      <c r="P6" s="2">
        <v>45231</v>
      </c>
      <c r="Q6">
        <v>1008</v>
      </c>
      <c r="S6" s="2">
        <v>45292</v>
      </c>
      <c r="T6">
        <f>SUMIFS(C:C,A:A,"&gt;="&amp;S6,A:A,"&lt;"&amp;S7)</f>
        <v>16544</v>
      </c>
      <c r="V6">
        <f t="shared" si="4"/>
        <v>11099</v>
      </c>
      <c r="W6">
        <f>V8/V6</f>
        <v>1.0142355167132173</v>
      </c>
    </row>
    <row r="7" spans="1:23" x14ac:dyDescent="0.3">
      <c r="A7" s="1">
        <v>43471</v>
      </c>
      <c r="B7">
        <v>35</v>
      </c>
      <c r="C7">
        <v>42</v>
      </c>
      <c r="E7" s="6">
        <v>44713</v>
      </c>
      <c r="F7">
        <f t="shared" si="0"/>
        <v>1943</v>
      </c>
      <c r="G7">
        <f t="shared" si="1"/>
        <v>1145</v>
      </c>
      <c r="H7">
        <f t="shared" si="2"/>
        <v>3088</v>
      </c>
      <c r="J7" s="2">
        <v>45292</v>
      </c>
      <c r="K7">
        <v>2633</v>
      </c>
      <c r="M7" s="2">
        <v>44713</v>
      </c>
      <c r="N7">
        <v>1943</v>
      </c>
      <c r="P7" s="2">
        <v>44927</v>
      </c>
      <c r="Q7">
        <v>1024</v>
      </c>
      <c r="S7" s="2">
        <v>45566</v>
      </c>
    </row>
    <row r="8" spans="1:23" x14ac:dyDescent="0.3">
      <c r="A8" s="1">
        <v>43472</v>
      </c>
      <c r="B8">
        <v>31</v>
      </c>
      <c r="C8">
        <v>65</v>
      </c>
      <c r="E8" s="6">
        <v>44743</v>
      </c>
      <c r="F8">
        <f t="shared" si="0"/>
        <v>1964</v>
      </c>
      <c r="G8">
        <f t="shared" si="1"/>
        <v>1060</v>
      </c>
      <c r="H8">
        <f t="shared" si="2"/>
        <v>3024</v>
      </c>
      <c r="J8" s="2">
        <v>45261</v>
      </c>
      <c r="K8">
        <v>2642</v>
      </c>
      <c r="M8" s="2">
        <v>44743</v>
      </c>
      <c r="N8">
        <v>1964</v>
      </c>
      <c r="P8" s="2">
        <v>45261</v>
      </c>
      <c r="Q8">
        <v>1028</v>
      </c>
      <c r="S8" s="2">
        <v>45658</v>
      </c>
      <c r="T8">
        <f t="shared" ref="T8" si="5">SUMIFS(C:C,A:A,"&gt;="&amp;S8,A:A,"&lt;"&amp;S9)</f>
        <v>14823</v>
      </c>
      <c r="U8">
        <f>T8/T6</f>
        <v>0.8959743713733076</v>
      </c>
      <c r="V8">
        <f t="shared" si="4"/>
        <v>11257</v>
      </c>
    </row>
    <row r="9" spans="1:23" x14ac:dyDescent="0.3">
      <c r="A9" s="1">
        <v>43473</v>
      </c>
      <c r="B9">
        <v>31</v>
      </c>
      <c r="C9">
        <v>38</v>
      </c>
      <c r="E9" s="6">
        <v>44774</v>
      </c>
      <c r="F9">
        <f t="shared" si="0"/>
        <v>2000</v>
      </c>
      <c r="G9">
        <f t="shared" si="1"/>
        <v>1264</v>
      </c>
      <c r="H9">
        <f t="shared" si="2"/>
        <v>3264</v>
      </c>
      <c r="J9" s="2">
        <v>45231</v>
      </c>
      <c r="K9">
        <v>2645</v>
      </c>
      <c r="M9" s="2">
        <v>44774</v>
      </c>
      <c r="N9">
        <v>2000</v>
      </c>
      <c r="P9" s="2">
        <v>44593</v>
      </c>
      <c r="Q9">
        <v>1029</v>
      </c>
      <c r="S9" s="2">
        <v>45931</v>
      </c>
      <c r="U9">
        <f>1-U8</f>
        <v>0.1040256286266924</v>
      </c>
    </row>
    <row r="10" spans="1:23" x14ac:dyDescent="0.3">
      <c r="A10" s="1">
        <v>43474</v>
      </c>
      <c r="B10">
        <v>29</v>
      </c>
      <c r="C10">
        <v>41</v>
      </c>
      <c r="E10" s="6">
        <v>44805</v>
      </c>
      <c r="F10">
        <f t="shared" si="0"/>
        <v>1907</v>
      </c>
      <c r="G10">
        <f t="shared" si="1"/>
        <v>1176</v>
      </c>
      <c r="H10">
        <f t="shared" si="2"/>
        <v>3083</v>
      </c>
      <c r="J10" s="2">
        <v>45658</v>
      </c>
      <c r="K10">
        <v>2645</v>
      </c>
      <c r="M10" s="2">
        <v>44805</v>
      </c>
      <c r="N10">
        <v>1907</v>
      </c>
      <c r="P10" s="2">
        <v>44896</v>
      </c>
      <c r="Q10">
        <v>1047</v>
      </c>
    </row>
    <row r="11" spans="1:23" x14ac:dyDescent="0.3">
      <c r="A11" s="1">
        <v>43475</v>
      </c>
      <c r="B11">
        <v>36</v>
      </c>
      <c r="C11">
        <v>49</v>
      </c>
      <c r="E11" s="6">
        <v>44835</v>
      </c>
      <c r="F11">
        <f t="shared" si="0"/>
        <v>1972</v>
      </c>
      <c r="G11">
        <f t="shared" si="1"/>
        <v>1206</v>
      </c>
      <c r="H11">
        <f t="shared" si="2"/>
        <v>3178</v>
      </c>
      <c r="J11" s="2">
        <v>44927</v>
      </c>
      <c r="K11">
        <v>2650</v>
      </c>
      <c r="M11" s="2">
        <v>44835</v>
      </c>
      <c r="N11">
        <v>1972</v>
      </c>
      <c r="P11" s="2">
        <v>44958</v>
      </c>
      <c r="Q11">
        <v>1047</v>
      </c>
    </row>
    <row r="12" spans="1:23" x14ac:dyDescent="0.3">
      <c r="A12" s="1">
        <v>43476</v>
      </c>
      <c r="B12">
        <v>25</v>
      </c>
      <c r="C12">
        <v>49</v>
      </c>
      <c r="E12" s="6">
        <v>44866</v>
      </c>
      <c r="F12">
        <f t="shared" si="0"/>
        <v>1754</v>
      </c>
      <c r="G12">
        <f t="shared" si="1"/>
        <v>1102</v>
      </c>
      <c r="H12">
        <f t="shared" si="2"/>
        <v>2856</v>
      </c>
      <c r="J12" s="2">
        <v>44562</v>
      </c>
      <c r="K12">
        <v>2668</v>
      </c>
      <c r="M12" s="2">
        <v>44866</v>
      </c>
      <c r="N12">
        <v>1754</v>
      </c>
      <c r="P12" s="2">
        <v>44743</v>
      </c>
      <c r="Q12">
        <v>1060</v>
      </c>
    </row>
    <row r="13" spans="1:23" x14ac:dyDescent="0.3">
      <c r="A13" s="1">
        <v>43477</v>
      </c>
      <c r="B13">
        <v>29</v>
      </c>
      <c r="C13">
        <v>44</v>
      </c>
      <c r="E13" s="6">
        <v>44896</v>
      </c>
      <c r="F13">
        <f t="shared" si="0"/>
        <v>1708</v>
      </c>
      <c r="G13">
        <f t="shared" si="1"/>
        <v>1047</v>
      </c>
      <c r="H13">
        <f t="shared" si="2"/>
        <v>2755</v>
      </c>
      <c r="J13" s="2">
        <v>44958</v>
      </c>
      <c r="K13">
        <v>2684</v>
      </c>
      <c r="M13" s="2">
        <v>44896</v>
      </c>
      <c r="N13">
        <v>1708</v>
      </c>
      <c r="P13" s="2">
        <v>45627</v>
      </c>
      <c r="Q13">
        <v>1101</v>
      </c>
    </row>
    <row r="14" spans="1:23" x14ac:dyDescent="0.3">
      <c r="A14" s="1">
        <v>43478</v>
      </c>
      <c r="B14">
        <v>31</v>
      </c>
      <c r="C14">
        <v>41</v>
      </c>
      <c r="E14" s="6">
        <v>44927</v>
      </c>
      <c r="F14">
        <f t="shared" si="0"/>
        <v>1626</v>
      </c>
      <c r="G14">
        <f t="shared" si="1"/>
        <v>1024</v>
      </c>
      <c r="H14">
        <f t="shared" si="2"/>
        <v>2650</v>
      </c>
      <c r="J14" s="2">
        <v>44593</v>
      </c>
      <c r="K14">
        <v>2752</v>
      </c>
      <c r="M14" s="2">
        <v>44927</v>
      </c>
      <c r="N14">
        <v>1626</v>
      </c>
      <c r="P14" s="2">
        <v>44866</v>
      </c>
      <c r="Q14">
        <v>1102</v>
      </c>
    </row>
    <row r="15" spans="1:23" x14ac:dyDescent="0.3">
      <c r="A15" s="1">
        <v>43479</v>
      </c>
      <c r="B15">
        <v>25</v>
      </c>
      <c r="C15">
        <v>46</v>
      </c>
      <c r="E15" s="6">
        <v>44958</v>
      </c>
      <c r="F15">
        <f t="shared" si="0"/>
        <v>1637</v>
      </c>
      <c r="G15">
        <f t="shared" si="1"/>
        <v>1047</v>
      </c>
      <c r="H15">
        <f t="shared" si="2"/>
        <v>2684</v>
      </c>
      <c r="J15" s="2">
        <v>44896</v>
      </c>
      <c r="K15">
        <v>2755</v>
      </c>
      <c r="M15" s="2">
        <v>44958</v>
      </c>
      <c r="N15">
        <v>1637</v>
      </c>
      <c r="P15" s="2">
        <v>45658</v>
      </c>
      <c r="Q15">
        <v>1108</v>
      </c>
    </row>
    <row r="16" spans="1:23" x14ac:dyDescent="0.3">
      <c r="A16" s="1">
        <v>43480</v>
      </c>
      <c r="B16">
        <v>33</v>
      </c>
      <c r="C16">
        <v>48</v>
      </c>
      <c r="E16" s="6">
        <v>44986</v>
      </c>
      <c r="F16">
        <f t="shared" si="0"/>
        <v>1787</v>
      </c>
      <c r="G16">
        <f t="shared" si="1"/>
        <v>1146</v>
      </c>
      <c r="H16">
        <f t="shared" si="2"/>
        <v>2933</v>
      </c>
      <c r="J16" s="2">
        <v>45597</v>
      </c>
      <c r="K16">
        <v>2833</v>
      </c>
      <c r="M16" s="2">
        <v>44986</v>
      </c>
      <c r="N16">
        <v>1787</v>
      </c>
      <c r="P16" s="2">
        <v>44621</v>
      </c>
      <c r="Q16">
        <v>1124</v>
      </c>
    </row>
    <row r="17" spans="1:17" x14ac:dyDescent="0.3">
      <c r="A17" s="1">
        <v>43481</v>
      </c>
      <c r="B17">
        <v>44</v>
      </c>
      <c r="C17">
        <v>50</v>
      </c>
      <c r="E17" s="6">
        <v>45017</v>
      </c>
      <c r="F17">
        <f t="shared" si="0"/>
        <v>1840</v>
      </c>
      <c r="G17">
        <f t="shared" si="1"/>
        <v>1197</v>
      </c>
      <c r="H17">
        <f t="shared" si="2"/>
        <v>3037</v>
      </c>
      <c r="J17" s="2">
        <v>44866</v>
      </c>
      <c r="K17">
        <v>2856</v>
      </c>
      <c r="M17" s="2">
        <v>45017</v>
      </c>
      <c r="N17">
        <v>1840</v>
      </c>
      <c r="P17" s="2">
        <v>45901</v>
      </c>
      <c r="Q17">
        <v>1138</v>
      </c>
    </row>
    <row r="18" spans="1:17" x14ac:dyDescent="0.3">
      <c r="A18" s="1">
        <v>43482</v>
      </c>
      <c r="B18">
        <v>30</v>
      </c>
      <c r="C18">
        <v>51</v>
      </c>
      <c r="E18" s="6">
        <v>45047</v>
      </c>
      <c r="F18">
        <f t="shared" si="0"/>
        <v>2030</v>
      </c>
      <c r="G18">
        <f t="shared" si="1"/>
        <v>1288</v>
      </c>
      <c r="H18">
        <f t="shared" si="2"/>
        <v>3318</v>
      </c>
      <c r="J18" s="2">
        <v>44986</v>
      </c>
      <c r="K18">
        <v>2933</v>
      </c>
      <c r="M18" s="2">
        <v>45047</v>
      </c>
      <c r="N18">
        <v>2030</v>
      </c>
      <c r="P18" s="2">
        <v>44682</v>
      </c>
      <c r="Q18">
        <v>1140</v>
      </c>
    </row>
    <row r="19" spans="1:17" x14ac:dyDescent="0.3">
      <c r="A19" s="1">
        <v>43483</v>
      </c>
      <c r="B19">
        <v>28</v>
      </c>
      <c r="C19">
        <v>49</v>
      </c>
      <c r="E19" s="6">
        <v>45078</v>
      </c>
      <c r="F19">
        <f t="shared" si="0"/>
        <v>1909</v>
      </c>
      <c r="G19">
        <f t="shared" si="1"/>
        <v>1272</v>
      </c>
      <c r="H19">
        <f t="shared" si="2"/>
        <v>3181</v>
      </c>
      <c r="J19" s="2">
        <v>45839</v>
      </c>
      <c r="K19">
        <v>2944</v>
      </c>
      <c r="M19" s="2">
        <v>45078</v>
      </c>
      <c r="N19">
        <v>1909</v>
      </c>
      <c r="P19" s="2">
        <v>44713</v>
      </c>
      <c r="Q19">
        <v>1145</v>
      </c>
    </row>
    <row r="20" spans="1:17" x14ac:dyDescent="0.3">
      <c r="A20" s="1">
        <v>43484</v>
      </c>
      <c r="B20">
        <v>27</v>
      </c>
      <c r="C20">
        <v>36</v>
      </c>
      <c r="E20" s="6">
        <v>45108</v>
      </c>
      <c r="F20">
        <f t="shared" si="0"/>
        <v>2001</v>
      </c>
      <c r="G20">
        <f t="shared" si="1"/>
        <v>1222</v>
      </c>
      <c r="H20">
        <f t="shared" si="2"/>
        <v>3223</v>
      </c>
      <c r="J20" s="2">
        <v>45870</v>
      </c>
      <c r="K20">
        <v>2967</v>
      </c>
      <c r="M20" s="2">
        <v>45108</v>
      </c>
      <c r="N20">
        <v>2001</v>
      </c>
      <c r="P20" s="2">
        <v>44986</v>
      </c>
      <c r="Q20">
        <v>1146</v>
      </c>
    </row>
    <row r="21" spans="1:17" x14ac:dyDescent="0.3">
      <c r="A21" s="1">
        <v>43485</v>
      </c>
      <c r="B21">
        <v>31</v>
      </c>
      <c r="C21">
        <v>52</v>
      </c>
      <c r="E21" s="6">
        <v>45139</v>
      </c>
      <c r="F21">
        <f t="shared" si="0"/>
        <v>2022</v>
      </c>
      <c r="G21">
        <f t="shared" si="1"/>
        <v>1328</v>
      </c>
      <c r="H21">
        <f t="shared" si="2"/>
        <v>3350</v>
      </c>
      <c r="J21" s="2">
        <v>45717</v>
      </c>
      <c r="K21">
        <v>3011</v>
      </c>
      <c r="M21" s="2">
        <v>45139</v>
      </c>
      <c r="N21">
        <v>2022</v>
      </c>
      <c r="P21" s="2">
        <v>44652</v>
      </c>
      <c r="Q21">
        <v>1152</v>
      </c>
    </row>
    <row r="22" spans="1:17" x14ac:dyDescent="0.3">
      <c r="A22" s="1">
        <v>43486</v>
      </c>
      <c r="B22">
        <v>38</v>
      </c>
      <c r="C22">
        <v>48</v>
      </c>
      <c r="E22" s="6">
        <v>45170</v>
      </c>
      <c r="F22">
        <f t="shared" si="0"/>
        <v>1967</v>
      </c>
      <c r="G22">
        <f t="shared" si="1"/>
        <v>1269</v>
      </c>
      <c r="H22">
        <f t="shared" si="2"/>
        <v>3236</v>
      </c>
      <c r="J22" s="2">
        <v>44621</v>
      </c>
      <c r="K22">
        <v>3015</v>
      </c>
      <c r="M22" s="2">
        <v>45170</v>
      </c>
      <c r="N22">
        <v>1967</v>
      </c>
      <c r="P22" s="2">
        <v>44805</v>
      </c>
      <c r="Q22">
        <v>1176</v>
      </c>
    </row>
    <row r="23" spans="1:17" x14ac:dyDescent="0.3">
      <c r="A23" s="1">
        <v>43487</v>
      </c>
      <c r="B23">
        <v>31</v>
      </c>
      <c r="C23">
        <v>47</v>
      </c>
      <c r="E23" s="6">
        <v>45200</v>
      </c>
      <c r="F23">
        <f t="shared" si="0"/>
        <v>1918</v>
      </c>
      <c r="G23">
        <f t="shared" si="1"/>
        <v>1250</v>
      </c>
      <c r="H23">
        <f t="shared" si="2"/>
        <v>3168</v>
      </c>
      <c r="J23" s="2">
        <v>44743</v>
      </c>
      <c r="K23">
        <v>3024</v>
      </c>
      <c r="M23" s="2">
        <v>45200</v>
      </c>
      <c r="N23">
        <v>1918</v>
      </c>
      <c r="P23" s="2">
        <v>45017</v>
      </c>
      <c r="Q23">
        <v>1197</v>
      </c>
    </row>
    <row r="24" spans="1:17" x14ac:dyDescent="0.3">
      <c r="A24" s="1">
        <v>43488</v>
      </c>
      <c r="B24">
        <v>23</v>
      </c>
      <c r="C24">
        <v>58</v>
      </c>
      <c r="E24" s="6">
        <v>45231</v>
      </c>
      <c r="F24">
        <f t="shared" si="0"/>
        <v>1637</v>
      </c>
      <c r="G24">
        <f t="shared" si="1"/>
        <v>1008</v>
      </c>
      <c r="H24">
        <f t="shared" si="2"/>
        <v>2645</v>
      </c>
      <c r="J24" s="2">
        <v>45017</v>
      </c>
      <c r="K24">
        <v>3037</v>
      </c>
      <c r="M24" s="2">
        <v>45231</v>
      </c>
      <c r="N24">
        <v>1637</v>
      </c>
      <c r="P24" s="2">
        <v>44835</v>
      </c>
      <c r="Q24">
        <v>1206</v>
      </c>
    </row>
    <row r="25" spans="1:17" x14ac:dyDescent="0.3">
      <c r="A25" s="1">
        <v>43489</v>
      </c>
      <c r="B25">
        <v>21</v>
      </c>
      <c r="C25">
        <v>53</v>
      </c>
      <c r="E25" s="6">
        <v>45261</v>
      </c>
      <c r="F25">
        <f t="shared" si="0"/>
        <v>1614</v>
      </c>
      <c r="G25">
        <f t="shared" si="1"/>
        <v>1028</v>
      </c>
      <c r="H25">
        <f t="shared" si="2"/>
        <v>2642</v>
      </c>
      <c r="J25" s="2">
        <v>44682</v>
      </c>
      <c r="K25">
        <v>3083</v>
      </c>
      <c r="M25" s="2">
        <v>45261</v>
      </c>
      <c r="N25">
        <v>1614</v>
      </c>
      <c r="P25" s="2">
        <v>45597</v>
      </c>
      <c r="Q25">
        <v>1218</v>
      </c>
    </row>
    <row r="26" spans="1:17" x14ac:dyDescent="0.3">
      <c r="A26" s="1">
        <v>43490</v>
      </c>
      <c r="B26">
        <v>23</v>
      </c>
      <c r="C26">
        <v>49</v>
      </c>
      <c r="E26" s="6">
        <v>45292</v>
      </c>
      <c r="F26">
        <f t="shared" si="0"/>
        <v>1627</v>
      </c>
      <c r="G26">
        <f t="shared" si="1"/>
        <v>1006</v>
      </c>
      <c r="H26">
        <f t="shared" si="2"/>
        <v>2633</v>
      </c>
      <c r="J26" s="2">
        <v>44805</v>
      </c>
      <c r="K26">
        <v>3083</v>
      </c>
      <c r="M26" s="2">
        <v>45292</v>
      </c>
      <c r="N26">
        <v>1627</v>
      </c>
      <c r="P26" s="2">
        <v>45108</v>
      </c>
      <c r="Q26">
        <v>1222</v>
      </c>
    </row>
    <row r="27" spans="1:17" x14ac:dyDescent="0.3">
      <c r="A27" s="1">
        <v>43491</v>
      </c>
      <c r="B27">
        <v>39</v>
      </c>
      <c r="C27">
        <v>58</v>
      </c>
      <c r="E27" s="6">
        <v>45323</v>
      </c>
      <c r="F27">
        <f t="shared" si="0"/>
        <v>1489</v>
      </c>
      <c r="G27">
        <f t="shared" si="1"/>
        <v>1003</v>
      </c>
      <c r="H27">
        <f t="shared" si="2"/>
        <v>2492</v>
      </c>
      <c r="J27" s="2">
        <v>45566</v>
      </c>
      <c r="K27">
        <v>3084</v>
      </c>
      <c r="M27" s="2">
        <v>45323</v>
      </c>
      <c r="N27">
        <v>1489</v>
      </c>
      <c r="P27" s="2">
        <v>45505</v>
      </c>
      <c r="Q27">
        <v>1238</v>
      </c>
    </row>
    <row r="28" spans="1:17" x14ac:dyDescent="0.3">
      <c r="A28" s="1">
        <v>43492</v>
      </c>
      <c r="B28">
        <v>25</v>
      </c>
      <c r="C28">
        <v>61</v>
      </c>
      <c r="E28" s="6">
        <v>45352</v>
      </c>
      <c r="F28">
        <f t="shared" si="0"/>
        <v>1883</v>
      </c>
      <c r="G28">
        <f t="shared" si="1"/>
        <v>1262</v>
      </c>
      <c r="H28">
        <f t="shared" si="2"/>
        <v>3145</v>
      </c>
      <c r="J28" s="2">
        <v>44713</v>
      </c>
      <c r="K28">
        <v>3088</v>
      </c>
      <c r="M28" s="2">
        <v>45352</v>
      </c>
      <c r="N28">
        <v>1883</v>
      </c>
      <c r="P28" s="2">
        <v>45717</v>
      </c>
      <c r="Q28">
        <v>1245</v>
      </c>
    </row>
    <row r="29" spans="1:17" x14ac:dyDescent="0.3">
      <c r="A29" s="1">
        <v>43493</v>
      </c>
      <c r="B29">
        <v>38</v>
      </c>
      <c r="C29">
        <v>51</v>
      </c>
      <c r="E29" s="6">
        <v>45383</v>
      </c>
      <c r="F29">
        <f t="shared" si="0"/>
        <v>1904</v>
      </c>
      <c r="G29">
        <f t="shared" si="1"/>
        <v>1261</v>
      </c>
      <c r="H29">
        <f t="shared" si="2"/>
        <v>3165</v>
      </c>
      <c r="J29" s="2">
        <v>44652</v>
      </c>
      <c r="K29">
        <v>3102</v>
      </c>
      <c r="M29" s="2">
        <v>45383</v>
      </c>
      <c r="N29">
        <v>1904</v>
      </c>
      <c r="P29" s="2">
        <v>45200</v>
      </c>
      <c r="Q29">
        <v>1250</v>
      </c>
    </row>
    <row r="30" spans="1:17" x14ac:dyDescent="0.3">
      <c r="A30" s="1">
        <v>43494</v>
      </c>
      <c r="B30">
        <v>23</v>
      </c>
      <c r="C30">
        <v>50</v>
      </c>
      <c r="E30" s="6">
        <v>45413</v>
      </c>
      <c r="F30">
        <f t="shared" si="0"/>
        <v>2001</v>
      </c>
      <c r="G30">
        <f t="shared" si="1"/>
        <v>1350</v>
      </c>
      <c r="H30">
        <f t="shared" si="2"/>
        <v>3351</v>
      </c>
      <c r="J30" s="2">
        <v>45505</v>
      </c>
      <c r="K30">
        <v>3111</v>
      </c>
      <c r="M30" s="2">
        <v>45413</v>
      </c>
      <c r="N30">
        <v>2001</v>
      </c>
      <c r="P30" s="2">
        <v>45383</v>
      </c>
      <c r="Q30">
        <v>1261</v>
      </c>
    </row>
    <row r="31" spans="1:17" x14ac:dyDescent="0.3">
      <c r="A31" s="1">
        <v>43495</v>
      </c>
      <c r="B31">
        <v>37</v>
      </c>
      <c r="C31">
        <v>47</v>
      </c>
      <c r="E31" s="6">
        <v>45444</v>
      </c>
      <c r="F31">
        <f t="shared" si="0"/>
        <v>1882</v>
      </c>
      <c r="G31">
        <f t="shared" si="1"/>
        <v>1299</v>
      </c>
      <c r="H31">
        <f t="shared" si="2"/>
        <v>3181</v>
      </c>
      <c r="J31" s="2">
        <v>45809</v>
      </c>
      <c r="K31">
        <v>3116</v>
      </c>
      <c r="M31" s="2">
        <v>45444</v>
      </c>
      <c r="N31">
        <v>1882</v>
      </c>
      <c r="P31" s="2">
        <v>45352</v>
      </c>
      <c r="Q31">
        <v>1262</v>
      </c>
    </row>
    <row r="32" spans="1:17" x14ac:dyDescent="0.3">
      <c r="A32" s="1">
        <v>43496</v>
      </c>
      <c r="B32">
        <v>31</v>
      </c>
      <c r="C32">
        <v>48</v>
      </c>
      <c r="E32" s="6">
        <v>45474</v>
      </c>
      <c r="F32">
        <f t="shared" si="0"/>
        <v>1982</v>
      </c>
      <c r="G32">
        <f t="shared" si="1"/>
        <v>1321</v>
      </c>
      <c r="H32">
        <f t="shared" si="2"/>
        <v>3303</v>
      </c>
      <c r="J32" s="2">
        <v>45352</v>
      </c>
      <c r="K32">
        <v>3145</v>
      </c>
      <c r="M32" s="2">
        <v>45474</v>
      </c>
      <c r="N32">
        <v>1982</v>
      </c>
      <c r="P32" s="2">
        <v>44774</v>
      </c>
      <c r="Q32">
        <v>1264</v>
      </c>
    </row>
    <row r="33" spans="1:17" x14ac:dyDescent="0.3">
      <c r="A33" s="1">
        <v>43497</v>
      </c>
      <c r="B33">
        <v>28</v>
      </c>
      <c r="C33">
        <v>48</v>
      </c>
      <c r="E33" s="6">
        <v>45505</v>
      </c>
      <c r="F33">
        <f t="shared" si="0"/>
        <v>1873</v>
      </c>
      <c r="G33">
        <f t="shared" si="1"/>
        <v>1238</v>
      </c>
      <c r="H33">
        <f t="shared" si="2"/>
        <v>3111</v>
      </c>
      <c r="J33" s="2">
        <v>45383</v>
      </c>
      <c r="K33">
        <v>3165</v>
      </c>
      <c r="M33" s="2">
        <v>45505</v>
      </c>
      <c r="N33">
        <v>1873</v>
      </c>
      <c r="P33" s="2">
        <v>45170</v>
      </c>
      <c r="Q33">
        <v>1269</v>
      </c>
    </row>
    <row r="34" spans="1:17" x14ac:dyDescent="0.3">
      <c r="A34" s="1">
        <v>43498</v>
      </c>
      <c r="B34">
        <v>20</v>
      </c>
      <c r="C34">
        <v>46</v>
      </c>
      <c r="E34" s="6">
        <v>45536</v>
      </c>
      <c r="F34">
        <f t="shared" si="0"/>
        <v>1903</v>
      </c>
      <c r="G34">
        <f t="shared" si="1"/>
        <v>1359</v>
      </c>
      <c r="H34">
        <f t="shared" si="2"/>
        <v>3262</v>
      </c>
      <c r="J34" s="2">
        <v>45200</v>
      </c>
      <c r="K34">
        <v>3168</v>
      </c>
      <c r="M34" s="2">
        <v>45536</v>
      </c>
      <c r="N34">
        <v>1903</v>
      </c>
      <c r="P34" s="2">
        <v>45078</v>
      </c>
      <c r="Q34">
        <v>1272</v>
      </c>
    </row>
    <row r="35" spans="1:17" x14ac:dyDescent="0.3">
      <c r="A35" s="1">
        <v>43499</v>
      </c>
      <c r="B35">
        <v>32</v>
      </c>
      <c r="C35">
        <v>51</v>
      </c>
      <c r="E35" s="6">
        <v>45566</v>
      </c>
      <c r="F35">
        <f t="shared" si="0"/>
        <v>1755</v>
      </c>
      <c r="G35">
        <f t="shared" si="1"/>
        <v>1329</v>
      </c>
      <c r="H35">
        <f t="shared" si="2"/>
        <v>3084</v>
      </c>
      <c r="J35" s="2">
        <v>44835</v>
      </c>
      <c r="K35">
        <v>3178</v>
      </c>
      <c r="M35" s="2">
        <v>45566</v>
      </c>
      <c r="N35">
        <v>1755</v>
      </c>
      <c r="P35" s="2">
        <v>45839</v>
      </c>
      <c r="Q35">
        <v>1283</v>
      </c>
    </row>
    <row r="36" spans="1:17" x14ac:dyDescent="0.3">
      <c r="A36" s="1">
        <v>43500</v>
      </c>
      <c r="B36">
        <v>26</v>
      </c>
      <c r="C36">
        <v>44</v>
      </c>
      <c r="E36" s="6">
        <v>45597</v>
      </c>
      <c r="F36">
        <f t="shared" si="0"/>
        <v>1615</v>
      </c>
      <c r="G36">
        <f t="shared" si="1"/>
        <v>1218</v>
      </c>
      <c r="H36">
        <f t="shared" si="2"/>
        <v>2833</v>
      </c>
      <c r="J36" s="2">
        <v>45078</v>
      </c>
      <c r="K36">
        <v>3181</v>
      </c>
      <c r="M36" s="2">
        <v>45597</v>
      </c>
      <c r="N36">
        <v>1615</v>
      </c>
      <c r="P36" s="2">
        <v>45047</v>
      </c>
      <c r="Q36">
        <v>1288</v>
      </c>
    </row>
    <row r="37" spans="1:17" x14ac:dyDescent="0.3">
      <c r="A37" s="1">
        <v>43501</v>
      </c>
      <c r="B37">
        <v>33</v>
      </c>
      <c r="C37">
        <v>45</v>
      </c>
      <c r="E37" s="6">
        <v>45627</v>
      </c>
      <c r="F37">
        <f t="shared" si="0"/>
        <v>1511</v>
      </c>
      <c r="G37">
        <f t="shared" si="1"/>
        <v>1101</v>
      </c>
      <c r="H37">
        <f t="shared" si="2"/>
        <v>2612</v>
      </c>
      <c r="J37" s="2">
        <v>45444</v>
      </c>
      <c r="K37">
        <v>3181</v>
      </c>
      <c r="M37" s="2">
        <v>45627</v>
      </c>
      <c r="N37">
        <v>1511</v>
      </c>
      <c r="P37" s="2">
        <v>45444</v>
      </c>
      <c r="Q37">
        <v>1299</v>
      </c>
    </row>
    <row r="38" spans="1:17" x14ac:dyDescent="0.3">
      <c r="A38" s="1">
        <v>43502</v>
      </c>
      <c r="B38">
        <v>39</v>
      </c>
      <c r="C38">
        <v>47</v>
      </c>
      <c r="E38" s="6">
        <v>45658</v>
      </c>
      <c r="F38">
        <f t="shared" si="0"/>
        <v>1537</v>
      </c>
      <c r="G38">
        <f t="shared" si="1"/>
        <v>1108</v>
      </c>
      <c r="H38">
        <f t="shared" si="2"/>
        <v>2645</v>
      </c>
      <c r="J38" s="2">
        <v>45778</v>
      </c>
      <c r="K38">
        <v>3214</v>
      </c>
      <c r="M38" s="2">
        <v>45658</v>
      </c>
      <c r="N38">
        <v>1537</v>
      </c>
      <c r="P38" s="2">
        <v>45870</v>
      </c>
      <c r="Q38">
        <v>1310</v>
      </c>
    </row>
    <row r="39" spans="1:17" x14ac:dyDescent="0.3">
      <c r="A39" s="1">
        <v>43503</v>
      </c>
      <c r="B39">
        <v>31</v>
      </c>
      <c r="C39">
        <v>50</v>
      </c>
      <c r="E39" s="6">
        <v>45689</v>
      </c>
      <c r="F39">
        <f t="shared" si="0"/>
        <v>1364</v>
      </c>
      <c r="G39">
        <f t="shared" si="1"/>
        <v>1005</v>
      </c>
      <c r="H39">
        <f t="shared" si="2"/>
        <v>2369</v>
      </c>
      <c r="J39" s="2">
        <v>45108</v>
      </c>
      <c r="K39">
        <v>3223</v>
      </c>
      <c r="M39" s="2">
        <v>45689</v>
      </c>
      <c r="N39">
        <v>1364</v>
      </c>
      <c r="P39" s="2">
        <v>45474</v>
      </c>
      <c r="Q39">
        <v>1321</v>
      </c>
    </row>
    <row r="40" spans="1:17" x14ac:dyDescent="0.3">
      <c r="A40" s="1">
        <v>43504</v>
      </c>
      <c r="B40">
        <v>38</v>
      </c>
      <c r="C40">
        <v>52</v>
      </c>
      <c r="E40" s="6">
        <v>45717</v>
      </c>
      <c r="F40">
        <f t="shared" si="0"/>
        <v>1766</v>
      </c>
      <c r="G40">
        <f t="shared" si="1"/>
        <v>1245</v>
      </c>
      <c r="H40">
        <f t="shared" si="2"/>
        <v>3011</v>
      </c>
      <c r="J40" s="2">
        <v>45748</v>
      </c>
      <c r="K40">
        <v>3225</v>
      </c>
      <c r="M40" s="2">
        <v>45717</v>
      </c>
      <c r="N40">
        <v>1766</v>
      </c>
      <c r="P40" s="2">
        <v>45139</v>
      </c>
      <c r="Q40">
        <v>1328</v>
      </c>
    </row>
    <row r="41" spans="1:17" x14ac:dyDescent="0.3">
      <c r="A41" s="1">
        <v>43505</v>
      </c>
      <c r="B41">
        <v>23</v>
      </c>
      <c r="C41">
        <v>51</v>
      </c>
      <c r="E41" s="6">
        <v>45748</v>
      </c>
      <c r="F41">
        <f t="shared" si="0"/>
        <v>1813</v>
      </c>
      <c r="G41">
        <f t="shared" si="1"/>
        <v>1412</v>
      </c>
      <c r="H41">
        <f t="shared" si="2"/>
        <v>3225</v>
      </c>
      <c r="J41" s="2">
        <v>45170</v>
      </c>
      <c r="K41">
        <v>3236</v>
      </c>
      <c r="M41" s="2">
        <v>45748</v>
      </c>
      <c r="N41">
        <v>1813</v>
      </c>
      <c r="P41" s="2">
        <v>45566</v>
      </c>
      <c r="Q41">
        <v>1329</v>
      </c>
    </row>
    <row r="42" spans="1:17" x14ac:dyDescent="0.3">
      <c r="A42" s="1">
        <v>43506</v>
      </c>
      <c r="B42">
        <v>35</v>
      </c>
      <c r="C42">
        <v>52</v>
      </c>
      <c r="E42" s="6">
        <v>45778</v>
      </c>
      <c r="F42">
        <f t="shared" si="0"/>
        <v>1834</v>
      </c>
      <c r="G42">
        <f t="shared" si="1"/>
        <v>1380</v>
      </c>
      <c r="H42">
        <f t="shared" si="2"/>
        <v>3214</v>
      </c>
      <c r="J42" s="2">
        <v>45536</v>
      </c>
      <c r="K42">
        <v>3262</v>
      </c>
      <c r="M42" s="2">
        <v>45778</v>
      </c>
      <c r="N42">
        <v>1834</v>
      </c>
      <c r="P42" s="2">
        <v>45413</v>
      </c>
      <c r="Q42">
        <v>1350</v>
      </c>
    </row>
    <row r="43" spans="1:17" x14ac:dyDescent="0.3">
      <c r="A43" s="1">
        <v>43507</v>
      </c>
      <c r="B43">
        <v>28</v>
      </c>
      <c r="C43">
        <v>38</v>
      </c>
      <c r="E43" s="6">
        <v>45809</v>
      </c>
      <c r="F43">
        <f t="shared" si="0"/>
        <v>1740</v>
      </c>
      <c r="G43">
        <f t="shared" si="1"/>
        <v>1376</v>
      </c>
      <c r="H43">
        <f t="shared" si="2"/>
        <v>3116</v>
      </c>
      <c r="J43" s="2">
        <v>44774</v>
      </c>
      <c r="K43">
        <v>3264</v>
      </c>
      <c r="M43" s="2">
        <v>45809</v>
      </c>
      <c r="N43">
        <v>1740</v>
      </c>
      <c r="P43" s="2">
        <v>45536</v>
      </c>
      <c r="Q43">
        <v>1359</v>
      </c>
    </row>
    <row r="44" spans="1:17" x14ac:dyDescent="0.3">
      <c r="A44" s="1">
        <v>43508</v>
      </c>
      <c r="B44">
        <v>21</v>
      </c>
      <c r="C44">
        <v>48</v>
      </c>
      <c r="E44" s="6">
        <v>45839</v>
      </c>
      <c r="F44">
        <f t="shared" si="0"/>
        <v>1661</v>
      </c>
      <c r="G44">
        <f t="shared" si="1"/>
        <v>1283</v>
      </c>
      <c r="H44">
        <f t="shared" si="2"/>
        <v>2944</v>
      </c>
      <c r="J44" s="2">
        <v>45474</v>
      </c>
      <c r="K44">
        <v>3303</v>
      </c>
      <c r="M44" s="2">
        <v>45839</v>
      </c>
      <c r="N44">
        <v>1661</v>
      </c>
      <c r="P44" s="2">
        <v>45809</v>
      </c>
      <c r="Q44">
        <v>1376</v>
      </c>
    </row>
    <row r="45" spans="1:17" x14ac:dyDescent="0.3">
      <c r="A45" s="1">
        <v>43509</v>
      </c>
      <c r="B45">
        <v>34</v>
      </c>
      <c r="C45">
        <v>45</v>
      </c>
      <c r="E45" s="6">
        <v>45870</v>
      </c>
      <c r="F45">
        <f t="shared" si="0"/>
        <v>1657</v>
      </c>
      <c r="G45">
        <f t="shared" si="1"/>
        <v>1310</v>
      </c>
      <c r="H45">
        <f t="shared" si="2"/>
        <v>2967</v>
      </c>
      <c r="J45" s="2">
        <v>45047</v>
      </c>
      <c r="K45">
        <v>3318</v>
      </c>
      <c r="M45" s="2">
        <v>45870</v>
      </c>
      <c r="N45">
        <v>1657</v>
      </c>
      <c r="P45" s="2">
        <v>45778</v>
      </c>
      <c r="Q45">
        <v>1380</v>
      </c>
    </row>
    <row r="46" spans="1:17" x14ac:dyDescent="0.3">
      <c r="A46" s="1">
        <v>43510</v>
      </c>
      <c r="B46">
        <v>40</v>
      </c>
      <c r="C46">
        <v>43</v>
      </c>
      <c r="E46" s="6">
        <v>45901</v>
      </c>
      <c r="F46">
        <f t="shared" si="0"/>
        <v>1451</v>
      </c>
      <c r="G46">
        <f t="shared" si="1"/>
        <v>1138</v>
      </c>
      <c r="H46">
        <f t="shared" si="2"/>
        <v>2589</v>
      </c>
      <c r="J46" s="2">
        <v>45139</v>
      </c>
      <c r="K46">
        <v>3350</v>
      </c>
      <c r="M46" s="2">
        <v>45901</v>
      </c>
      <c r="N46">
        <v>1451</v>
      </c>
      <c r="P46" s="2">
        <v>45748</v>
      </c>
      <c r="Q46">
        <v>1412</v>
      </c>
    </row>
    <row r="47" spans="1:17" x14ac:dyDescent="0.3">
      <c r="A47" s="1">
        <v>43511</v>
      </c>
      <c r="B47">
        <v>32</v>
      </c>
      <c r="C47">
        <v>54</v>
      </c>
      <c r="E47" s="2">
        <v>45931</v>
      </c>
      <c r="H47">
        <f t="shared" si="2"/>
        <v>0</v>
      </c>
      <c r="J47" s="2">
        <v>45413</v>
      </c>
      <c r="K47">
        <v>3351</v>
      </c>
      <c r="M47" s="2">
        <v>45931</v>
      </c>
      <c r="P47" s="2">
        <v>45931</v>
      </c>
    </row>
    <row r="48" spans="1:17" x14ac:dyDescent="0.3">
      <c r="A48" s="1">
        <v>43512</v>
      </c>
      <c r="B48">
        <v>34</v>
      </c>
      <c r="C48">
        <v>60</v>
      </c>
      <c r="E48" s="2"/>
      <c r="J48" s="2"/>
      <c r="M48" s="2"/>
      <c r="P48" s="2"/>
    </row>
    <row r="49" spans="1:16" x14ac:dyDescent="0.3">
      <c r="A49" s="1">
        <v>43513</v>
      </c>
      <c r="B49">
        <v>38</v>
      </c>
      <c r="C49">
        <v>51</v>
      </c>
      <c r="E49" s="2"/>
      <c r="J49" s="2"/>
      <c r="M49" s="2"/>
      <c r="P49" s="2"/>
    </row>
    <row r="50" spans="1:16" x14ac:dyDescent="0.3">
      <c r="A50" s="1">
        <v>43514</v>
      </c>
      <c r="B50">
        <v>28</v>
      </c>
      <c r="C50">
        <v>47</v>
      </c>
      <c r="E50" s="2"/>
      <c r="J50" s="2"/>
      <c r="M50" s="2"/>
      <c r="P50" s="2"/>
    </row>
    <row r="51" spans="1:16" x14ac:dyDescent="0.3">
      <c r="A51" s="1">
        <v>43515</v>
      </c>
      <c r="B51">
        <v>44</v>
      </c>
      <c r="C51">
        <v>56</v>
      </c>
      <c r="E51" s="2"/>
      <c r="J51" s="2"/>
      <c r="M51" s="2"/>
      <c r="P51" s="2"/>
    </row>
    <row r="52" spans="1:16" x14ac:dyDescent="0.3">
      <c r="A52" s="1">
        <v>43516</v>
      </c>
      <c r="B52">
        <v>35</v>
      </c>
      <c r="C52">
        <v>54</v>
      </c>
      <c r="E52" s="2"/>
      <c r="J52" s="2"/>
      <c r="M52" s="2"/>
      <c r="P52" s="2"/>
    </row>
    <row r="53" spans="1:16" x14ac:dyDescent="0.3">
      <c r="A53" s="1">
        <v>43517</v>
      </c>
      <c r="B53">
        <v>36</v>
      </c>
      <c r="C53">
        <v>51</v>
      </c>
      <c r="E53" s="2"/>
      <c r="J53" s="2"/>
      <c r="M53" s="2"/>
      <c r="P53" s="2"/>
    </row>
    <row r="54" spans="1:16" x14ac:dyDescent="0.3">
      <c r="A54" s="1">
        <v>43518</v>
      </c>
      <c r="B54">
        <v>43</v>
      </c>
      <c r="C54">
        <v>45</v>
      </c>
      <c r="E54" s="2"/>
      <c r="J54" s="2"/>
      <c r="M54" s="2"/>
      <c r="P54" s="2"/>
    </row>
    <row r="55" spans="1:16" x14ac:dyDescent="0.3">
      <c r="A55" s="1">
        <v>43519</v>
      </c>
      <c r="B55">
        <v>33</v>
      </c>
      <c r="C55">
        <v>60</v>
      </c>
      <c r="E55" s="2"/>
      <c r="J55" s="2"/>
      <c r="M55" s="2"/>
      <c r="P55" s="2"/>
    </row>
    <row r="56" spans="1:16" x14ac:dyDescent="0.3">
      <c r="A56" s="1">
        <v>43520</v>
      </c>
      <c r="B56">
        <v>38</v>
      </c>
      <c r="C56">
        <v>57</v>
      </c>
      <c r="E56" s="2"/>
      <c r="J56" s="2"/>
      <c r="M56" s="2"/>
      <c r="P56" s="2"/>
    </row>
    <row r="57" spans="1:16" x14ac:dyDescent="0.3">
      <c r="A57" s="1">
        <v>43521</v>
      </c>
      <c r="B57">
        <v>42</v>
      </c>
      <c r="C57">
        <v>58</v>
      </c>
      <c r="E57" s="2"/>
      <c r="J57" s="2"/>
      <c r="M57" s="2"/>
      <c r="P57" s="2"/>
    </row>
    <row r="58" spans="1:16" x14ac:dyDescent="0.3">
      <c r="A58" s="1">
        <v>43522</v>
      </c>
      <c r="B58">
        <v>33</v>
      </c>
      <c r="C58">
        <v>40</v>
      </c>
    </row>
    <row r="59" spans="1:16" x14ac:dyDescent="0.3">
      <c r="A59" s="1">
        <v>43523</v>
      </c>
      <c r="B59">
        <v>34</v>
      </c>
      <c r="C59">
        <v>48</v>
      </c>
    </row>
    <row r="60" spans="1:16" x14ac:dyDescent="0.3">
      <c r="A60" s="1">
        <v>43524</v>
      </c>
      <c r="B60">
        <v>35</v>
      </c>
      <c r="C60">
        <v>50</v>
      </c>
    </row>
    <row r="61" spans="1:16" x14ac:dyDescent="0.3">
      <c r="A61" s="1">
        <v>43525</v>
      </c>
      <c r="B61">
        <v>24</v>
      </c>
      <c r="C61">
        <v>60</v>
      </c>
    </row>
    <row r="62" spans="1:16" x14ac:dyDescent="0.3">
      <c r="A62" s="1">
        <v>43526</v>
      </c>
      <c r="B62">
        <v>27</v>
      </c>
      <c r="C62">
        <v>36</v>
      </c>
    </row>
    <row r="63" spans="1:16" x14ac:dyDescent="0.3">
      <c r="A63" s="1">
        <v>43527</v>
      </c>
      <c r="B63">
        <v>23</v>
      </c>
      <c r="C63">
        <v>58</v>
      </c>
    </row>
    <row r="64" spans="1:16" x14ac:dyDescent="0.3">
      <c r="A64" s="1">
        <v>43528</v>
      </c>
      <c r="B64">
        <v>43</v>
      </c>
      <c r="C64">
        <v>47</v>
      </c>
    </row>
    <row r="65" spans="1:3" x14ac:dyDescent="0.3">
      <c r="A65" s="1">
        <v>43529</v>
      </c>
      <c r="B65">
        <v>39</v>
      </c>
      <c r="C65">
        <v>58</v>
      </c>
    </row>
    <row r="66" spans="1:3" x14ac:dyDescent="0.3">
      <c r="A66" s="1">
        <v>43530</v>
      </c>
      <c r="B66">
        <v>41</v>
      </c>
      <c r="C66">
        <v>57</v>
      </c>
    </row>
    <row r="67" spans="1:3" x14ac:dyDescent="0.3">
      <c r="A67" s="1">
        <v>43531</v>
      </c>
      <c r="B67">
        <v>29</v>
      </c>
      <c r="C67">
        <v>56</v>
      </c>
    </row>
    <row r="68" spans="1:3" x14ac:dyDescent="0.3">
      <c r="A68" s="1">
        <v>43532</v>
      </c>
      <c r="B68">
        <v>32</v>
      </c>
      <c r="C68">
        <v>54</v>
      </c>
    </row>
    <row r="69" spans="1:3" x14ac:dyDescent="0.3">
      <c r="A69" s="1">
        <v>43533</v>
      </c>
      <c r="B69">
        <v>34</v>
      </c>
      <c r="C69">
        <v>60</v>
      </c>
    </row>
    <row r="70" spans="1:3" x14ac:dyDescent="0.3">
      <c r="A70" s="1">
        <v>43534</v>
      </c>
      <c r="B70">
        <v>19</v>
      </c>
      <c r="C70">
        <v>42</v>
      </c>
    </row>
    <row r="71" spans="1:3" x14ac:dyDescent="0.3">
      <c r="A71" s="1">
        <v>43535</v>
      </c>
      <c r="B71">
        <v>30</v>
      </c>
      <c r="C71">
        <v>34</v>
      </c>
    </row>
    <row r="72" spans="1:3" x14ac:dyDescent="0.3">
      <c r="A72" s="1">
        <v>43536</v>
      </c>
      <c r="B72">
        <v>27</v>
      </c>
      <c r="C72">
        <v>52</v>
      </c>
    </row>
    <row r="73" spans="1:3" x14ac:dyDescent="0.3">
      <c r="A73" s="1">
        <v>43537</v>
      </c>
      <c r="B73">
        <v>40</v>
      </c>
      <c r="C73">
        <v>57</v>
      </c>
    </row>
    <row r="74" spans="1:3" x14ac:dyDescent="0.3">
      <c r="A74" s="1">
        <v>43538</v>
      </c>
      <c r="B74">
        <v>42</v>
      </c>
      <c r="C74">
        <v>43</v>
      </c>
    </row>
    <row r="75" spans="1:3" x14ac:dyDescent="0.3">
      <c r="A75" s="1">
        <v>43539</v>
      </c>
      <c r="B75">
        <v>29</v>
      </c>
      <c r="C75">
        <v>44</v>
      </c>
    </row>
    <row r="76" spans="1:3" x14ac:dyDescent="0.3">
      <c r="A76" s="1">
        <v>43540</v>
      </c>
      <c r="B76">
        <v>35</v>
      </c>
      <c r="C76">
        <v>42</v>
      </c>
    </row>
    <row r="77" spans="1:3" x14ac:dyDescent="0.3">
      <c r="A77" s="1">
        <v>43541</v>
      </c>
      <c r="B77">
        <v>34</v>
      </c>
      <c r="C77">
        <v>49</v>
      </c>
    </row>
    <row r="78" spans="1:3" x14ac:dyDescent="0.3">
      <c r="A78" s="1">
        <v>43542</v>
      </c>
      <c r="B78">
        <v>25</v>
      </c>
      <c r="C78">
        <v>59</v>
      </c>
    </row>
    <row r="79" spans="1:3" x14ac:dyDescent="0.3">
      <c r="A79" s="1">
        <v>43543</v>
      </c>
      <c r="B79">
        <v>39</v>
      </c>
      <c r="C79">
        <v>52</v>
      </c>
    </row>
    <row r="80" spans="1:3" x14ac:dyDescent="0.3">
      <c r="A80" s="1">
        <v>43544</v>
      </c>
      <c r="B80">
        <v>34</v>
      </c>
      <c r="C80">
        <v>48</v>
      </c>
    </row>
    <row r="81" spans="1:3" x14ac:dyDescent="0.3">
      <c r="A81" s="1">
        <v>43545</v>
      </c>
      <c r="B81">
        <v>37</v>
      </c>
      <c r="C81">
        <v>60</v>
      </c>
    </row>
    <row r="82" spans="1:3" x14ac:dyDescent="0.3">
      <c r="A82" s="1">
        <v>43546</v>
      </c>
      <c r="B82">
        <v>30</v>
      </c>
      <c r="C82">
        <v>53</v>
      </c>
    </row>
    <row r="83" spans="1:3" x14ac:dyDescent="0.3">
      <c r="A83" s="1">
        <v>43547</v>
      </c>
      <c r="B83">
        <v>37</v>
      </c>
      <c r="C83">
        <v>39</v>
      </c>
    </row>
    <row r="84" spans="1:3" x14ac:dyDescent="0.3">
      <c r="A84" s="1">
        <v>43548</v>
      </c>
      <c r="B84">
        <v>34</v>
      </c>
      <c r="C84">
        <v>45</v>
      </c>
    </row>
    <row r="85" spans="1:3" x14ac:dyDescent="0.3">
      <c r="A85" s="1">
        <v>43549</v>
      </c>
      <c r="B85">
        <v>27</v>
      </c>
      <c r="C85">
        <v>40</v>
      </c>
    </row>
    <row r="86" spans="1:3" x14ac:dyDescent="0.3">
      <c r="A86" s="1">
        <v>43550</v>
      </c>
      <c r="B86">
        <v>31</v>
      </c>
      <c r="C86">
        <v>44</v>
      </c>
    </row>
    <row r="87" spans="1:3" x14ac:dyDescent="0.3">
      <c r="A87" s="1">
        <v>43551</v>
      </c>
      <c r="B87">
        <v>29</v>
      </c>
      <c r="C87">
        <v>50</v>
      </c>
    </row>
    <row r="88" spans="1:3" x14ac:dyDescent="0.3">
      <c r="A88" s="1">
        <v>43552</v>
      </c>
      <c r="B88">
        <v>39</v>
      </c>
      <c r="C88">
        <v>62</v>
      </c>
    </row>
    <row r="89" spans="1:3" x14ac:dyDescent="0.3">
      <c r="A89" s="1">
        <v>43553</v>
      </c>
      <c r="B89">
        <v>44</v>
      </c>
      <c r="C89">
        <v>57</v>
      </c>
    </row>
    <row r="90" spans="1:3" x14ac:dyDescent="0.3">
      <c r="A90" s="1">
        <v>43554</v>
      </c>
      <c r="B90">
        <v>37</v>
      </c>
      <c r="C90">
        <v>78</v>
      </c>
    </row>
    <row r="91" spans="1:3" x14ac:dyDescent="0.3">
      <c r="A91" s="1">
        <v>43555</v>
      </c>
      <c r="B91">
        <v>36</v>
      </c>
      <c r="C91">
        <v>48</v>
      </c>
    </row>
    <row r="92" spans="1:3" x14ac:dyDescent="0.3">
      <c r="A92" s="1">
        <v>43556</v>
      </c>
      <c r="B92">
        <v>41</v>
      </c>
      <c r="C92">
        <v>55</v>
      </c>
    </row>
    <row r="93" spans="1:3" x14ac:dyDescent="0.3">
      <c r="A93" s="1">
        <v>43557</v>
      </c>
      <c r="B93">
        <v>33</v>
      </c>
      <c r="C93">
        <v>38</v>
      </c>
    </row>
    <row r="94" spans="1:3" x14ac:dyDescent="0.3">
      <c r="A94" s="1">
        <v>43558</v>
      </c>
      <c r="B94">
        <v>34</v>
      </c>
      <c r="C94">
        <v>46</v>
      </c>
    </row>
    <row r="95" spans="1:3" x14ac:dyDescent="0.3">
      <c r="A95" s="1">
        <v>43559</v>
      </c>
      <c r="B95">
        <v>31</v>
      </c>
      <c r="C95">
        <v>51</v>
      </c>
    </row>
    <row r="96" spans="1:3" x14ac:dyDescent="0.3">
      <c r="A96" s="1">
        <v>43560</v>
      </c>
      <c r="B96">
        <v>48</v>
      </c>
      <c r="C96">
        <v>62</v>
      </c>
    </row>
    <row r="97" spans="1:3" x14ac:dyDescent="0.3">
      <c r="A97" s="1">
        <v>43561</v>
      </c>
      <c r="B97">
        <v>31</v>
      </c>
      <c r="C97">
        <v>65</v>
      </c>
    </row>
    <row r="98" spans="1:3" x14ac:dyDescent="0.3">
      <c r="A98" s="1">
        <v>43562</v>
      </c>
      <c r="B98">
        <v>29</v>
      </c>
      <c r="C98">
        <v>57</v>
      </c>
    </row>
    <row r="99" spans="1:3" x14ac:dyDescent="0.3">
      <c r="A99" s="1">
        <v>43563</v>
      </c>
      <c r="B99">
        <v>38</v>
      </c>
      <c r="C99">
        <v>48</v>
      </c>
    </row>
    <row r="100" spans="1:3" x14ac:dyDescent="0.3">
      <c r="A100" s="1">
        <v>43564</v>
      </c>
      <c r="B100">
        <v>36</v>
      </c>
      <c r="C100">
        <v>74</v>
      </c>
    </row>
    <row r="101" spans="1:3" x14ac:dyDescent="0.3">
      <c r="A101" s="1">
        <v>43565</v>
      </c>
      <c r="B101">
        <v>33</v>
      </c>
      <c r="C101">
        <v>45</v>
      </c>
    </row>
    <row r="102" spans="1:3" x14ac:dyDescent="0.3">
      <c r="A102" s="1">
        <v>43566</v>
      </c>
      <c r="B102">
        <v>35</v>
      </c>
      <c r="C102">
        <v>50</v>
      </c>
    </row>
    <row r="103" spans="1:3" x14ac:dyDescent="0.3">
      <c r="A103" s="1">
        <v>43567</v>
      </c>
      <c r="B103">
        <v>35</v>
      </c>
      <c r="C103">
        <v>60</v>
      </c>
    </row>
    <row r="104" spans="1:3" x14ac:dyDescent="0.3">
      <c r="A104" s="1">
        <v>43568</v>
      </c>
      <c r="B104">
        <v>32</v>
      </c>
      <c r="C104">
        <v>46</v>
      </c>
    </row>
    <row r="105" spans="1:3" x14ac:dyDescent="0.3">
      <c r="A105" s="1">
        <v>43569</v>
      </c>
      <c r="B105">
        <v>38</v>
      </c>
      <c r="C105">
        <v>37</v>
      </c>
    </row>
    <row r="106" spans="1:3" x14ac:dyDescent="0.3">
      <c r="A106" s="1">
        <v>43570</v>
      </c>
      <c r="B106">
        <v>40</v>
      </c>
      <c r="C106">
        <v>57</v>
      </c>
    </row>
    <row r="107" spans="1:3" x14ac:dyDescent="0.3">
      <c r="A107" s="1">
        <v>43571</v>
      </c>
      <c r="B107">
        <v>42</v>
      </c>
      <c r="C107">
        <v>49</v>
      </c>
    </row>
    <row r="108" spans="1:3" x14ac:dyDescent="0.3">
      <c r="A108" s="1">
        <v>43572</v>
      </c>
      <c r="B108">
        <v>43</v>
      </c>
      <c r="C108">
        <v>62</v>
      </c>
    </row>
    <row r="109" spans="1:3" x14ac:dyDescent="0.3">
      <c r="A109" s="1">
        <v>43573</v>
      </c>
      <c r="B109">
        <v>47</v>
      </c>
      <c r="C109">
        <v>53</v>
      </c>
    </row>
    <row r="110" spans="1:3" x14ac:dyDescent="0.3">
      <c r="A110" s="1">
        <v>43574</v>
      </c>
      <c r="B110">
        <v>33</v>
      </c>
      <c r="C110">
        <v>68</v>
      </c>
    </row>
    <row r="111" spans="1:3" x14ac:dyDescent="0.3">
      <c r="A111" s="1">
        <v>43575</v>
      </c>
      <c r="B111">
        <v>49</v>
      </c>
      <c r="C111">
        <v>59</v>
      </c>
    </row>
    <row r="112" spans="1:3" x14ac:dyDescent="0.3">
      <c r="A112" s="1">
        <v>43576</v>
      </c>
      <c r="B112">
        <v>41</v>
      </c>
      <c r="C112">
        <v>52</v>
      </c>
    </row>
    <row r="113" spans="1:3" x14ac:dyDescent="0.3">
      <c r="A113" s="1">
        <v>43577</v>
      </c>
      <c r="B113">
        <v>51</v>
      </c>
      <c r="C113">
        <v>52</v>
      </c>
    </row>
    <row r="114" spans="1:3" x14ac:dyDescent="0.3">
      <c r="A114" s="1">
        <v>43578</v>
      </c>
      <c r="B114">
        <v>37</v>
      </c>
      <c r="C114">
        <v>56</v>
      </c>
    </row>
    <row r="115" spans="1:3" x14ac:dyDescent="0.3">
      <c r="A115" s="1">
        <v>43579</v>
      </c>
      <c r="B115">
        <v>33</v>
      </c>
      <c r="C115">
        <v>46</v>
      </c>
    </row>
    <row r="116" spans="1:3" x14ac:dyDescent="0.3">
      <c r="A116" s="1">
        <v>43580</v>
      </c>
      <c r="B116">
        <v>31</v>
      </c>
      <c r="C116">
        <v>49</v>
      </c>
    </row>
    <row r="117" spans="1:3" x14ac:dyDescent="0.3">
      <c r="A117" s="1">
        <v>43581</v>
      </c>
      <c r="B117">
        <v>29</v>
      </c>
      <c r="C117">
        <v>43</v>
      </c>
    </row>
    <row r="118" spans="1:3" x14ac:dyDescent="0.3">
      <c r="A118" s="1">
        <v>43582</v>
      </c>
      <c r="B118">
        <v>43</v>
      </c>
      <c r="C118">
        <v>63</v>
      </c>
    </row>
    <row r="119" spans="1:3" x14ac:dyDescent="0.3">
      <c r="A119" s="1">
        <v>43583</v>
      </c>
      <c r="B119">
        <v>37</v>
      </c>
      <c r="C119">
        <v>55</v>
      </c>
    </row>
    <row r="120" spans="1:3" x14ac:dyDescent="0.3">
      <c r="A120" s="1">
        <v>43584</v>
      </c>
      <c r="B120">
        <v>54</v>
      </c>
      <c r="C120">
        <v>61</v>
      </c>
    </row>
    <row r="121" spans="1:3" x14ac:dyDescent="0.3">
      <c r="A121" s="1">
        <v>43585</v>
      </c>
      <c r="B121">
        <v>27</v>
      </c>
      <c r="C121">
        <v>46</v>
      </c>
    </row>
    <row r="122" spans="1:3" x14ac:dyDescent="0.3">
      <c r="A122" s="1">
        <v>43586</v>
      </c>
      <c r="B122">
        <v>44</v>
      </c>
      <c r="C122">
        <v>66</v>
      </c>
    </row>
    <row r="123" spans="1:3" x14ac:dyDescent="0.3">
      <c r="A123" s="1">
        <v>43587</v>
      </c>
      <c r="B123">
        <v>38</v>
      </c>
      <c r="C123">
        <v>71</v>
      </c>
    </row>
    <row r="124" spans="1:3" x14ac:dyDescent="0.3">
      <c r="A124" s="1">
        <v>43588</v>
      </c>
      <c r="B124">
        <v>50</v>
      </c>
      <c r="C124">
        <v>53</v>
      </c>
    </row>
    <row r="125" spans="1:3" x14ac:dyDescent="0.3">
      <c r="A125" s="1">
        <v>43589</v>
      </c>
      <c r="B125">
        <v>33</v>
      </c>
      <c r="C125">
        <v>48</v>
      </c>
    </row>
    <row r="126" spans="1:3" x14ac:dyDescent="0.3">
      <c r="A126" s="1">
        <v>43590</v>
      </c>
      <c r="B126">
        <v>31</v>
      </c>
      <c r="C126">
        <v>46</v>
      </c>
    </row>
    <row r="127" spans="1:3" x14ac:dyDescent="0.3">
      <c r="A127" s="1">
        <v>43591</v>
      </c>
      <c r="B127">
        <v>40</v>
      </c>
      <c r="C127">
        <v>48</v>
      </c>
    </row>
    <row r="128" spans="1:3" x14ac:dyDescent="0.3">
      <c r="A128" s="1">
        <v>43592</v>
      </c>
      <c r="B128">
        <v>30</v>
      </c>
      <c r="C128">
        <v>63</v>
      </c>
    </row>
    <row r="129" spans="1:3" x14ac:dyDescent="0.3">
      <c r="A129" s="1">
        <v>43593</v>
      </c>
      <c r="B129">
        <v>40</v>
      </c>
      <c r="C129">
        <v>63</v>
      </c>
    </row>
    <row r="130" spans="1:3" x14ac:dyDescent="0.3">
      <c r="A130" s="1">
        <v>43594</v>
      </c>
      <c r="B130">
        <v>47</v>
      </c>
      <c r="C130">
        <v>48</v>
      </c>
    </row>
    <row r="131" spans="1:3" x14ac:dyDescent="0.3">
      <c r="A131" s="1">
        <v>43595</v>
      </c>
      <c r="B131">
        <v>33</v>
      </c>
      <c r="C131">
        <v>57</v>
      </c>
    </row>
    <row r="132" spans="1:3" x14ac:dyDescent="0.3">
      <c r="A132" s="1">
        <v>43596</v>
      </c>
      <c r="B132">
        <v>40</v>
      </c>
      <c r="C132">
        <v>65</v>
      </c>
    </row>
    <row r="133" spans="1:3" x14ac:dyDescent="0.3">
      <c r="A133" s="1">
        <v>43597</v>
      </c>
      <c r="B133">
        <v>33</v>
      </c>
      <c r="C133">
        <v>65</v>
      </c>
    </row>
    <row r="134" spans="1:3" x14ac:dyDescent="0.3">
      <c r="A134" s="1">
        <v>43598</v>
      </c>
      <c r="B134">
        <v>37</v>
      </c>
      <c r="C134">
        <v>51</v>
      </c>
    </row>
    <row r="135" spans="1:3" x14ac:dyDescent="0.3">
      <c r="A135" s="1">
        <v>43599</v>
      </c>
      <c r="B135">
        <v>36</v>
      </c>
      <c r="C135">
        <v>46</v>
      </c>
    </row>
    <row r="136" spans="1:3" x14ac:dyDescent="0.3">
      <c r="A136" s="1">
        <v>43600</v>
      </c>
      <c r="B136">
        <v>35</v>
      </c>
      <c r="C136">
        <v>62</v>
      </c>
    </row>
    <row r="137" spans="1:3" x14ac:dyDescent="0.3">
      <c r="A137" s="1">
        <v>43601</v>
      </c>
      <c r="B137">
        <v>34</v>
      </c>
      <c r="C137">
        <v>58</v>
      </c>
    </row>
    <row r="138" spans="1:3" x14ac:dyDescent="0.3">
      <c r="A138" s="1">
        <v>43602</v>
      </c>
      <c r="B138">
        <v>47</v>
      </c>
      <c r="C138">
        <v>52</v>
      </c>
    </row>
    <row r="139" spans="1:3" x14ac:dyDescent="0.3">
      <c r="A139" s="1">
        <v>43603</v>
      </c>
      <c r="B139">
        <v>39</v>
      </c>
      <c r="C139">
        <v>57</v>
      </c>
    </row>
    <row r="140" spans="1:3" x14ac:dyDescent="0.3">
      <c r="A140" s="1">
        <v>43604</v>
      </c>
      <c r="B140">
        <v>32</v>
      </c>
      <c r="C140">
        <v>47</v>
      </c>
    </row>
    <row r="141" spans="1:3" x14ac:dyDescent="0.3">
      <c r="A141" s="1">
        <v>43605</v>
      </c>
      <c r="B141">
        <v>38</v>
      </c>
      <c r="C141">
        <v>60</v>
      </c>
    </row>
    <row r="142" spans="1:3" x14ac:dyDescent="0.3">
      <c r="A142" s="1">
        <v>43606</v>
      </c>
      <c r="B142">
        <v>30</v>
      </c>
      <c r="C142">
        <v>50</v>
      </c>
    </row>
    <row r="143" spans="1:3" x14ac:dyDescent="0.3">
      <c r="A143" s="1">
        <v>43607</v>
      </c>
      <c r="B143">
        <v>33</v>
      </c>
      <c r="C143">
        <v>47</v>
      </c>
    </row>
    <row r="144" spans="1:3" x14ac:dyDescent="0.3">
      <c r="A144" s="1">
        <v>43608</v>
      </c>
      <c r="B144">
        <v>27</v>
      </c>
      <c r="C144">
        <v>49</v>
      </c>
    </row>
    <row r="145" spans="1:3" x14ac:dyDescent="0.3">
      <c r="A145" s="1">
        <v>43609</v>
      </c>
      <c r="B145">
        <v>46</v>
      </c>
      <c r="C145">
        <v>53</v>
      </c>
    </row>
    <row r="146" spans="1:3" x14ac:dyDescent="0.3">
      <c r="A146" s="1">
        <v>43610</v>
      </c>
      <c r="B146">
        <v>33</v>
      </c>
      <c r="C146">
        <v>61</v>
      </c>
    </row>
    <row r="147" spans="1:3" x14ac:dyDescent="0.3">
      <c r="A147" s="1">
        <v>43611</v>
      </c>
      <c r="B147">
        <v>45</v>
      </c>
      <c r="C147">
        <v>71</v>
      </c>
    </row>
    <row r="148" spans="1:3" x14ac:dyDescent="0.3">
      <c r="A148" s="1">
        <v>43612</v>
      </c>
      <c r="B148">
        <v>37</v>
      </c>
      <c r="C148">
        <v>64</v>
      </c>
    </row>
    <row r="149" spans="1:3" x14ac:dyDescent="0.3">
      <c r="A149" s="1">
        <v>43613</v>
      </c>
      <c r="B149">
        <v>36</v>
      </c>
      <c r="C149">
        <v>55</v>
      </c>
    </row>
    <row r="150" spans="1:3" x14ac:dyDescent="0.3">
      <c r="A150" s="1">
        <v>43614</v>
      </c>
      <c r="B150">
        <v>40</v>
      </c>
      <c r="C150">
        <v>55</v>
      </c>
    </row>
    <row r="151" spans="1:3" x14ac:dyDescent="0.3">
      <c r="A151" s="1">
        <v>43615</v>
      </c>
      <c r="B151">
        <v>36</v>
      </c>
      <c r="C151">
        <v>70</v>
      </c>
    </row>
    <row r="152" spans="1:3" x14ac:dyDescent="0.3">
      <c r="A152" s="1">
        <v>43616</v>
      </c>
      <c r="B152">
        <v>42</v>
      </c>
      <c r="C152">
        <v>52</v>
      </c>
    </row>
    <row r="153" spans="1:3" x14ac:dyDescent="0.3">
      <c r="A153" s="1">
        <v>43617</v>
      </c>
      <c r="B153">
        <v>42</v>
      </c>
      <c r="C153">
        <v>50</v>
      </c>
    </row>
    <row r="154" spans="1:3" x14ac:dyDescent="0.3">
      <c r="A154" s="1">
        <v>43618</v>
      </c>
      <c r="B154">
        <v>37</v>
      </c>
      <c r="C154">
        <v>64</v>
      </c>
    </row>
    <row r="155" spans="1:3" x14ac:dyDescent="0.3">
      <c r="A155" s="1">
        <v>43619</v>
      </c>
      <c r="B155">
        <v>32</v>
      </c>
      <c r="C155">
        <v>66</v>
      </c>
    </row>
    <row r="156" spans="1:3" x14ac:dyDescent="0.3">
      <c r="A156" s="1">
        <v>43620</v>
      </c>
      <c r="B156">
        <v>35</v>
      </c>
      <c r="C156">
        <v>72</v>
      </c>
    </row>
    <row r="157" spans="1:3" x14ac:dyDescent="0.3">
      <c r="A157" s="1">
        <v>43621</v>
      </c>
      <c r="B157">
        <v>41</v>
      </c>
      <c r="C157">
        <v>67</v>
      </c>
    </row>
    <row r="158" spans="1:3" x14ac:dyDescent="0.3">
      <c r="A158" s="1">
        <v>43622</v>
      </c>
      <c r="B158">
        <v>40</v>
      </c>
      <c r="C158">
        <v>46</v>
      </c>
    </row>
    <row r="159" spans="1:3" x14ac:dyDescent="0.3">
      <c r="A159" s="1">
        <v>43623</v>
      </c>
      <c r="B159">
        <v>37</v>
      </c>
      <c r="C159">
        <v>56</v>
      </c>
    </row>
    <row r="160" spans="1:3" x14ac:dyDescent="0.3">
      <c r="A160" s="1">
        <v>43624</v>
      </c>
      <c r="B160">
        <v>45</v>
      </c>
      <c r="C160">
        <v>61</v>
      </c>
    </row>
    <row r="161" spans="1:3" x14ac:dyDescent="0.3">
      <c r="A161" s="1">
        <v>43625</v>
      </c>
      <c r="B161">
        <v>35</v>
      </c>
      <c r="C161">
        <v>54</v>
      </c>
    </row>
    <row r="162" spans="1:3" x14ac:dyDescent="0.3">
      <c r="A162" s="1">
        <v>43626</v>
      </c>
      <c r="B162">
        <v>46</v>
      </c>
      <c r="C162">
        <v>66</v>
      </c>
    </row>
    <row r="163" spans="1:3" x14ac:dyDescent="0.3">
      <c r="A163" s="1">
        <v>43627</v>
      </c>
      <c r="B163">
        <v>39</v>
      </c>
      <c r="C163">
        <v>57</v>
      </c>
    </row>
    <row r="164" spans="1:3" x14ac:dyDescent="0.3">
      <c r="A164" s="1">
        <v>43628</v>
      </c>
      <c r="B164">
        <v>30</v>
      </c>
      <c r="C164">
        <v>53</v>
      </c>
    </row>
    <row r="165" spans="1:3" x14ac:dyDescent="0.3">
      <c r="A165" s="1">
        <v>43629</v>
      </c>
      <c r="B165">
        <v>40</v>
      </c>
      <c r="C165">
        <v>51</v>
      </c>
    </row>
    <row r="166" spans="1:3" x14ac:dyDescent="0.3">
      <c r="A166" s="1">
        <v>43630</v>
      </c>
      <c r="B166">
        <v>37</v>
      </c>
      <c r="C166">
        <v>53</v>
      </c>
    </row>
    <row r="167" spans="1:3" x14ac:dyDescent="0.3">
      <c r="A167" s="1">
        <v>43631</v>
      </c>
      <c r="B167">
        <v>32</v>
      </c>
      <c r="C167">
        <v>54</v>
      </c>
    </row>
    <row r="168" spans="1:3" x14ac:dyDescent="0.3">
      <c r="A168" s="1">
        <v>43632</v>
      </c>
      <c r="B168">
        <v>29</v>
      </c>
      <c r="C168">
        <v>70</v>
      </c>
    </row>
    <row r="169" spans="1:3" x14ac:dyDescent="0.3">
      <c r="A169" s="1">
        <v>43633</v>
      </c>
      <c r="B169">
        <v>28</v>
      </c>
      <c r="C169">
        <v>48</v>
      </c>
    </row>
    <row r="170" spans="1:3" x14ac:dyDescent="0.3">
      <c r="A170" s="1">
        <v>43634</v>
      </c>
      <c r="B170">
        <v>34</v>
      </c>
      <c r="C170">
        <v>48</v>
      </c>
    </row>
    <row r="171" spans="1:3" x14ac:dyDescent="0.3">
      <c r="A171" s="1">
        <v>43635</v>
      </c>
      <c r="B171">
        <v>31</v>
      </c>
      <c r="C171">
        <v>58</v>
      </c>
    </row>
    <row r="172" spans="1:3" x14ac:dyDescent="0.3">
      <c r="A172" s="1">
        <v>43636</v>
      </c>
      <c r="B172">
        <v>41</v>
      </c>
      <c r="C172">
        <v>43</v>
      </c>
    </row>
    <row r="173" spans="1:3" x14ac:dyDescent="0.3">
      <c r="A173" s="1">
        <v>43637</v>
      </c>
      <c r="B173">
        <v>30</v>
      </c>
      <c r="C173">
        <v>53</v>
      </c>
    </row>
    <row r="174" spans="1:3" x14ac:dyDescent="0.3">
      <c r="A174" s="1">
        <v>43638</v>
      </c>
      <c r="B174">
        <v>35</v>
      </c>
      <c r="C174">
        <v>45</v>
      </c>
    </row>
    <row r="175" spans="1:3" x14ac:dyDescent="0.3">
      <c r="A175" s="1">
        <v>43639</v>
      </c>
      <c r="B175">
        <v>30</v>
      </c>
      <c r="C175">
        <v>48</v>
      </c>
    </row>
    <row r="176" spans="1:3" x14ac:dyDescent="0.3">
      <c r="A176" s="1">
        <v>43640</v>
      </c>
      <c r="B176">
        <v>38</v>
      </c>
      <c r="C176">
        <v>77</v>
      </c>
    </row>
    <row r="177" spans="1:3" x14ac:dyDescent="0.3">
      <c r="A177" s="1">
        <v>43641</v>
      </c>
      <c r="B177">
        <v>34</v>
      </c>
      <c r="C177">
        <v>68</v>
      </c>
    </row>
    <row r="178" spans="1:3" x14ac:dyDescent="0.3">
      <c r="A178" s="1">
        <v>43642</v>
      </c>
      <c r="B178">
        <v>37</v>
      </c>
      <c r="C178">
        <v>58</v>
      </c>
    </row>
    <row r="179" spans="1:3" x14ac:dyDescent="0.3">
      <c r="A179" s="1">
        <v>43643</v>
      </c>
      <c r="B179">
        <v>30</v>
      </c>
      <c r="C179">
        <v>46</v>
      </c>
    </row>
    <row r="180" spans="1:3" x14ac:dyDescent="0.3">
      <c r="A180" s="1">
        <v>43644</v>
      </c>
      <c r="B180">
        <v>37</v>
      </c>
      <c r="C180">
        <v>53</v>
      </c>
    </row>
    <row r="181" spans="1:3" x14ac:dyDescent="0.3">
      <c r="A181" s="1">
        <v>43645</v>
      </c>
      <c r="B181">
        <v>30</v>
      </c>
      <c r="C181">
        <v>60</v>
      </c>
    </row>
    <row r="182" spans="1:3" x14ac:dyDescent="0.3">
      <c r="A182" s="1">
        <v>43646</v>
      </c>
      <c r="B182">
        <v>43</v>
      </c>
      <c r="C182">
        <v>62</v>
      </c>
    </row>
    <row r="183" spans="1:3" x14ac:dyDescent="0.3">
      <c r="A183" s="1">
        <v>43647</v>
      </c>
      <c r="B183">
        <v>43</v>
      </c>
      <c r="C183">
        <v>57</v>
      </c>
    </row>
    <row r="184" spans="1:3" x14ac:dyDescent="0.3">
      <c r="A184" s="1">
        <v>43648</v>
      </c>
      <c r="B184">
        <v>29</v>
      </c>
      <c r="C184">
        <v>46</v>
      </c>
    </row>
    <row r="185" spans="1:3" x14ac:dyDescent="0.3">
      <c r="A185" s="1">
        <v>43649</v>
      </c>
      <c r="B185">
        <v>41</v>
      </c>
      <c r="C185">
        <v>64</v>
      </c>
    </row>
    <row r="186" spans="1:3" x14ac:dyDescent="0.3">
      <c r="A186" s="1">
        <v>43650</v>
      </c>
      <c r="B186">
        <v>51</v>
      </c>
      <c r="C186">
        <v>50</v>
      </c>
    </row>
    <row r="187" spans="1:3" x14ac:dyDescent="0.3">
      <c r="A187" s="1">
        <v>43651</v>
      </c>
      <c r="B187">
        <v>34</v>
      </c>
      <c r="C187">
        <v>65</v>
      </c>
    </row>
    <row r="188" spans="1:3" x14ac:dyDescent="0.3">
      <c r="A188" s="1">
        <v>43652</v>
      </c>
      <c r="B188">
        <v>45</v>
      </c>
      <c r="C188">
        <v>54</v>
      </c>
    </row>
    <row r="189" spans="1:3" x14ac:dyDescent="0.3">
      <c r="A189" s="1">
        <v>43653</v>
      </c>
      <c r="B189">
        <v>38</v>
      </c>
      <c r="C189">
        <v>48</v>
      </c>
    </row>
    <row r="190" spans="1:3" x14ac:dyDescent="0.3">
      <c r="A190" s="1">
        <v>43654</v>
      </c>
      <c r="B190">
        <v>31</v>
      </c>
      <c r="C190">
        <v>51</v>
      </c>
    </row>
    <row r="191" spans="1:3" x14ac:dyDescent="0.3">
      <c r="A191" s="1">
        <v>43655</v>
      </c>
      <c r="B191">
        <v>33</v>
      </c>
      <c r="C191">
        <v>54</v>
      </c>
    </row>
    <row r="192" spans="1:3" x14ac:dyDescent="0.3">
      <c r="A192" s="1">
        <v>43656</v>
      </c>
      <c r="B192">
        <v>44</v>
      </c>
      <c r="C192">
        <v>50</v>
      </c>
    </row>
    <row r="193" spans="1:3" x14ac:dyDescent="0.3">
      <c r="A193" s="1">
        <v>43657</v>
      </c>
      <c r="B193">
        <v>42</v>
      </c>
      <c r="C193">
        <v>51</v>
      </c>
    </row>
    <row r="194" spans="1:3" x14ac:dyDescent="0.3">
      <c r="A194" s="1">
        <v>43658</v>
      </c>
      <c r="B194">
        <v>40</v>
      </c>
      <c r="C194">
        <v>63</v>
      </c>
    </row>
    <row r="195" spans="1:3" x14ac:dyDescent="0.3">
      <c r="A195" s="1">
        <v>43659</v>
      </c>
      <c r="B195">
        <v>38</v>
      </c>
      <c r="C195">
        <v>58</v>
      </c>
    </row>
    <row r="196" spans="1:3" x14ac:dyDescent="0.3">
      <c r="A196" s="1">
        <v>43660</v>
      </c>
      <c r="B196">
        <v>37</v>
      </c>
      <c r="C196">
        <v>48</v>
      </c>
    </row>
    <row r="197" spans="1:3" x14ac:dyDescent="0.3">
      <c r="A197" s="1">
        <v>43661</v>
      </c>
      <c r="B197">
        <v>42</v>
      </c>
      <c r="C197">
        <v>49</v>
      </c>
    </row>
    <row r="198" spans="1:3" x14ac:dyDescent="0.3">
      <c r="A198" s="1">
        <v>43662</v>
      </c>
      <c r="B198">
        <v>33</v>
      </c>
      <c r="C198">
        <v>54</v>
      </c>
    </row>
    <row r="199" spans="1:3" x14ac:dyDescent="0.3">
      <c r="A199" s="1">
        <v>43663</v>
      </c>
      <c r="B199">
        <v>33</v>
      </c>
      <c r="C199">
        <v>45</v>
      </c>
    </row>
    <row r="200" spans="1:3" x14ac:dyDescent="0.3">
      <c r="A200" s="1">
        <v>43664</v>
      </c>
      <c r="B200">
        <v>29</v>
      </c>
      <c r="C200">
        <v>48</v>
      </c>
    </row>
    <row r="201" spans="1:3" x14ac:dyDescent="0.3">
      <c r="A201" s="1">
        <v>43665</v>
      </c>
      <c r="B201">
        <v>34</v>
      </c>
      <c r="C201">
        <v>48</v>
      </c>
    </row>
    <row r="202" spans="1:3" x14ac:dyDescent="0.3">
      <c r="A202" s="1">
        <v>43666</v>
      </c>
      <c r="B202">
        <v>40</v>
      </c>
      <c r="C202">
        <v>46</v>
      </c>
    </row>
    <row r="203" spans="1:3" x14ac:dyDescent="0.3">
      <c r="A203" s="1">
        <v>43667</v>
      </c>
      <c r="B203">
        <v>31</v>
      </c>
      <c r="C203">
        <v>54</v>
      </c>
    </row>
    <row r="204" spans="1:3" x14ac:dyDescent="0.3">
      <c r="A204" s="1">
        <v>43668</v>
      </c>
      <c r="B204">
        <v>41</v>
      </c>
      <c r="C204">
        <v>57</v>
      </c>
    </row>
    <row r="205" spans="1:3" x14ac:dyDescent="0.3">
      <c r="A205" s="1">
        <v>43669</v>
      </c>
      <c r="B205">
        <v>28</v>
      </c>
      <c r="C205">
        <v>46</v>
      </c>
    </row>
    <row r="206" spans="1:3" x14ac:dyDescent="0.3">
      <c r="A206" s="1">
        <v>43670</v>
      </c>
      <c r="B206">
        <v>32</v>
      </c>
      <c r="C206">
        <v>50</v>
      </c>
    </row>
    <row r="207" spans="1:3" x14ac:dyDescent="0.3">
      <c r="A207" s="1">
        <v>43671</v>
      </c>
      <c r="B207">
        <v>36</v>
      </c>
      <c r="C207">
        <v>60</v>
      </c>
    </row>
    <row r="208" spans="1:3" x14ac:dyDescent="0.3">
      <c r="A208" s="1">
        <v>43672</v>
      </c>
      <c r="B208">
        <v>27</v>
      </c>
      <c r="C208">
        <v>56</v>
      </c>
    </row>
    <row r="209" spans="1:3" x14ac:dyDescent="0.3">
      <c r="A209" s="1">
        <v>43673</v>
      </c>
      <c r="B209">
        <v>24</v>
      </c>
      <c r="C209">
        <v>47</v>
      </c>
    </row>
    <row r="210" spans="1:3" x14ac:dyDescent="0.3">
      <c r="A210" s="1">
        <v>43674</v>
      </c>
      <c r="B210">
        <v>33</v>
      </c>
      <c r="C210">
        <v>44</v>
      </c>
    </row>
    <row r="211" spans="1:3" x14ac:dyDescent="0.3">
      <c r="A211" s="1">
        <v>43675</v>
      </c>
      <c r="B211">
        <v>35</v>
      </c>
      <c r="C211">
        <v>51</v>
      </c>
    </row>
    <row r="212" spans="1:3" x14ac:dyDescent="0.3">
      <c r="A212" s="1">
        <v>43676</v>
      </c>
      <c r="B212">
        <v>46</v>
      </c>
      <c r="C212">
        <v>48</v>
      </c>
    </row>
    <row r="213" spans="1:3" x14ac:dyDescent="0.3">
      <c r="A213" s="1">
        <v>43677</v>
      </c>
      <c r="B213">
        <v>30</v>
      </c>
      <c r="C213">
        <v>51</v>
      </c>
    </row>
    <row r="214" spans="1:3" x14ac:dyDescent="0.3">
      <c r="A214" s="1">
        <v>43678</v>
      </c>
      <c r="B214">
        <v>49</v>
      </c>
      <c r="C214">
        <v>58</v>
      </c>
    </row>
    <row r="215" spans="1:3" x14ac:dyDescent="0.3">
      <c r="A215" s="1">
        <v>43679</v>
      </c>
      <c r="B215">
        <v>29</v>
      </c>
      <c r="C215">
        <v>53</v>
      </c>
    </row>
    <row r="216" spans="1:3" x14ac:dyDescent="0.3">
      <c r="A216" s="1">
        <v>43680</v>
      </c>
      <c r="B216">
        <v>33</v>
      </c>
      <c r="C216">
        <v>58</v>
      </c>
    </row>
    <row r="217" spans="1:3" x14ac:dyDescent="0.3">
      <c r="A217" s="1">
        <v>43681</v>
      </c>
      <c r="B217">
        <v>36</v>
      </c>
      <c r="C217">
        <v>70</v>
      </c>
    </row>
    <row r="218" spans="1:3" x14ac:dyDescent="0.3">
      <c r="A218" s="1">
        <v>43682</v>
      </c>
      <c r="B218">
        <v>27</v>
      </c>
      <c r="C218">
        <v>52</v>
      </c>
    </row>
    <row r="219" spans="1:3" x14ac:dyDescent="0.3">
      <c r="A219" s="1">
        <v>43683</v>
      </c>
      <c r="B219">
        <v>37</v>
      </c>
      <c r="C219">
        <v>58</v>
      </c>
    </row>
    <row r="220" spans="1:3" x14ac:dyDescent="0.3">
      <c r="A220" s="1">
        <v>43684</v>
      </c>
      <c r="B220">
        <v>36</v>
      </c>
      <c r="C220">
        <v>53</v>
      </c>
    </row>
    <row r="221" spans="1:3" x14ac:dyDescent="0.3">
      <c r="A221" s="1">
        <v>43685</v>
      </c>
      <c r="B221">
        <v>38</v>
      </c>
      <c r="C221">
        <v>54</v>
      </c>
    </row>
    <row r="222" spans="1:3" x14ac:dyDescent="0.3">
      <c r="A222" s="1">
        <v>43686</v>
      </c>
      <c r="B222">
        <v>45</v>
      </c>
      <c r="C222">
        <v>53</v>
      </c>
    </row>
    <row r="223" spans="1:3" x14ac:dyDescent="0.3">
      <c r="A223" s="1">
        <v>43687</v>
      </c>
      <c r="B223">
        <v>31</v>
      </c>
      <c r="C223">
        <v>62</v>
      </c>
    </row>
    <row r="224" spans="1:3" x14ac:dyDescent="0.3">
      <c r="A224" s="1">
        <v>43688</v>
      </c>
      <c r="B224">
        <v>38</v>
      </c>
      <c r="C224">
        <v>47</v>
      </c>
    </row>
    <row r="225" spans="1:3" x14ac:dyDescent="0.3">
      <c r="A225" s="1">
        <v>43689</v>
      </c>
      <c r="B225">
        <v>34</v>
      </c>
      <c r="C225">
        <v>43</v>
      </c>
    </row>
    <row r="226" spans="1:3" x14ac:dyDescent="0.3">
      <c r="A226" s="1">
        <v>43690</v>
      </c>
      <c r="B226">
        <v>32</v>
      </c>
      <c r="C226">
        <v>53</v>
      </c>
    </row>
    <row r="227" spans="1:3" x14ac:dyDescent="0.3">
      <c r="A227" s="1">
        <v>43691</v>
      </c>
      <c r="B227">
        <v>32</v>
      </c>
      <c r="C227">
        <v>52</v>
      </c>
    </row>
    <row r="228" spans="1:3" x14ac:dyDescent="0.3">
      <c r="A228" s="1">
        <v>43692</v>
      </c>
      <c r="B228">
        <v>39</v>
      </c>
      <c r="C228">
        <v>43</v>
      </c>
    </row>
    <row r="229" spans="1:3" x14ac:dyDescent="0.3">
      <c r="A229" s="1">
        <v>43693</v>
      </c>
      <c r="B229">
        <v>22</v>
      </c>
      <c r="C229">
        <v>50</v>
      </c>
    </row>
    <row r="230" spans="1:3" x14ac:dyDescent="0.3">
      <c r="A230" s="1">
        <v>43694</v>
      </c>
      <c r="B230">
        <v>39</v>
      </c>
      <c r="C230">
        <v>63</v>
      </c>
    </row>
    <row r="231" spans="1:3" x14ac:dyDescent="0.3">
      <c r="A231" s="1">
        <v>43695</v>
      </c>
      <c r="B231">
        <v>34</v>
      </c>
      <c r="C231">
        <v>53</v>
      </c>
    </row>
    <row r="232" spans="1:3" x14ac:dyDescent="0.3">
      <c r="A232" s="1">
        <v>43696</v>
      </c>
      <c r="B232">
        <v>36</v>
      </c>
      <c r="C232">
        <v>52</v>
      </c>
    </row>
    <row r="233" spans="1:3" x14ac:dyDescent="0.3">
      <c r="A233" s="1">
        <v>43697</v>
      </c>
      <c r="B233">
        <v>27</v>
      </c>
      <c r="C233">
        <v>47</v>
      </c>
    </row>
    <row r="234" spans="1:3" x14ac:dyDescent="0.3">
      <c r="A234" s="1">
        <v>43698</v>
      </c>
      <c r="B234">
        <v>27</v>
      </c>
      <c r="C234">
        <v>63</v>
      </c>
    </row>
    <row r="235" spans="1:3" x14ac:dyDescent="0.3">
      <c r="A235" s="1">
        <v>43699</v>
      </c>
      <c r="B235">
        <v>26</v>
      </c>
      <c r="C235">
        <v>47</v>
      </c>
    </row>
    <row r="236" spans="1:3" x14ac:dyDescent="0.3">
      <c r="A236" s="1">
        <v>43700</v>
      </c>
      <c r="B236">
        <v>43</v>
      </c>
      <c r="C236">
        <v>48</v>
      </c>
    </row>
    <row r="237" spans="1:3" x14ac:dyDescent="0.3">
      <c r="A237" s="1">
        <v>43701</v>
      </c>
      <c r="B237">
        <v>39</v>
      </c>
      <c r="C237">
        <v>50</v>
      </c>
    </row>
    <row r="238" spans="1:3" x14ac:dyDescent="0.3">
      <c r="A238" s="1">
        <v>43702</v>
      </c>
      <c r="B238">
        <v>38</v>
      </c>
      <c r="C238">
        <v>57</v>
      </c>
    </row>
    <row r="239" spans="1:3" x14ac:dyDescent="0.3">
      <c r="A239" s="1">
        <v>43703</v>
      </c>
      <c r="B239">
        <v>29</v>
      </c>
      <c r="C239">
        <v>54</v>
      </c>
    </row>
    <row r="240" spans="1:3" x14ac:dyDescent="0.3">
      <c r="A240" s="1">
        <v>43704</v>
      </c>
      <c r="B240">
        <v>38</v>
      </c>
      <c r="C240">
        <v>57</v>
      </c>
    </row>
    <row r="241" spans="1:3" x14ac:dyDescent="0.3">
      <c r="A241" s="1">
        <v>43705</v>
      </c>
      <c r="B241">
        <v>34</v>
      </c>
      <c r="C241">
        <v>57</v>
      </c>
    </row>
    <row r="242" spans="1:3" x14ac:dyDescent="0.3">
      <c r="A242" s="1">
        <v>43706</v>
      </c>
      <c r="B242">
        <v>38</v>
      </c>
      <c r="C242">
        <v>59</v>
      </c>
    </row>
    <row r="243" spans="1:3" x14ac:dyDescent="0.3">
      <c r="A243" s="1">
        <v>43707</v>
      </c>
      <c r="B243">
        <v>35</v>
      </c>
      <c r="C243">
        <v>60</v>
      </c>
    </row>
    <row r="244" spans="1:3" x14ac:dyDescent="0.3">
      <c r="A244" s="1">
        <v>43708</v>
      </c>
      <c r="B244">
        <v>24</v>
      </c>
      <c r="C244">
        <v>48</v>
      </c>
    </row>
    <row r="245" spans="1:3" x14ac:dyDescent="0.3">
      <c r="A245" s="1">
        <v>43709</v>
      </c>
      <c r="B245">
        <v>44</v>
      </c>
      <c r="C245">
        <v>43</v>
      </c>
    </row>
    <row r="246" spans="1:3" x14ac:dyDescent="0.3">
      <c r="A246" s="1">
        <v>43710</v>
      </c>
      <c r="B246">
        <v>42</v>
      </c>
      <c r="C246">
        <v>61</v>
      </c>
    </row>
    <row r="247" spans="1:3" x14ac:dyDescent="0.3">
      <c r="A247" s="1">
        <v>43711</v>
      </c>
      <c r="B247">
        <v>37</v>
      </c>
      <c r="C247">
        <v>43</v>
      </c>
    </row>
    <row r="248" spans="1:3" x14ac:dyDescent="0.3">
      <c r="A248" s="1">
        <v>43712</v>
      </c>
      <c r="B248">
        <v>34</v>
      </c>
      <c r="C248">
        <v>52</v>
      </c>
    </row>
    <row r="249" spans="1:3" x14ac:dyDescent="0.3">
      <c r="A249" s="1">
        <v>43713</v>
      </c>
      <c r="B249">
        <v>38</v>
      </c>
      <c r="C249">
        <v>51</v>
      </c>
    </row>
    <row r="250" spans="1:3" x14ac:dyDescent="0.3">
      <c r="A250" s="1">
        <v>43714</v>
      </c>
      <c r="B250">
        <v>34</v>
      </c>
      <c r="C250">
        <v>59</v>
      </c>
    </row>
    <row r="251" spans="1:3" x14ac:dyDescent="0.3">
      <c r="A251" s="1">
        <v>43715</v>
      </c>
      <c r="B251">
        <v>29</v>
      </c>
      <c r="C251">
        <v>47</v>
      </c>
    </row>
    <row r="252" spans="1:3" x14ac:dyDescent="0.3">
      <c r="A252" s="1">
        <v>43716</v>
      </c>
      <c r="B252">
        <v>35</v>
      </c>
      <c r="C252">
        <v>37</v>
      </c>
    </row>
    <row r="253" spans="1:3" x14ac:dyDescent="0.3">
      <c r="A253" s="1">
        <v>43717</v>
      </c>
      <c r="B253">
        <v>25</v>
      </c>
      <c r="C253">
        <v>57</v>
      </c>
    </row>
    <row r="254" spans="1:3" x14ac:dyDescent="0.3">
      <c r="A254" s="1">
        <v>43718</v>
      </c>
      <c r="B254">
        <v>45</v>
      </c>
      <c r="C254">
        <v>44</v>
      </c>
    </row>
    <row r="255" spans="1:3" x14ac:dyDescent="0.3">
      <c r="A255" s="1">
        <v>43719</v>
      </c>
      <c r="B255">
        <v>32</v>
      </c>
      <c r="C255">
        <v>48</v>
      </c>
    </row>
    <row r="256" spans="1:3" x14ac:dyDescent="0.3">
      <c r="A256" s="1">
        <v>43720</v>
      </c>
      <c r="B256">
        <v>30</v>
      </c>
      <c r="C256">
        <v>58</v>
      </c>
    </row>
    <row r="257" spans="1:3" x14ac:dyDescent="0.3">
      <c r="A257" s="1">
        <v>43721</v>
      </c>
      <c r="B257">
        <v>34</v>
      </c>
      <c r="C257">
        <v>56</v>
      </c>
    </row>
    <row r="258" spans="1:3" x14ac:dyDescent="0.3">
      <c r="A258" s="1">
        <v>43722</v>
      </c>
      <c r="B258">
        <v>45</v>
      </c>
      <c r="C258">
        <v>61</v>
      </c>
    </row>
    <row r="259" spans="1:3" x14ac:dyDescent="0.3">
      <c r="A259" s="1">
        <v>43723</v>
      </c>
      <c r="B259">
        <v>30</v>
      </c>
      <c r="C259">
        <v>51</v>
      </c>
    </row>
    <row r="260" spans="1:3" x14ac:dyDescent="0.3">
      <c r="A260" s="1">
        <v>43724</v>
      </c>
      <c r="B260">
        <v>46</v>
      </c>
      <c r="C260">
        <v>54</v>
      </c>
    </row>
    <row r="261" spans="1:3" x14ac:dyDescent="0.3">
      <c r="A261" s="1">
        <v>43725</v>
      </c>
      <c r="B261">
        <v>32</v>
      </c>
      <c r="C261">
        <v>44</v>
      </c>
    </row>
    <row r="262" spans="1:3" x14ac:dyDescent="0.3">
      <c r="A262" s="1">
        <v>43726</v>
      </c>
      <c r="B262">
        <v>24</v>
      </c>
      <c r="C262">
        <v>71</v>
      </c>
    </row>
    <row r="263" spans="1:3" x14ac:dyDescent="0.3">
      <c r="A263" s="1">
        <v>43727</v>
      </c>
      <c r="B263">
        <v>29</v>
      </c>
      <c r="C263">
        <v>58</v>
      </c>
    </row>
    <row r="264" spans="1:3" x14ac:dyDescent="0.3">
      <c r="A264" s="1">
        <v>43728</v>
      </c>
      <c r="B264">
        <v>35</v>
      </c>
      <c r="C264">
        <v>54</v>
      </c>
    </row>
    <row r="265" spans="1:3" x14ac:dyDescent="0.3">
      <c r="A265" s="1">
        <v>43729</v>
      </c>
      <c r="B265">
        <v>33</v>
      </c>
      <c r="C265">
        <v>54</v>
      </c>
    </row>
    <row r="266" spans="1:3" x14ac:dyDescent="0.3">
      <c r="A266" s="1">
        <v>43730</v>
      </c>
      <c r="B266">
        <v>39</v>
      </c>
      <c r="C266">
        <v>50</v>
      </c>
    </row>
    <row r="267" spans="1:3" x14ac:dyDescent="0.3">
      <c r="A267" s="1">
        <v>43731</v>
      </c>
      <c r="B267">
        <v>34</v>
      </c>
      <c r="C267">
        <v>46</v>
      </c>
    </row>
    <row r="268" spans="1:3" x14ac:dyDescent="0.3">
      <c r="A268" s="1">
        <v>43732</v>
      </c>
      <c r="B268">
        <v>36</v>
      </c>
      <c r="C268">
        <v>48</v>
      </c>
    </row>
    <row r="269" spans="1:3" x14ac:dyDescent="0.3">
      <c r="A269" s="1">
        <v>43733</v>
      </c>
      <c r="B269">
        <v>26</v>
      </c>
      <c r="C269">
        <v>38</v>
      </c>
    </row>
    <row r="270" spans="1:3" x14ac:dyDescent="0.3">
      <c r="A270" s="1">
        <v>43734</v>
      </c>
      <c r="B270">
        <v>38</v>
      </c>
      <c r="C270">
        <v>65</v>
      </c>
    </row>
    <row r="271" spans="1:3" x14ac:dyDescent="0.3">
      <c r="A271" s="1">
        <v>43735</v>
      </c>
      <c r="B271">
        <v>25</v>
      </c>
      <c r="C271">
        <v>46</v>
      </c>
    </row>
    <row r="272" spans="1:3" x14ac:dyDescent="0.3">
      <c r="A272" s="1">
        <v>43736</v>
      </c>
      <c r="B272">
        <v>45</v>
      </c>
      <c r="C272">
        <v>55</v>
      </c>
    </row>
    <row r="273" spans="1:3" x14ac:dyDescent="0.3">
      <c r="A273" s="1">
        <v>43737</v>
      </c>
      <c r="B273">
        <v>33</v>
      </c>
      <c r="C273">
        <v>54</v>
      </c>
    </row>
    <row r="274" spans="1:3" x14ac:dyDescent="0.3">
      <c r="A274" s="1">
        <v>43738</v>
      </c>
      <c r="B274">
        <v>31</v>
      </c>
      <c r="C274">
        <v>55</v>
      </c>
    </row>
    <row r="275" spans="1:3" x14ac:dyDescent="0.3">
      <c r="A275" s="1">
        <v>43739</v>
      </c>
      <c r="B275">
        <v>28</v>
      </c>
      <c r="C275">
        <v>56</v>
      </c>
    </row>
    <row r="276" spans="1:3" x14ac:dyDescent="0.3">
      <c r="A276" s="1">
        <v>43740</v>
      </c>
      <c r="B276">
        <v>28</v>
      </c>
      <c r="C276">
        <v>45</v>
      </c>
    </row>
    <row r="277" spans="1:3" x14ac:dyDescent="0.3">
      <c r="A277" s="1">
        <v>43741</v>
      </c>
      <c r="B277">
        <v>28</v>
      </c>
      <c r="C277">
        <v>39</v>
      </c>
    </row>
    <row r="278" spans="1:3" x14ac:dyDescent="0.3">
      <c r="A278" s="1">
        <v>43742</v>
      </c>
      <c r="B278">
        <v>23</v>
      </c>
      <c r="C278">
        <v>58</v>
      </c>
    </row>
    <row r="279" spans="1:3" x14ac:dyDescent="0.3">
      <c r="A279" s="1">
        <v>43743</v>
      </c>
      <c r="B279">
        <v>37</v>
      </c>
      <c r="C279">
        <v>48</v>
      </c>
    </row>
    <row r="280" spans="1:3" x14ac:dyDescent="0.3">
      <c r="A280" s="1">
        <v>43744</v>
      </c>
      <c r="B280">
        <v>35</v>
      </c>
      <c r="C280">
        <v>51</v>
      </c>
    </row>
    <row r="281" spans="1:3" x14ac:dyDescent="0.3">
      <c r="A281" s="1">
        <v>43745</v>
      </c>
      <c r="B281">
        <v>21</v>
      </c>
      <c r="C281">
        <v>57</v>
      </c>
    </row>
    <row r="282" spans="1:3" x14ac:dyDescent="0.3">
      <c r="A282" s="1">
        <v>43746</v>
      </c>
      <c r="B282">
        <v>35</v>
      </c>
      <c r="C282">
        <v>49</v>
      </c>
    </row>
    <row r="283" spans="1:3" x14ac:dyDescent="0.3">
      <c r="A283" s="1">
        <v>43747</v>
      </c>
      <c r="B283">
        <v>36</v>
      </c>
      <c r="C283">
        <v>48</v>
      </c>
    </row>
    <row r="284" spans="1:3" x14ac:dyDescent="0.3">
      <c r="A284" s="1">
        <v>43748</v>
      </c>
      <c r="B284">
        <v>25</v>
      </c>
      <c r="C284">
        <v>51</v>
      </c>
    </row>
    <row r="285" spans="1:3" x14ac:dyDescent="0.3">
      <c r="A285" s="1">
        <v>43749</v>
      </c>
      <c r="B285">
        <v>31</v>
      </c>
      <c r="C285">
        <v>53</v>
      </c>
    </row>
    <row r="286" spans="1:3" x14ac:dyDescent="0.3">
      <c r="A286" s="1">
        <v>43750</v>
      </c>
      <c r="B286">
        <v>37</v>
      </c>
      <c r="C286">
        <v>31</v>
      </c>
    </row>
    <row r="287" spans="1:3" x14ac:dyDescent="0.3">
      <c r="A287" s="1">
        <v>43751</v>
      </c>
      <c r="B287">
        <v>26</v>
      </c>
      <c r="C287">
        <v>55</v>
      </c>
    </row>
    <row r="288" spans="1:3" x14ac:dyDescent="0.3">
      <c r="A288" s="1">
        <v>43752</v>
      </c>
      <c r="B288">
        <v>47</v>
      </c>
      <c r="C288">
        <v>59</v>
      </c>
    </row>
    <row r="289" spans="1:3" x14ac:dyDescent="0.3">
      <c r="A289" s="1">
        <v>43753</v>
      </c>
      <c r="B289">
        <v>34</v>
      </c>
      <c r="C289">
        <v>62</v>
      </c>
    </row>
    <row r="290" spans="1:3" x14ac:dyDescent="0.3">
      <c r="A290" s="1">
        <v>43754</v>
      </c>
      <c r="B290">
        <v>32</v>
      </c>
      <c r="C290">
        <v>61</v>
      </c>
    </row>
    <row r="291" spans="1:3" x14ac:dyDescent="0.3">
      <c r="A291" s="1">
        <v>43755</v>
      </c>
      <c r="B291">
        <v>33</v>
      </c>
      <c r="C291">
        <v>58</v>
      </c>
    </row>
    <row r="292" spans="1:3" x14ac:dyDescent="0.3">
      <c r="A292" s="1">
        <v>43756</v>
      </c>
      <c r="B292">
        <v>35</v>
      </c>
      <c r="C292">
        <v>57</v>
      </c>
    </row>
    <row r="293" spans="1:3" x14ac:dyDescent="0.3">
      <c r="A293" s="1">
        <v>43757</v>
      </c>
      <c r="B293">
        <v>33</v>
      </c>
      <c r="C293">
        <v>52</v>
      </c>
    </row>
    <row r="294" spans="1:3" x14ac:dyDescent="0.3">
      <c r="A294" s="1">
        <v>43758</v>
      </c>
      <c r="B294">
        <v>42</v>
      </c>
      <c r="C294">
        <v>55</v>
      </c>
    </row>
    <row r="295" spans="1:3" x14ac:dyDescent="0.3">
      <c r="A295" s="1">
        <v>43759</v>
      </c>
      <c r="B295">
        <v>36</v>
      </c>
      <c r="C295">
        <v>53</v>
      </c>
    </row>
    <row r="296" spans="1:3" x14ac:dyDescent="0.3">
      <c r="A296" s="1">
        <v>43760</v>
      </c>
      <c r="B296">
        <v>34</v>
      </c>
      <c r="C296">
        <v>51</v>
      </c>
    </row>
    <row r="297" spans="1:3" x14ac:dyDescent="0.3">
      <c r="A297" s="1">
        <v>43761</v>
      </c>
      <c r="B297">
        <v>37</v>
      </c>
      <c r="C297">
        <v>45</v>
      </c>
    </row>
    <row r="298" spans="1:3" x14ac:dyDescent="0.3">
      <c r="A298" s="1">
        <v>43762</v>
      </c>
      <c r="B298">
        <v>36</v>
      </c>
      <c r="C298">
        <v>56</v>
      </c>
    </row>
    <row r="299" spans="1:3" x14ac:dyDescent="0.3">
      <c r="A299" s="1">
        <v>43763</v>
      </c>
      <c r="B299">
        <v>37</v>
      </c>
      <c r="C299">
        <v>45</v>
      </c>
    </row>
    <row r="300" spans="1:3" x14ac:dyDescent="0.3">
      <c r="A300" s="1">
        <v>43764</v>
      </c>
      <c r="B300">
        <v>32</v>
      </c>
      <c r="C300">
        <v>56</v>
      </c>
    </row>
    <row r="301" spans="1:3" x14ac:dyDescent="0.3">
      <c r="A301" s="1">
        <v>43765</v>
      </c>
      <c r="B301">
        <v>34</v>
      </c>
      <c r="C301">
        <v>39</v>
      </c>
    </row>
    <row r="302" spans="1:3" x14ac:dyDescent="0.3">
      <c r="A302" s="1">
        <v>43766</v>
      </c>
      <c r="B302">
        <v>29</v>
      </c>
      <c r="C302">
        <v>49</v>
      </c>
    </row>
    <row r="303" spans="1:3" x14ac:dyDescent="0.3">
      <c r="A303" s="1">
        <v>43767</v>
      </c>
      <c r="B303">
        <v>31</v>
      </c>
      <c r="C303">
        <v>47</v>
      </c>
    </row>
    <row r="304" spans="1:3" x14ac:dyDescent="0.3">
      <c r="A304" s="1">
        <v>43768</v>
      </c>
      <c r="B304">
        <v>29</v>
      </c>
      <c r="C304">
        <v>67</v>
      </c>
    </row>
    <row r="305" spans="1:3" x14ac:dyDescent="0.3">
      <c r="A305" s="1">
        <v>43769</v>
      </c>
      <c r="B305">
        <v>28</v>
      </c>
      <c r="C305">
        <v>38</v>
      </c>
    </row>
    <row r="306" spans="1:3" x14ac:dyDescent="0.3">
      <c r="A306" s="1">
        <v>43770</v>
      </c>
      <c r="B306">
        <v>32</v>
      </c>
      <c r="C306">
        <v>50</v>
      </c>
    </row>
    <row r="307" spans="1:3" x14ac:dyDescent="0.3">
      <c r="A307" s="1">
        <v>43771</v>
      </c>
      <c r="B307">
        <v>30</v>
      </c>
      <c r="C307">
        <v>54</v>
      </c>
    </row>
    <row r="308" spans="1:3" x14ac:dyDescent="0.3">
      <c r="A308" s="1">
        <v>43772</v>
      </c>
      <c r="B308">
        <v>30</v>
      </c>
      <c r="C308">
        <v>42</v>
      </c>
    </row>
    <row r="309" spans="1:3" x14ac:dyDescent="0.3">
      <c r="A309" s="1">
        <v>43773</v>
      </c>
      <c r="B309">
        <v>25</v>
      </c>
      <c r="C309">
        <v>47</v>
      </c>
    </row>
    <row r="310" spans="1:3" x14ac:dyDescent="0.3">
      <c r="A310" s="1">
        <v>43774</v>
      </c>
      <c r="B310">
        <v>48</v>
      </c>
      <c r="C310">
        <v>49</v>
      </c>
    </row>
    <row r="311" spans="1:3" x14ac:dyDescent="0.3">
      <c r="A311" s="1">
        <v>43775</v>
      </c>
      <c r="B311">
        <v>26</v>
      </c>
      <c r="C311">
        <v>49</v>
      </c>
    </row>
    <row r="312" spans="1:3" x14ac:dyDescent="0.3">
      <c r="A312" s="1">
        <v>43776</v>
      </c>
      <c r="B312">
        <v>39</v>
      </c>
      <c r="C312">
        <v>50</v>
      </c>
    </row>
    <row r="313" spans="1:3" x14ac:dyDescent="0.3">
      <c r="A313" s="1">
        <v>43777</v>
      </c>
      <c r="B313">
        <v>35</v>
      </c>
      <c r="C313">
        <v>52</v>
      </c>
    </row>
    <row r="314" spans="1:3" x14ac:dyDescent="0.3">
      <c r="A314" s="1">
        <v>43778</v>
      </c>
      <c r="B314">
        <v>36</v>
      </c>
      <c r="C314">
        <v>47</v>
      </c>
    </row>
    <row r="315" spans="1:3" x14ac:dyDescent="0.3">
      <c r="A315" s="1">
        <v>43779</v>
      </c>
      <c r="B315">
        <v>28</v>
      </c>
      <c r="C315">
        <v>43</v>
      </c>
    </row>
    <row r="316" spans="1:3" x14ac:dyDescent="0.3">
      <c r="A316" s="1">
        <v>43780</v>
      </c>
      <c r="B316">
        <v>28</v>
      </c>
      <c r="C316">
        <v>54</v>
      </c>
    </row>
    <row r="317" spans="1:3" x14ac:dyDescent="0.3">
      <c r="A317" s="1">
        <v>43781</v>
      </c>
      <c r="B317">
        <v>26</v>
      </c>
      <c r="C317">
        <v>64</v>
      </c>
    </row>
    <row r="318" spans="1:3" x14ac:dyDescent="0.3">
      <c r="A318" s="1">
        <v>43782</v>
      </c>
      <c r="B318">
        <v>38</v>
      </c>
      <c r="C318">
        <v>50</v>
      </c>
    </row>
    <row r="319" spans="1:3" x14ac:dyDescent="0.3">
      <c r="A319" s="1">
        <v>43783</v>
      </c>
      <c r="B319">
        <v>29</v>
      </c>
      <c r="C319">
        <v>41</v>
      </c>
    </row>
    <row r="320" spans="1:3" x14ac:dyDescent="0.3">
      <c r="A320" s="1">
        <v>43784</v>
      </c>
      <c r="B320">
        <v>18</v>
      </c>
      <c r="C320">
        <v>37</v>
      </c>
    </row>
    <row r="321" spans="1:3" x14ac:dyDescent="0.3">
      <c r="A321" s="1">
        <v>43785</v>
      </c>
      <c r="B321">
        <v>29</v>
      </c>
      <c r="C321">
        <v>44</v>
      </c>
    </row>
    <row r="322" spans="1:3" x14ac:dyDescent="0.3">
      <c r="A322" s="1">
        <v>43786</v>
      </c>
      <c r="B322">
        <v>34</v>
      </c>
      <c r="C322">
        <v>51</v>
      </c>
    </row>
    <row r="323" spans="1:3" x14ac:dyDescent="0.3">
      <c r="A323" s="1">
        <v>43787</v>
      </c>
      <c r="B323">
        <v>35</v>
      </c>
      <c r="C323">
        <v>32</v>
      </c>
    </row>
    <row r="324" spans="1:3" x14ac:dyDescent="0.3">
      <c r="A324" s="1">
        <v>43788</v>
      </c>
      <c r="B324">
        <v>29</v>
      </c>
      <c r="C324">
        <v>40</v>
      </c>
    </row>
    <row r="325" spans="1:3" x14ac:dyDescent="0.3">
      <c r="A325" s="1">
        <v>43789</v>
      </c>
      <c r="B325">
        <v>26</v>
      </c>
      <c r="C325">
        <v>52</v>
      </c>
    </row>
    <row r="326" spans="1:3" x14ac:dyDescent="0.3">
      <c r="A326" s="1">
        <v>43790</v>
      </c>
      <c r="B326">
        <v>28</v>
      </c>
      <c r="C326">
        <v>38</v>
      </c>
    </row>
    <row r="327" spans="1:3" x14ac:dyDescent="0.3">
      <c r="A327" s="1">
        <v>43791</v>
      </c>
      <c r="B327">
        <v>26</v>
      </c>
      <c r="C327">
        <v>35</v>
      </c>
    </row>
    <row r="328" spans="1:3" x14ac:dyDescent="0.3">
      <c r="A328" s="1">
        <v>43792</v>
      </c>
      <c r="B328">
        <v>27</v>
      </c>
      <c r="C328">
        <v>53</v>
      </c>
    </row>
    <row r="329" spans="1:3" x14ac:dyDescent="0.3">
      <c r="A329" s="1">
        <v>43793</v>
      </c>
      <c r="B329">
        <v>26</v>
      </c>
      <c r="C329">
        <v>49</v>
      </c>
    </row>
    <row r="330" spans="1:3" x14ac:dyDescent="0.3">
      <c r="A330" s="1">
        <v>43794</v>
      </c>
      <c r="B330">
        <v>26</v>
      </c>
      <c r="C330">
        <v>38</v>
      </c>
    </row>
    <row r="331" spans="1:3" x14ac:dyDescent="0.3">
      <c r="A331" s="1">
        <v>43795</v>
      </c>
      <c r="B331">
        <v>37</v>
      </c>
      <c r="C331">
        <v>48</v>
      </c>
    </row>
    <row r="332" spans="1:3" x14ac:dyDescent="0.3">
      <c r="A332" s="1">
        <v>43796</v>
      </c>
      <c r="B332">
        <v>28</v>
      </c>
      <c r="C332">
        <v>50</v>
      </c>
    </row>
    <row r="333" spans="1:3" x14ac:dyDescent="0.3">
      <c r="A333" s="1">
        <v>43797</v>
      </c>
      <c r="B333">
        <v>20</v>
      </c>
      <c r="C333">
        <v>56</v>
      </c>
    </row>
    <row r="334" spans="1:3" x14ac:dyDescent="0.3">
      <c r="A334" s="1">
        <v>43798</v>
      </c>
      <c r="B334">
        <v>27</v>
      </c>
      <c r="C334">
        <v>48</v>
      </c>
    </row>
    <row r="335" spans="1:3" x14ac:dyDescent="0.3">
      <c r="A335" s="1">
        <v>43799</v>
      </c>
      <c r="B335">
        <v>29</v>
      </c>
      <c r="C335">
        <v>51</v>
      </c>
    </row>
    <row r="336" spans="1:3" x14ac:dyDescent="0.3">
      <c r="A336" s="1">
        <v>43800</v>
      </c>
      <c r="B336">
        <v>37</v>
      </c>
      <c r="C336">
        <v>37</v>
      </c>
    </row>
    <row r="337" spans="1:3" x14ac:dyDescent="0.3">
      <c r="A337" s="1">
        <v>43801</v>
      </c>
      <c r="B337">
        <v>26</v>
      </c>
      <c r="C337">
        <v>51</v>
      </c>
    </row>
    <row r="338" spans="1:3" x14ac:dyDescent="0.3">
      <c r="A338" s="1">
        <v>43802</v>
      </c>
      <c r="B338">
        <v>31</v>
      </c>
      <c r="C338">
        <v>48</v>
      </c>
    </row>
    <row r="339" spans="1:3" x14ac:dyDescent="0.3">
      <c r="A339" s="1">
        <v>43803</v>
      </c>
      <c r="B339">
        <v>26</v>
      </c>
      <c r="C339">
        <v>49</v>
      </c>
    </row>
    <row r="340" spans="1:3" x14ac:dyDescent="0.3">
      <c r="A340" s="1">
        <v>43804</v>
      </c>
      <c r="B340">
        <v>22</v>
      </c>
      <c r="C340">
        <v>46</v>
      </c>
    </row>
    <row r="341" spans="1:3" x14ac:dyDescent="0.3">
      <c r="A341" s="1">
        <v>43805</v>
      </c>
      <c r="B341">
        <v>21</v>
      </c>
      <c r="C341">
        <v>26</v>
      </c>
    </row>
    <row r="342" spans="1:3" x14ac:dyDescent="0.3">
      <c r="A342" s="1">
        <v>43806</v>
      </c>
      <c r="B342">
        <v>30</v>
      </c>
      <c r="C342">
        <v>46</v>
      </c>
    </row>
    <row r="343" spans="1:3" x14ac:dyDescent="0.3">
      <c r="A343" s="1">
        <v>43807</v>
      </c>
      <c r="B343">
        <v>27</v>
      </c>
      <c r="C343">
        <v>55</v>
      </c>
    </row>
    <row r="344" spans="1:3" x14ac:dyDescent="0.3">
      <c r="A344" s="1">
        <v>43808</v>
      </c>
      <c r="B344">
        <v>31</v>
      </c>
      <c r="C344">
        <v>42</v>
      </c>
    </row>
    <row r="345" spans="1:3" x14ac:dyDescent="0.3">
      <c r="A345" s="1">
        <v>43809</v>
      </c>
      <c r="B345">
        <v>27</v>
      </c>
      <c r="C345">
        <v>38</v>
      </c>
    </row>
    <row r="346" spans="1:3" x14ac:dyDescent="0.3">
      <c r="A346" s="1">
        <v>43810</v>
      </c>
      <c r="B346">
        <v>26</v>
      </c>
      <c r="C346">
        <v>39</v>
      </c>
    </row>
    <row r="347" spans="1:3" x14ac:dyDescent="0.3">
      <c r="A347" s="1">
        <v>43811</v>
      </c>
      <c r="B347">
        <v>28</v>
      </c>
      <c r="C347">
        <v>53</v>
      </c>
    </row>
    <row r="348" spans="1:3" x14ac:dyDescent="0.3">
      <c r="A348" s="1">
        <v>43812</v>
      </c>
      <c r="B348">
        <v>28</v>
      </c>
      <c r="C348">
        <v>54</v>
      </c>
    </row>
    <row r="349" spans="1:3" x14ac:dyDescent="0.3">
      <c r="A349" s="1">
        <v>43813</v>
      </c>
      <c r="B349">
        <v>27</v>
      </c>
      <c r="C349">
        <v>59</v>
      </c>
    </row>
    <row r="350" spans="1:3" x14ac:dyDescent="0.3">
      <c r="A350" s="1">
        <v>43814</v>
      </c>
      <c r="B350">
        <v>31</v>
      </c>
      <c r="C350">
        <v>58</v>
      </c>
    </row>
    <row r="351" spans="1:3" x14ac:dyDescent="0.3">
      <c r="A351" s="1">
        <v>43815</v>
      </c>
      <c r="B351">
        <v>29</v>
      </c>
      <c r="C351">
        <v>35</v>
      </c>
    </row>
    <row r="352" spans="1:3" x14ac:dyDescent="0.3">
      <c r="A352" s="1">
        <v>43816</v>
      </c>
      <c r="B352">
        <v>29</v>
      </c>
      <c r="C352">
        <v>51</v>
      </c>
    </row>
    <row r="353" spans="1:3" x14ac:dyDescent="0.3">
      <c r="A353" s="1">
        <v>43817</v>
      </c>
      <c r="B353">
        <v>28</v>
      </c>
      <c r="C353">
        <v>40</v>
      </c>
    </row>
    <row r="354" spans="1:3" x14ac:dyDescent="0.3">
      <c r="A354" s="1">
        <v>43818</v>
      </c>
      <c r="B354">
        <v>22</v>
      </c>
      <c r="C354">
        <v>45</v>
      </c>
    </row>
    <row r="355" spans="1:3" x14ac:dyDescent="0.3">
      <c r="A355" s="1">
        <v>43819</v>
      </c>
      <c r="B355">
        <v>22</v>
      </c>
      <c r="C355">
        <v>53</v>
      </c>
    </row>
    <row r="356" spans="1:3" x14ac:dyDescent="0.3">
      <c r="A356" s="1">
        <v>43820</v>
      </c>
      <c r="B356">
        <v>38</v>
      </c>
      <c r="C356">
        <v>41</v>
      </c>
    </row>
    <row r="357" spans="1:3" x14ac:dyDescent="0.3">
      <c r="A357" s="1">
        <v>43821</v>
      </c>
      <c r="B357">
        <v>31</v>
      </c>
      <c r="C357">
        <v>48</v>
      </c>
    </row>
    <row r="358" spans="1:3" x14ac:dyDescent="0.3">
      <c r="A358" s="1">
        <v>43822</v>
      </c>
      <c r="B358">
        <v>35</v>
      </c>
      <c r="C358">
        <v>52</v>
      </c>
    </row>
    <row r="359" spans="1:3" x14ac:dyDescent="0.3">
      <c r="A359" s="1">
        <v>43823</v>
      </c>
      <c r="B359">
        <v>42</v>
      </c>
      <c r="C359">
        <v>54</v>
      </c>
    </row>
    <row r="360" spans="1:3" x14ac:dyDescent="0.3">
      <c r="A360" s="1">
        <v>43824</v>
      </c>
      <c r="B360">
        <v>38</v>
      </c>
      <c r="C360">
        <v>57</v>
      </c>
    </row>
    <row r="361" spans="1:3" x14ac:dyDescent="0.3">
      <c r="A361" s="1">
        <v>43825</v>
      </c>
      <c r="B361">
        <v>36</v>
      </c>
      <c r="C361">
        <v>58</v>
      </c>
    </row>
    <row r="362" spans="1:3" x14ac:dyDescent="0.3">
      <c r="A362" s="1">
        <v>43826</v>
      </c>
      <c r="B362">
        <v>23</v>
      </c>
      <c r="C362">
        <v>41</v>
      </c>
    </row>
    <row r="363" spans="1:3" x14ac:dyDescent="0.3">
      <c r="A363" s="1">
        <v>43827</v>
      </c>
      <c r="B363">
        <v>39</v>
      </c>
      <c r="C363">
        <v>53</v>
      </c>
    </row>
    <row r="364" spans="1:3" x14ac:dyDescent="0.3">
      <c r="A364" s="1">
        <v>43828</v>
      </c>
      <c r="B364">
        <v>33</v>
      </c>
      <c r="C364">
        <v>40</v>
      </c>
    </row>
    <row r="365" spans="1:3" x14ac:dyDescent="0.3">
      <c r="A365" s="1">
        <v>43829</v>
      </c>
      <c r="B365">
        <v>34</v>
      </c>
      <c r="C365">
        <v>47</v>
      </c>
    </row>
    <row r="366" spans="1:3" x14ac:dyDescent="0.3">
      <c r="A366" s="1">
        <v>43830</v>
      </c>
      <c r="B366">
        <v>28</v>
      </c>
      <c r="C366">
        <v>51</v>
      </c>
    </row>
    <row r="367" spans="1:3" x14ac:dyDescent="0.3">
      <c r="A367" s="1">
        <v>43831</v>
      </c>
      <c r="B367">
        <v>26</v>
      </c>
      <c r="C367">
        <v>63</v>
      </c>
    </row>
    <row r="368" spans="1:3" x14ac:dyDescent="0.3">
      <c r="A368" s="1">
        <v>43832</v>
      </c>
      <c r="B368">
        <v>38</v>
      </c>
      <c r="C368">
        <v>47</v>
      </c>
    </row>
    <row r="369" spans="1:3" x14ac:dyDescent="0.3">
      <c r="A369" s="1">
        <v>43833</v>
      </c>
      <c r="B369">
        <v>29</v>
      </c>
      <c r="C369">
        <v>59</v>
      </c>
    </row>
    <row r="370" spans="1:3" x14ac:dyDescent="0.3">
      <c r="A370" s="1">
        <v>43834</v>
      </c>
      <c r="B370">
        <v>25</v>
      </c>
      <c r="C370">
        <v>42</v>
      </c>
    </row>
    <row r="371" spans="1:3" x14ac:dyDescent="0.3">
      <c r="A371" s="1">
        <v>43835</v>
      </c>
      <c r="B371">
        <v>40</v>
      </c>
      <c r="C371">
        <v>52</v>
      </c>
    </row>
    <row r="372" spans="1:3" x14ac:dyDescent="0.3">
      <c r="A372" s="1">
        <v>43836</v>
      </c>
      <c r="B372">
        <v>33</v>
      </c>
      <c r="C372">
        <v>53</v>
      </c>
    </row>
    <row r="373" spans="1:3" x14ac:dyDescent="0.3">
      <c r="A373" s="1">
        <v>43837</v>
      </c>
      <c r="B373">
        <v>22</v>
      </c>
      <c r="C373">
        <v>44</v>
      </c>
    </row>
    <row r="374" spans="1:3" x14ac:dyDescent="0.3">
      <c r="A374" s="1">
        <v>43838</v>
      </c>
      <c r="B374">
        <v>22</v>
      </c>
      <c r="C374">
        <v>36</v>
      </c>
    </row>
    <row r="375" spans="1:3" x14ac:dyDescent="0.3">
      <c r="A375" s="1">
        <v>43839</v>
      </c>
      <c r="B375">
        <v>30</v>
      </c>
      <c r="C375">
        <v>47</v>
      </c>
    </row>
    <row r="376" spans="1:3" x14ac:dyDescent="0.3">
      <c r="A376" s="1">
        <v>43840</v>
      </c>
      <c r="B376">
        <v>29</v>
      </c>
      <c r="C376">
        <v>51</v>
      </c>
    </row>
    <row r="377" spans="1:3" x14ac:dyDescent="0.3">
      <c r="A377" s="1">
        <v>43841</v>
      </c>
      <c r="B377">
        <v>37</v>
      </c>
      <c r="C377">
        <v>56</v>
      </c>
    </row>
    <row r="378" spans="1:3" x14ac:dyDescent="0.3">
      <c r="A378" s="1">
        <v>43842</v>
      </c>
      <c r="B378">
        <v>26</v>
      </c>
      <c r="C378">
        <v>40</v>
      </c>
    </row>
    <row r="379" spans="1:3" x14ac:dyDescent="0.3">
      <c r="A379" s="1">
        <v>43843</v>
      </c>
      <c r="B379">
        <v>35</v>
      </c>
      <c r="C379">
        <v>38</v>
      </c>
    </row>
    <row r="380" spans="1:3" x14ac:dyDescent="0.3">
      <c r="A380" s="1">
        <v>43844</v>
      </c>
      <c r="B380">
        <v>44</v>
      </c>
      <c r="C380">
        <v>45</v>
      </c>
    </row>
    <row r="381" spans="1:3" x14ac:dyDescent="0.3">
      <c r="A381" s="1">
        <v>43845</v>
      </c>
      <c r="B381">
        <v>32</v>
      </c>
      <c r="C381">
        <v>44</v>
      </c>
    </row>
    <row r="382" spans="1:3" x14ac:dyDescent="0.3">
      <c r="A382" s="1">
        <v>43846</v>
      </c>
      <c r="B382">
        <v>24</v>
      </c>
      <c r="C382">
        <v>42</v>
      </c>
    </row>
    <row r="383" spans="1:3" x14ac:dyDescent="0.3">
      <c r="A383" s="1">
        <v>43847</v>
      </c>
      <c r="B383">
        <v>33</v>
      </c>
      <c r="C383">
        <v>46</v>
      </c>
    </row>
    <row r="384" spans="1:3" x14ac:dyDescent="0.3">
      <c r="A384" s="1">
        <v>43848</v>
      </c>
      <c r="B384">
        <v>33</v>
      </c>
      <c r="C384">
        <v>49</v>
      </c>
    </row>
    <row r="385" spans="1:3" x14ac:dyDescent="0.3">
      <c r="A385" s="1">
        <v>43849</v>
      </c>
      <c r="B385">
        <v>37</v>
      </c>
      <c r="C385">
        <v>55</v>
      </c>
    </row>
    <row r="386" spans="1:3" x14ac:dyDescent="0.3">
      <c r="A386" s="1">
        <v>43850</v>
      </c>
      <c r="B386">
        <v>35</v>
      </c>
      <c r="C386">
        <v>47</v>
      </c>
    </row>
    <row r="387" spans="1:3" x14ac:dyDescent="0.3">
      <c r="A387" s="1">
        <v>43851</v>
      </c>
      <c r="B387">
        <v>38</v>
      </c>
      <c r="C387">
        <v>41</v>
      </c>
    </row>
    <row r="388" spans="1:3" x14ac:dyDescent="0.3">
      <c r="A388" s="1">
        <v>43852</v>
      </c>
      <c r="B388">
        <v>32</v>
      </c>
      <c r="C388">
        <v>48</v>
      </c>
    </row>
    <row r="389" spans="1:3" x14ac:dyDescent="0.3">
      <c r="A389" s="1">
        <v>43853</v>
      </c>
      <c r="B389">
        <v>27</v>
      </c>
      <c r="C389">
        <v>42</v>
      </c>
    </row>
    <row r="390" spans="1:3" x14ac:dyDescent="0.3">
      <c r="A390" s="1">
        <v>43854</v>
      </c>
      <c r="B390">
        <v>37</v>
      </c>
      <c r="C390">
        <v>49</v>
      </c>
    </row>
    <row r="391" spans="1:3" x14ac:dyDescent="0.3">
      <c r="A391" s="1">
        <v>43855</v>
      </c>
      <c r="B391">
        <v>40</v>
      </c>
      <c r="C391">
        <v>48</v>
      </c>
    </row>
    <row r="392" spans="1:3" x14ac:dyDescent="0.3">
      <c r="A392" s="1">
        <v>43856</v>
      </c>
      <c r="B392">
        <v>30</v>
      </c>
      <c r="C392">
        <v>53</v>
      </c>
    </row>
    <row r="393" spans="1:3" x14ac:dyDescent="0.3">
      <c r="A393" s="1">
        <v>43857</v>
      </c>
      <c r="B393">
        <v>23</v>
      </c>
      <c r="C393">
        <v>44</v>
      </c>
    </row>
    <row r="394" spans="1:3" x14ac:dyDescent="0.3">
      <c r="A394" s="1">
        <v>43858</v>
      </c>
      <c r="B394">
        <v>36</v>
      </c>
      <c r="C394">
        <v>41</v>
      </c>
    </row>
    <row r="395" spans="1:3" x14ac:dyDescent="0.3">
      <c r="A395" s="1">
        <v>43859</v>
      </c>
      <c r="B395">
        <v>39</v>
      </c>
      <c r="C395">
        <v>37</v>
      </c>
    </row>
    <row r="396" spans="1:3" x14ac:dyDescent="0.3">
      <c r="A396" s="1">
        <v>43860</v>
      </c>
      <c r="B396">
        <v>32</v>
      </c>
      <c r="C396">
        <v>58</v>
      </c>
    </row>
    <row r="397" spans="1:3" x14ac:dyDescent="0.3">
      <c r="A397" s="1">
        <v>43861</v>
      </c>
      <c r="B397">
        <v>37</v>
      </c>
      <c r="C397">
        <v>57</v>
      </c>
    </row>
    <row r="398" spans="1:3" x14ac:dyDescent="0.3">
      <c r="A398" s="1">
        <v>43862</v>
      </c>
      <c r="B398">
        <v>30</v>
      </c>
      <c r="C398">
        <v>50</v>
      </c>
    </row>
    <row r="399" spans="1:3" x14ac:dyDescent="0.3">
      <c r="A399" s="1">
        <v>43863</v>
      </c>
      <c r="B399">
        <v>26</v>
      </c>
      <c r="C399">
        <v>52</v>
      </c>
    </row>
    <row r="400" spans="1:3" x14ac:dyDescent="0.3">
      <c r="A400" s="1">
        <v>43864</v>
      </c>
      <c r="B400">
        <v>28</v>
      </c>
      <c r="C400">
        <v>54</v>
      </c>
    </row>
    <row r="401" spans="1:3" x14ac:dyDescent="0.3">
      <c r="A401" s="1">
        <v>43865</v>
      </c>
      <c r="B401">
        <v>33</v>
      </c>
      <c r="C401">
        <v>46</v>
      </c>
    </row>
    <row r="402" spans="1:3" x14ac:dyDescent="0.3">
      <c r="A402" s="1">
        <v>43866</v>
      </c>
      <c r="B402">
        <v>42</v>
      </c>
      <c r="C402">
        <v>50</v>
      </c>
    </row>
    <row r="403" spans="1:3" x14ac:dyDescent="0.3">
      <c r="A403" s="1">
        <v>43867</v>
      </c>
      <c r="B403">
        <v>31</v>
      </c>
      <c r="C403">
        <v>48</v>
      </c>
    </row>
    <row r="404" spans="1:3" x14ac:dyDescent="0.3">
      <c r="A404" s="1">
        <v>43868</v>
      </c>
      <c r="B404">
        <v>38</v>
      </c>
      <c r="C404">
        <v>52</v>
      </c>
    </row>
    <row r="405" spans="1:3" x14ac:dyDescent="0.3">
      <c r="A405" s="1">
        <v>43869</v>
      </c>
      <c r="B405">
        <v>26</v>
      </c>
      <c r="C405">
        <v>55</v>
      </c>
    </row>
    <row r="406" spans="1:3" x14ac:dyDescent="0.3">
      <c r="A406" s="1">
        <v>43870</v>
      </c>
      <c r="B406">
        <v>29</v>
      </c>
      <c r="C406">
        <v>43</v>
      </c>
    </row>
    <row r="407" spans="1:3" x14ac:dyDescent="0.3">
      <c r="A407" s="1">
        <v>43871</v>
      </c>
      <c r="B407">
        <v>31</v>
      </c>
      <c r="C407">
        <v>45</v>
      </c>
    </row>
    <row r="408" spans="1:3" x14ac:dyDescent="0.3">
      <c r="A408" s="1">
        <v>43872</v>
      </c>
      <c r="B408">
        <v>31</v>
      </c>
      <c r="C408">
        <v>45</v>
      </c>
    </row>
    <row r="409" spans="1:3" x14ac:dyDescent="0.3">
      <c r="A409" s="1">
        <v>43873</v>
      </c>
      <c r="B409">
        <v>36</v>
      </c>
      <c r="C409">
        <v>48</v>
      </c>
    </row>
    <row r="410" spans="1:3" x14ac:dyDescent="0.3">
      <c r="A410" s="1">
        <v>43874</v>
      </c>
      <c r="B410">
        <v>33</v>
      </c>
      <c r="C410">
        <v>28</v>
      </c>
    </row>
    <row r="411" spans="1:3" x14ac:dyDescent="0.3">
      <c r="A411" s="1">
        <v>43875</v>
      </c>
      <c r="B411">
        <v>26</v>
      </c>
      <c r="C411">
        <v>45</v>
      </c>
    </row>
    <row r="412" spans="1:3" x14ac:dyDescent="0.3">
      <c r="A412" s="1">
        <v>43876</v>
      </c>
      <c r="B412">
        <v>31</v>
      </c>
      <c r="C412">
        <v>46</v>
      </c>
    </row>
    <row r="413" spans="1:3" x14ac:dyDescent="0.3">
      <c r="A413" s="1">
        <v>43877</v>
      </c>
      <c r="B413">
        <v>35</v>
      </c>
      <c r="C413">
        <v>45</v>
      </c>
    </row>
    <row r="414" spans="1:3" x14ac:dyDescent="0.3">
      <c r="A414" s="1">
        <v>43878</v>
      </c>
      <c r="B414">
        <v>46</v>
      </c>
      <c r="C414">
        <v>62</v>
      </c>
    </row>
    <row r="415" spans="1:3" x14ac:dyDescent="0.3">
      <c r="A415" s="1">
        <v>43879</v>
      </c>
      <c r="B415">
        <v>40</v>
      </c>
      <c r="C415">
        <v>46</v>
      </c>
    </row>
    <row r="416" spans="1:3" x14ac:dyDescent="0.3">
      <c r="A416" s="1">
        <v>43880</v>
      </c>
      <c r="B416">
        <v>30</v>
      </c>
      <c r="C416">
        <v>60</v>
      </c>
    </row>
    <row r="417" spans="1:3" x14ac:dyDescent="0.3">
      <c r="A417" s="1">
        <v>43881</v>
      </c>
      <c r="B417">
        <v>43</v>
      </c>
      <c r="C417">
        <v>58</v>
      </c>
    </row>
    <row r="418" spans="1:3" x14ac:dyDescent="0.3">
      <c r="A418" s="1">
        <v>43882</v>
      </c>
      <c r="B418">
        <v>34</v>
      </c>
      <c r="C418">
        <v>34</v>
      </c>
    </row>
    <row r="419" spans="1:3" x14ac:dyDescent="0.3">
      <c r="A419" s="1">
        <v>43883</v>
      </c>
      <c r="B419">
        <v>30</v>
      </c>
      <c r="C419">
        <v>49</v>
      </c>
    </row>
    <row r="420" spans="1:3" x14ac:dyDescent="0.3">
      <c r="A420" s="1">
        <v>43884</v>
      </c>
      <c r="B420">
        <v>28</v>
      </c>
      <c r="C420">
        <v>51</v>
      </c>
    </row>
    <row r="421" spans="1:3" x14ac:dyDescent="0.3">
      <c r="A421" s="1">
        <v>43885</v>
      </c>
      <c r="B421">
        <v>35</v>
      </c>
      <c r="C421">
        <v>45</v>
      </c>
    </row>
    <row r="422" spans="1:3" x14ac:dyDescent="0.3">
      <c r="A422" s="1">
        <v>43886</v>
      </c>
      <c r="B422">
        <v>48</v>
      </c>
      <c r="C422">
        <v>54</v>
      </c>
    </row>
    <row r="423" spans="1:3" x14ac:dyDescent="0.3">
      <c r="A423" s="1">
        <v>43887</v>
      </c>
      <c r="B423">
        <v>31</v>
      </c>
      <c r="C423">
        <v>55</v>
      </c>
    </row>
    <row r="424" spans="1:3" x14ac:dyDescent="0.3">
      <c r="A424" s="1">
        <v>43888</v>
      </c>
      <c r="B424">
        <v>20</v>
      </c>
      <c r="C424">
        <v>38</v>
      </c>
    </row>
    <row r="425" spans="1:3" x14ac:dyDescent="0.3">
      <c r="A425" s="1">
        <v>43889</v>
      </c>
      <c r="B425">
        <v>28</v>
      </c>
      <c r="C425">
        <v>60</v>
      </c>
    </row>
    <row r="426" spans="1:3" x14ac:dyDescent="0.3">
      <c r="A426" s="1">
        <v>43890</v>
      </c>
      <c r="B426">
        <v>33</v>
      </c>
      <c r="C426">
        <v>48</v>
      </c>
    </row>
    <row r="427" spans="1:3" x14ac:dyDescent="0.3">
      <c r="A427" s="1">
        <v>43891</v>
      </c>
      <c r="B427">
        <v>33</v>
      </c>
      <c r="C427">
        <v>45</v>
      </c>
    </row>
    <row r="428" spans="1:3" x14ac:dyDescent="0.3">
      <c r="A428" s="1">
        <v>43892</v>
      </c>
      <c r="B428">
        <v>35</v>
      </c>
      <c r="C428">
        <v>57</v>
      </c>
    </row>
    <row r="429" spans="1:3" x14ac:dyDescent="0.3">
      <c r="A429" s="1">
        <v>43893</v>
      </c>
      <c r="B429">
        <v>31</v>
      </c>
      <c r="C429">
        <v>50</v>
      </c>
    </row>
    <row r="430" spans="1:3" x14ac:dyDescent="0.3">
      <c r="A430" s="1">
        <v>43894</v>
      </c>
      <c r="B430">
        <v>24</v>
      </c>
      <c r="C430">
        <v>40</v>
      </c>
    </row>
    <row r="431" spans="1:3" x14ac:dyDescent="0.3">
      <c r="A431" s="1">
        <v>43895</v>
      </c>
      <c r="B431">
        <v>26</v>
      </c>
      <c r="C431">
        <v>42</v>
      </c>
    </row>
    <row r="432" spans="1:3" x14ac:dyDescent="0.3">
      <c r="A432" s="1">
        <v>43896</v>
      </c>
      <c r="B432">
        <v>31</v>
      </c>
      <c r="C432">
        <v>46</v>
      </c>
    </row>
    <row r="433" spans="1:3" x14ac:dyDescent="0.3">
      <c r="A433" s="1">
        <v>43897</v>
      </c>
      <c r="B433">
        <v>36</v>
      </c>
      <c r="C433">
        <v>49</v>
      </c>
    </row>
    <row r="434" spans="1:3" x14ac:dyDescent="0.3">
      <c r="A434" s="1">
        <v>43898</v>
      </c>
      <c r="B434">
        <v>33</v>
      </c>
      <c r="C434">
        <v>65</v>
      </c>
    </row>
    <row r="435" spans="1:3" x14ac:dyDescent="0.3">
      <c r="A435" s="1">
        <v>43899</v>
      </c>
      <c r="B435">
        <v>28</v>
      </c>
      <c r="C435">
        <v>36</v>
      </c>
    </row>
    <row r="436" spans="1:3" x14ac:dyDescent="0.3">
      <c r="A436" s="1">
        <v>43900</v>
      </c>
      <c r="B436">
        <v>24</v>
      </c>
      <c r="C436">
        <v>54</v>
      </c>
    </row>
    <row r="437" spans="1:3" x14ac:dyDescent="0.3">
      <c r="A437" s="1">
        <v>43901</v>
      </c>
      <c r="B437">
        <v>34</v>
      </c>
      <c r="C437">
        <v>37</v>
      </c>
    </row>
    <row r="438" spans="1:3" x14ac:dyDescent="0.3">
      <c r="A438" s="1">
        <v>43902</v>
      </c>
      <c r="B438">
        <v>23</v>
      </c>
      <c r="C438">
        <v>48</v>
      </c>
    </row>
    <row r="439" spans="1:3" x14ac:dyDescent="0.3">
      <c r="A439" s="1">
        <v>43903</v>
      </c>
      <c r="B439">
        <v>35</v>
      </c>
      <c r="C439">
        <v>55</v>
      </c>
    </row>
    <row r="440" spans="1:3" x14ac:dyDescent="0.3">
      <c r="A440" s="1">
        <v>43904</v>
      </c>
      <c r="B440">
        <v>35</v>
      </c>
      <c r="C440">
        <v>67</v>
      </c>
    </row>
    <row r="441" spans="1:3" x14ac:dyDescent="0.3">
      <c r="A441" s="1">
        <v>43905</v>
      </c>
      <c r="B441">
        <v>28</v>
      </c>
      <c r="C441">
        <v>35</v>
      </c>
    </row>
    <row r="442" spans="1:3" x14ac:dyDescent="0.3">
      <c r="A442" s="1">
        <v>43906</v>
      </c>
      <c r="B442">
        <v>26</v>
      </c>
      <c r="C442">
        <v>35</v>
      </c>
    </row>
    <row r="443" spans="1:3" x14ac:dyDescent="0.3">
      <c r="A443" s="1">
        <v>43907</v>
      </c>
      <c r="B443">
        <v>27</v>
      </c>
      <c r="C443">
        <v>48</v>
      </c>
    </row>
    <row r="444" spans="1:3" x14ac:dyDescent="0.3">
      <c r="A444" s="1">
        <v>43908</v>
      </c>
      <c r="B444">
        <v>40</v>
      </c>
      <c r="C444">
        <v>46</v>
      </c>
    </row>
    <row r="445" spans="1:3" x14ac:dyDescent="0.3">
      <c r="A445" s="1">
        <v>43909</v>
      </c>
      <c r="B445">
        <v>33</v>
      </c>
      <c r="C445">
        <v>44</v>
      </c>
    </row>
    <row r="446" spans="1:3" x14ac:dyDescent="0.3">
      <c r="A446" s="1">
        <v>43910</v>
      </c>
      <c r="B446">
        <v>30</v>
      </c>
      <c r="C446">
        <v>53</v>
      </c>
    </row>
    <row r="447" spans="1:3" x14ac:dyDescent="0.3">
      <c r="A447" s="1">
        <v>43911</v>
      </c>
      <c r="B447">
        <v>20</v>
      </c>
      <c r="C447">
        <v>53</v>
      </c>
    </row>
    <row r="448" spans="1:3" x14ac:dyDescent="0.3">
      <c r="A448" s="1">
        <v>43912</v>
      </c>
      <c r="B448">
        <v>29</v>
      </c>
      <c r="C448">
        <v>44</v>
      </c>
    </row>
    <row r="449" spans="1:3" x14ac:dyDescent="0.3">
      <c r="A449" s="1">
        <v>43913</v>
      </c>
      <c r="B449">
        <v>27</v>
      </c>
      <c r="C449">
        <v>43</v>
      </c>
    </row>
    <row r="450" spans="1:3" x14ac:dyDescent="0.3">
      <c r="A450" s="1">
        <v>43914</v>
      </c>
      <c r="B450">
        <v>31</v>
      </c>
      <c r="C450">
        <v>41</v>
      </c>
    </row>
    <row r="451" spans="1:3" x14ac:dyDescent="0.3">
      <c r="A451" s="1">
        <v>43915</v>
      </c>
      <c r="B451">
        <v>33</v>
      </c>
      <c r="C451">
        <v>46</v>
      </c>
    </row>
    <row r="452" spans="1:3" x14ac:dyDescent="0.3">
      <c r="A452" s="1">
        <v>43916</v>
      </c>
      <c r="B452">
        <v>37</v>
      </c>
      <c r="C452">
        <v>51</v>
      </c>
    </row>
    <row r="453" spans="1:3" x14ac:dyDescent="0.3">
      <c r="A453" s="1">
        <v>43917</v>
      </c>
      <c r="B453">
        <v>30</v>
      </c>
      <c r="C453">
        <v>50</v>
      </c>
    </row>
    <row r="454" spans="1:3" x14ac:dyDescent="0.3">
      <c r="A454" s="1">
        <v>43918</v>
      </c>
      <c r="B454">
        <v>32</v>
      </c>
      <c r="C454">
        <v>51</v>
      </c>
    </row>
    <row r="455" spans="1:3" x14ac:dyDescent="0.3">
      <c r="A455" s="1">
        <v>43919</v>
      </c>
      <c r="B455">
        <v>24</v>
      </c>
      <c r="C455">
        <v>46</v>
      </c>
    </row>
    <row r="456" spans="1:3" x14ac:dyDescent="0.3">
      <c r="A456" s="1">
        <v>43920</v>
      </c>
      <c r="B456">
        <v>32</v>
      </c>
      <c r="C456">
        <v>53</v>
      </c>
    </row>
    <row r="457" spans="1:3" x14ac:dyDescent="0.3">
      <c r="A457" s="1">
        <v>43921</v>
      </c>
      <c r="B457">
        <v>36</v>
      </c>
      <c r="C457">
        <v>42</v>
      </c>
    </row>
    <row r="458" spans="1:3" x14ac:dyDescent="0.3">
      <c r="A458" s="1">
        <v>43922</v>
      </c>
      <c r="B458">
        <v>36</v>
      </c>
      <c r="C458">
        <v>44</v>
      </c>
    </row>
    <row r="459" spans="1:3" x14ac:dyDescent="0.3">
      <c r="A459" s="1">
        <v>43923</v>
      </c>
      <c r="B459">
        <v>34</v>
      </c>
      <c r="C459">
        <v>65</v>
      </c>
    </row>
    <row r="460" spans="1:3" x14ac:dyDescent="0.3">
      <c r="A460" s="1">
        <v>43924</v>
      </c>
      <c r="B460">
        <v>42</v>
      </c>
      <c r="C460">
        <v>56</v>
      </c>
    </row>
    <row r="461" spans="1:3" x14ac:dyDescent="0.3">
      <c r="A461" s="1">
        <v>43925</v>
      </c>
      <c r="B461">
        <v>34</v>
      </c>
      <c r="C461">
        <v>49</v>
      </c>
    </row>
    <row r="462" spans="1:3" x14ac:dyDescent="0.3">
      <c r="A462" s="1">
        <v>43926</v>
      </c>
      <c r="B462">
        <v>37</v>
      </c>
      <c r="C462">
        <v>59</v>
      </c>
    </row>
    <row r="463" spans="1:3" x14ac:dyDescent="0.3">
      <c r="A463" s="1">
        <v>43927</v>
      </c>
      <c r="B463">
        <v>35</v>
      </c>
      <c r="C463">
        <v>59</v>
      </c>
    </row>
    <row r="464" spans="1:3" x14ac:dyDescent="0.3">
      <c r="A464" s="1">
        <v>43928</v>
      </c>
      <c r="B464">
        <v>47</v>
      </c>
      <c r="C464">
        <v>43</v>
      </c>
    </row>
    <row r="465" spans="1:3" x14ac:dyDescent="0.3">
      <c r="A465" s="1">
        <v>43929</v>
      </c>
      <c r="B465">
        <v>38</v>
      </c>
      <c r="C465">
        <v>58</v>
      </c>
    </row>
    <row r="466" spans="1:3" x14ac:dyDescent="0.3">
      <c r="A466" s="1">
        <v>43930</v>
      </c>
      <c r="B466">
        <v>37</v>
      </c>
      <c r="C466">
        <v>55</v>
      </c>
    </row>
    <row r="467" spans="1:3" x14ac:dyDescent="0.3">
      <c r="A467" s="1">
        <v>43931</v>
      </c>
      <c r="B467">
        <v>32</v>
      </c>
      <c r="C467">
        <v>61</v>
      </c>
    </row>
    <row r="468" spans="1:3" x14ac:dyDescent="0.3">
      <c r="A468" s="1">
        <v>43932</v>
      </c>
      <c r="B468">
        <v>38</v>
      </c>
      <c r="C468">
        <v>57</v>
      </c>
    </row>
    <row r="469" spans="1:3" x14ac:dyDescent="0.3">
      <c r="A469" s="1">
        <v>43933</v>
      </c>
      <c r="B469">
        <v>35</v>
      </c>
      <c r="C469">
        <v>57</v>
      </c>
    </row>
    <row r="470" spans="1:3" x14ac:dyDescent="0.3">
      <c r="A470" s="1">
        <v>43934</v>
      </c>
      <c r="B470">
        <v>26</v>
      </c>
      <c r="C470">
        <v>53</v>
      </c>
    </row>
    <row r="471" spans="1:3" x14ac:dyDescent="0.3">
      <c r="A471" s="1">
        <v>43935</v>
      </c>
      <c r="B471">
        <v>28</v>
      </c>
      <c r="C471">
        <v>41</v>
      </c>
    </row>
    <row r="472" spans="1:3" x14ac:dyDescent="0.3">
      <c r="A472" s="1">
        <v>43936</v>
      </c>
      <c r="B472">
        <v>26</v>
      </c>
      <c r="C472">
        <v>40</v>
      </c>
    </row>
    <row r="473" spans="1:3" x14ac:dyDescent="0.3">
      <c r="A473" s="1">
        <v>43937</v>
      </c>
      <c r="B473">
        <v>27</v>
      </c>
      <c r="C473">
        <v>60</v>
      </c>
    </row>
    <row r="474" spans="1:3" x14ac:dyDescent="0.3">
      <c r="A474" s="1">
        <v>43938</v>
      </c>
      <c r="B474">
        <v>29</v>
      </c>
      <c r="C474">
        <v>50</v>
      </c>
    </row>
    <row r="475" spans="1:3" x14ac:dyDescent="0.3">
      <c r="A475" s="1">
        <v>43939</v>
      </c>
      <c r="B475">
        <v>30</v>
      </c>
      <c r="C475">
        <v>53</v>
      </c>
    </row>
    <row r="476" spans="1:3" x14ac:dyDescent="0.3">
      <c r="A476" s="1">
        <v>43940</v>
      </c>
      <c r="B476">
        <v>30</v>
      </c>
      <c r="C476">
        <v>52</v>
      </c>
    </row>
    <row r="477" spans="1:3" x14ac:dyDescent="0.3">
      <c r="A477" s="1">
        <v>43941</v>
      </c>
      <c r="B477">
        <v>28</v>
      </c>
      <c r="C477">
        <v>50</v>
      </c>
    </row>
    <row r="478" spans="1:3" x14ac:dyDescent="0.3">
      <c r="A478" s="1">
        <v>43942</v>
      </c>
      <c r="B478">
        <v>23</v>
      </c>
      <c r="C478">
        <v>56</v>
      </c>
    </row>
    <row r="479" spans="1:3" x14ac:dyDescent="0.3">
      <c r="A479" s="1">
        <v>43943</v>
      </c>
      <c r="B479">
        <v>37</v>
      </c>
      <c r="C479">
        <v>44</v>
      </c>
    </row>
    <row r="480" spans="1:3" x14ac:dyDescent="0.3">
      <c r="A480" s="1">
        <v>43944</v>
      </c>
      <c r="B480">
        <v>38</v>
      </c>
      <c r="C480">
        <v>57</v>
      </c>
    </row>
    <row r="481" spans="1:3" x14ac:dyDescent="0.3">
      <c r="A481" s="1">
        <v>43945</v>
      </c>
      <c r="B481">
        <v>33</v>
      </c>
      <c r="C481">
        <v>54</v>
      </c>
    </row>
    <row r="482" spans="1:3" x14ac:dyDescent="0.3">
      <c r="A482" s="1">
        <v>43946</v>
      </c>
      <c r="B482">
        <v>33</v>
      </c>
      <c r="C482">
        <v>58</v>
      </c>
    </row>
    <row r="483" spans="1:3" x14ac:dyDescent="0.3">
      <c r="A483" s="1">
        <v>43947</v>
      </c>
      <c r="B483">
        <v>36</v>
      </c>
      <c r="C483">
        <v>65</v>
      </c>
    </row>
    <row r="484" spans="1:3" x14ac:dyDescent="0.3">
      <c r="A484" s="1">
        <v>43948</v>
      </c>
      <c r="B484">
        <v>27</v>
      </c>
      <c r="C484">
        <v>47</v>
      </c>
    </row>
    <row r="485" spans="1:3" x14ac:dyDescent="0.3">
      <c r="A485" s="1">
        <v>43949</v>
      </c>
      <c r="B485">
        <v>40</v>
      </c>
      <c r="C485">
        <v>53</v>
      </c>
    </row>
    <row r="486" spans="1:3" x14ac:dyDescent="0.3">
      <c r="A486" s="1">
        <v>43950</v>
      </c>
      <c r="B486">
        <v>26</v>
      </c>
      <c r="C486">
        <v>43</v>
      </c>
    </row>
    <row r="487" spans="1:3" x14ac:dyDescent="0.3">
      <c r="A487" s="1">
        <v>43951</v>
      </c>
      <c r="B487">
        <v>42</v>
      </c>
      <c r="C487">
        <v>46</v>
      </c>
    </row>
    <row r="488" spans="1:3" x14ac:dyDescent="0.3">
      <c r="A488" s="1">
        <v>43952</v>
      </c>
      <c r="B488">
        <v>44</v>
      </c>
      <c r="C488">
        <v>51</v>
      </c>
    </row>
    <row r="489" spans="1:3" x14ac:dyDescent="0.3">
      <c r="A489" s="1">
        <v>43953</v>
      </c>
      <c r="B489">
        <v>25</v>
      </c>
      <c r="C489">
        <v>63</v>
      </c>
    </row>
    <row r="490" spans="1:3" x14ac:dyDescent="0.3">
      <c r="A490" s="1">
        <v>43954</v>
      </c>
      <c r="B490">
        <v>31</v>
      </c>
      <c r="C490">
        <v>49</v>
      </c>
    </row>
    <row r="491" spans="1:3" x14ac:dyDescent="0.3">
      <c r="A491" s="1">
        <v>43955</v>
      </c>
      <c r="B491">
        <v>37</v>
      </c>
      <c r="C491">
        <v>55</v>
      </c>
    </row>
    <row r="492" spans="1:3" x14ac:dyDescent="0.3">
      <c r="A492" s="1">
        <v>43956</v>
      </c>
      <c r="B492">
        <v>27</v>
      </c>
      <c r="C492">
        <v>44</v>
      </c>
    </row>
    <row r="493" spans="1:3" x14ac:dyDescent="0.3">
      <c r="A493" s="1">
        <v>43957</v>
      </c>
      <c r="B493">
        <v>35</v>
      </c>
      <c r="C493">
        <v>61</v>
      </c>
    </row>
    <row r="494" spans="1:3" x14ac:dyDescent="0.3">
      <c r="A494" s="1">
        <v>43958</v>
      </c>
      <c r="B494">
        <v>37</v>
      </c>
      <c r="C494">
        <v>47</v>
      </c>
    </row>
    <row r="495" spans="1:3" x14ac:dyDescent="0.3">
      <c r="A495" s="1">
        <v>43959</v>
      </c>
      <c r="B495">
        <v>35</v>
      </c>
      <c r="C495">
        <v>50</v>
      </c>
    </row>
    <row r="496" spans="1:3" x14ac:dyDescent="0.3">
      <c r="A496" s="1">
        <v>43960</v>
      </c>
      <c r="B496">
        <v>35</v>
      </c>
      <c r="C496">
        <v>54</v>
      </c>
    </row>
    <row r="497" spans="1:3" x14ac:dyDescent="0.3">
      <c r="A497" s="1">
        <v>43961</v>
      </c>
      <c r="B497">
        <v>40</v>
      </c>
      <c r="C497">
        <v>37</v>
      </c>
    </row>
    <row r="498" spans="1:3" x14ac:dyDescent="0.3">
      <c r="A498" s="1">
        <v>43962</v>
      </c>
      <c r="B498">
        <v>32</v>
      </c>
      <c r="C498">
        <v>58</v>
      </c>
    </row>
    <row r="499" spans="1:3" x14ac:dyDescent="0.3">
      <c r="A499" s="1">
        <v>43963</v>
      </c>
      <c r="B499">
        <v>28</v>
      </c>
      <c r="C499">
        <v>54</v>
      </c>
    </row>
    <row r="500" spans="1:3" x14ac:dyDescent="0.3">
      <c r="A500" s="1">
        <v>43964</v>
      </c>
      <c r="B500">
        <v>29</v>
      </c>
      <c r="C500">
        <v>53</v>
      </c>
    </row>
    <row r="501" spans="1:3" x14ac:dyDescent="0.3">
      <c r="A501" s="1">
        <v>43965</v>
      </c>
      <c r="B501">
        <v>35</v>
      </c>
      <c r="C501">
        <v>57</v>
      </c>
    </row>
    <row r="502" spans="1:3" x14ac:dyDescent="0.3">
      <c r="A502" s="1">
        <v>43966</v>
      </c>
      <c r="B502">
        <v>35</v>
      </c>
      <c r="C502">
        <v>60</v>
      </c>
    </row>
    <row r="503" spans="1:3" x14ac:dyDescent="0.3">
      <c r="A503" s="1">
        <v>43967</v>
      </c>
      <c r="B503">
        <v>35</v>
      </c>
      <c r="C503">
        <v>53</v>
      </c>
    </row>
    <row r="504" spans="1:3" x14ac:dyDescent="0.3">
      <c r="A504" s="1">
        <v>43968</v>
      </c>
      <c r="B504">
        <v>36</v>
      </c>
      <c r="C504">
        <v>49</v>
      </c>
    </row>
    <row r="505" spans="1:3" x14ac:dyDescent="0.3">
      <c r="A505" s="1">
        <v>43969</v>
      </c>
      <c r="B505">
        <v>25</v>
      </c>
      <c r="C505">
        <v>55</v>
      </c>
    </row>
    <row r="506" spans="1:3" x14ac:dyDescent="0.3">
      <c r="A506" s="1">
        <v>43970</v>
      </c>
      <c r="B506">
        <v>40</v>
      </c>
      <c r="C506">
        <v>50</v>
      </c>
    </row>
    <row r="507" spans="1:3" x14ac:dyDescent="0.3">
      <c r="A507" s="1">
        <v>43971</v>
      </c>
      <c r="B507">
        <v>41</v>
      </c>
      <c r="C507">
        <v>50</v>
      </c>
    </row>
    <row r="508" spans="1:3" x14ac:dyDescent="0.3">
      <c r="A508" s="1">
        <v>43972</v>
      </c>
      <c r="B508">
        <v>36</v>
      </c>
      <c r="C508">
        <v>65</v>
      </c>
    </row>
    <row r="509" spans="1:3" x14ac:dyDescent="0.3">
      <c r="A509" s="1">
        <v>43973</v>
      </c>
      <c r="B509">
        <v>37</v>
      </c>
      <c r="C509">
        <v>42</v>
      </c>
    </row>
    <row r="510" spans="1:3" x14ac:dyDescent="0.3">
      <c r="A510" s="1">
        <v>43974</v>
      </c>
      <c r="B510">
        <v>34</v>
      </c>
      <c r="C510">
        <v>46</v>
      </c>
    </row>
    <row r="511" spans="1:3" x14ac:dyDescent="0.3">
      <c r="A511" s="1">
        <v>43975</v>
      </c>
      <c r="B511">
        <v>27</v>
      </c>
      <c r="C511">
        <v>39</v>
      </c>
    </row>
    <row r="512" spans="1:3" x14ac:dyDescent="0.3">
      <c r="A512" s="1">
        <v>43976</v>
      </c>
      <c r="B512">
        <v>31</v>
      </c>
      <c r="C512">
        <v>46</v>
      </c>
    </row>
    <row r="513" spans="1:3" x14ac:dyDescent="0.3">
      <c r="A513" s="1">
        <v>43977</v>
      </c>
      <c r="B513">
        <v>35</v>
      </c>
      <c r="C513">
        <v>49</v>
      </c>
    </row>
    <row r="514" spans="1:3" x14ac:dyDescent="0.3">
      <c r="A514" s="1">
        <v>43978</v>
      </c>
      <c r="B514">
        <v>28</v>
      </c>
      <c r="C514">
        <v>49</v>
      </c>
    </row>
    <row r="515" spans="1:3" x14ac:dyDescent="0.3">
      <c r="A515" s="1">
        <v>43979</v>
      </c>
      <c r="B515">
        <v>27</v>
      </c>
      <c r="C515">
        <v>53</v>
      </c>
    </row>
    <row r="516" spans="1:3" x14ac:dyDescent="0.3">
      <c r="A516" s="1">
        <v>43980</v>
      </c>
      <c r="B516">
        <v>30</v>
      </c>
      <c r="C516">
        <v>52</v>
      </c>
    </row>
    <row r="517" spans="1:3" x14ac:dyDescent="0.3">
      <c r="A517" s="1">
        <v>43981</v>
      </c>
      <c r="B517">
        <v>31</v>
      </c>
      <c r="C517">
        <v>40</v>
      </c>
    </row>
    <row r="518" spans="1:3" x14ac:dyDescent="0.3">
      <c r="A518" s="1">
        <v>43982</v>
      </c>
      <c r="B518">
        <v>35</v>
      </c>
      <c r="C518">
        <v>51</v>
      </c>
    </row>
    <row r="519" spans="1:3" x14ac:dyDescent="0.3">
      <c r="A519" s="1">
        <v>43983</v>
      </c>
      <c r="B519">
        <v>32</v>
      </c>
      <c r="C519">
        <v>47</v>
      </c>
    </row>
    <row r="520" spans="1:3" x14ac:dyDescent="0.3">
      <c r="A520" s="1">
        <v>43984</v>
      </c>
      <c r="B520">
        <v>35</v>
      </c>
      <c r="C520">
        <v>62</v>
      </c>
    </row>
    <row r="521" spans="1:3" x14ac:dyDescent="0.3">
      <c r="A521" s="1">
        <v>43985</v>
      </c>
      <c r="B521">
        <v>32</v>
      </c>
      <c r="C521">
        <v>43</v>
      </c>
    </row>
    <row r="522" spans="1:3" x14ac:dyDescent="0.3">
      <c r="A522" s="1">
        <v>43986</v>
      </c>
      <c r="B522">
        <v>33</v>
      </c>
      <c r="C522">
        <v>67</v>
      </c>
    </row>
    <row r="523" spans="1:3" x14ac:dyDescent="0.3">
      <c r="A523" s="1">
        <v>43987</v>
      </c>
      <c r="B523">
        <v>29</v>
      </c>
      <c r="C523">
        <v>44</v>
      </c>
    </row>
    <row r="524" spans="1:3" x14ac:dyDescent="0.3">
      <c r="A524" s="1">
        <v>43988</v>
      </c>
      <c r="B524">
        <v>32</v>
      </c>
      <c r="C524">
        <v>45</v>
      </c>
    </row>
    <row r="525" spans="1:3" x14ac:dyDescent="0.3">
      <c r="A525" s="1">
        <v>43989</v>
      </c>
      <c r="B525">
        <v>26</v>
      </c>
      <c r="C525">
        <v>47</v>
      </c>
    </row>
    <row r="526" spans="1:3" x14ac:dyDescent="0.3">
      <c r="A526" s="1">
        <v>43990</v>
      </c>
      <c r="B526">
        <v>23</v>
      </c>
      <c r="C526">
        <v>49</v>
      </c>
    </row>
    <row r="527" spans="1:3" x14ac:dyDescent="0.3">
      <c r="A527" s="1">
        <v>43991</v>
      </c>
      <c r="B527">
        <v>37</v>
      </c>
      <c r="C527">
        <v>53</v>
      </c>
    </row>
    <row r="528" spans="1:3" x14ac:dyDescent="0.3">
      <c r="A528" s="1">
        <v>43992</v>
      </c>
      <c r="B528">
        <v>37</v>
      </c>
      <c r="C528">
        <v>53</v>
      </c>
    </row>
    <row r="529" spans="1:3" x14ac:dyDescent="0.3">
      <c r="A529" s="1">
        <v>43993</v>
      </c>
      <c r="B529">
        <v>30</v>
      </c>
      <c r="C529">
        <v>49</v>
      </c>
    </row>
    <row r="530" spans="1:3" x14ac:dyDescent="0.3">
      <c r="A530" s="1">
        <v>43994</v>
      </c>
      <c r="B530">
        <v>30</v>
      </c>
      <c r="C530">
        <v>49</v>
      </c>
    </row>
    <row r="531" spans="1:3" x14ac:dyDescent="0.3">
      <c r="A531" s="1">
        <v>43995</v>
      </c>
      <c r="B531">
        <v>32</v>
      </c>
      <c r="C531">
        <v>56</v>
      </c>
    </row>
    <row r="532" spans="1:3" x14ac:dyDescent="0.3">
      <c r="A532" s="1">
        <v>43996</v>
      </c>
      <c r="B532">
        <v>40</v>
      </c>
      <c r="C532">
        <v>55</v>
      </c>
    </row>
    <row r="533" spans="1:3" x14ac:dyDescent="0.3">
      <c r="A533" s="1">
        <v>43997</v>
      </c>
      <c r="B533">
        <v>27</v>
      </c>
      <c r="C533">
        <v>48</v>
      </c>
    </row>
    <row r="534" spans="1:3" x14ac:dyDescent="0.3">
      <c r="A534" s="1">
        <v>43998</v>
      </c>
      <c r="B534">
        <v>36</v>
      </c>
      <c r="C534">
        <v>52</v>
      </c>
    </row>
    <row r="535" spans="1:3" x14ac:dyDescent="0.3">
      <c r="A535" s="1">
        <v>43999</v>
      </c>
      <c r="B535">
        <v>36</v>
      </c>
      <c r="C535">
        <v>51</v>
      </c>
    </row>
    <row r="536" spans="1:3" x14ac:dyDescent="0.3">
      <c r="A536" s="1">
        <v>44000</v>
      </c>
      <c r="B536">
        <v>25</v>
      </c>
      <c r="C536">
        <v>62</v>
      </c>
    </row>
    <row r="537" spans="1:3" x14ac:dyDescent="0.3">
      <c r="A537" s="1">
        <v>44001</v>
      </c>
      <c r="B537">
        <v>47</v>
      </c>
      <c r="C537">
        <v>48</v>
      </c>
    </row>
    <row r="538" spans="1:3" x14ac:dyDescent="0.3">
      <c r="A538" s="1">
        <v>44002</v>
      </c>
      <c r="B538">
        <v>35</v>
      </c>
      <c r="C538">
        <v>53</v>
      </c>
    </row>
    <row r="539" spans="1:3" x14ac:dyDescent="0.3">
      <c r="A539" s="1">
        <v>44003</v>
      </c>
      <c r="B539">
        <v>25</v>
      </c>
      <c r="C539">
        <v>60</v>
      </c>
    </row>
    <row r="540" spans="1:3" x14ac:dyDescent="0.3">
      <c r="A540" s="1">
        <v>44004</v>
      </c>
      <c r="B540">
        <v>27</v>
      </c>
      <c r="C540">
        <v>65</v>
      </c>
    </row>
    <row r="541" spans="1:3" x14ac:dyDescent="0.3">
      <c r="A541" s="1">
        <v>44005</v>
      </c>
      <c r="B541">
        <v>31</v>
      </c>
      <c r="C541">
        <v>61</v>
      </c>
    </row>
    <row r="542" spans="1:3" x14ac:dyDescent="0.3">
      <c r="A542" s="1">
        <v>44006</v>
      </c>
      <c r="B542">
        <v>33</v>
      </c>
      <c r="C542">
        <v>42</v>
      </c>
    </row>
    <row r="543" spans="1:3" x14ac:dyDescent="0.3">
      <c r="A543" s="1">
        <v>44007</v>
      </c>
      <c r="B543">
        <v>31</v>
      </c>
      <c r="C543">
        <v>49</v>
      </c>
    </row>
    <row r="544" spans="1:3" x14ac:dyDescent="0.3">
      <c r="A544" s="1">
        <v>44008</v>
      </c>
      <c r="B544">
        <v>27</v>
      </c>
      <c r="C544">
        <v>74</v>
      </c>
    </row>
    <row r="545" spans="1:3" x14ac:dyDescent="0.3">
      <c r="A545" s="1">
        <v>44009</v>
      </c>
      <c r="B545">
        <v>31</v>
      </c>
      <c r="C545">
        <v>49</v>
      </c>
    </row>
    <row r="546" spans="1:3" x14ac:dyDescent="0.3">
      <c r="A546" s="1">
        <v>44010</v>
      </c>
      <c r="B546">
        <v>35</v>
      </c>
      <c r="C546">
        <v>42</v>
      </c>
    </row>
    <row r="547" spans="1:3" x14ac:dyDescent="0.3">
      <c r="A547" s="1">
        <v>44011</v>
      </c>
      <c r="B547">
        <v>32</v>
      </c>
      <c r="C547">
        <v>59</v>
      </c>
    </row>
    <row r="548" spans="1:3" x14ac:dyDescent="0.3">
      <c r="A548" s="1">
        <v>44012</v>
      </c>
      <c r="B548">
        <v>33</v>
      </c>
      <c r="C548">
        <v>55</v>
      </c>
    </row>
    <row r="549" spans="1:3" x14ac:dyDescent="0.3">
      <c r="A549" s="1">
        <v>44013</v>
      </c>
      <c r="B549">
        <v>36</v>
      </c>
      <c r="C549">
        <v>46</v>
      </c>
    </row>
    <row r="550" spans="1:3" x14ac:dyDescent="0.3">
      <c r="A550" s="1">
        <v>44014</v>
      </c>
      <c r="B550">
        <v>33</v>
      </c>
      <c r="C550">
        <v>49</v>
      </c>
    </row>
    <row r="551" spans="1:3" x14ac:dyDescent="0.3">
      <c r="A551" s="1">
        <v>44015</v>
      </c>
      <c r="B551">
        <v>36</v>
      </c>
      <c r="C551">
        <v>52</v>
      </c>
    </row>
    <row r="552" spans="1:3" x14ac:dyDescent="0.3">
      <c r="A552" s="1">
        <v>44016</v>
      </c>
      <c r="B552">
        <v>37</v>
      </c>
      <c r="C552">
        <v>45</v>
      </c>
    </row>
    <row r="553" spans="1:3" x14ac:dyDescent="0.3">
      <c r="A553" s="1">
        <v>44017</v>
      </c>
      <c r="B553">
        <v>28</v>
      </c>
      <c r="C553">
        <v>51</v>
      </c>
    </row>
    <row r="554" spans="1:3" x14ac:dyDescent="0.3">
      <c r="A554" s="1">
        <v>44018</v>
      </c>
      <c r="B554">
        <v>29</v>
      </c>
      <c r="C554">
        <v>58</v>
      </c>
    </row>
    <row r="555" spans="1:3" x14ac:dyDescent="0.3">
      <c r="A555" s="1">
        <v>44019</v>
      </c>
      <c r="B555">
        <v>37</v>
      </c>
      <c r="C555">
        <v>65</v>
      </c>
    </row>
    <row r="556" spans="1:3" x14ac:dyDescent="0.3">
      <c r="A556" s="1">
        <v>44020</v>
      </c>
      <c r="B556">
        <v>26</v>
      </c>
      <c r="C556">
        <v>50</v>
      </c>
    </row>
    <row r="557" spans="1:3" x14ac:dyDescent="0.3">
      <c r="A557" s="1">
        <v>44021</v>
      </c>
      <c r="B557">
        <v>35</v>
      </c>
      <c r="C557">
        <v>45</v>
      </c>
    </row>
    <row r="558" spans="1:3" x14ac:dyDescent="0.3">
      <c r="A558" s="1">
        <v>44022</v>
      </c>
      <c r="B558">
        <v>27</v>
      </c>
      <c r="C558">
        <v>45</v>
      </c>
    </row>
    <row r="559" spans="1:3" x14ac:dyDescent="0.3">
      <c r="A559" s="1">
        <v>44023</v>
      </c>
      <c r="B559">
        <v>30</v>
      </c>
      <c r="C559">
        <v>60</v>
      </c>
    </row>
    <row r="560" spans="1:3" x14ac:dyDescent="0.3">
      <c r="A560" s="1">
        <v>44024</v>
      </c>
      <c r="B560">
        <v>31</v>
      </c>
      <c r="C560">
        <v>56</v>
      </c>
    </row>
    <row r="561" spans="1:3" x14ac:dyDescent="0.3">
      <c r="A561" s="1">
        <v>44025</v>
      </c>
      <c r="B561">
        <v>34</v>
      </c>
      <c r="C561">
        <v>48</v>
      </c>
    </row>
    <row r="562" spans="1:3" x14ac:dyDescent="0.3">
      <c r="A562" s="1">
        <v>44026</v>
      </c>
      <c r="B562">
        <v>33</v>
      </c>
      <c r="C562">
        <v>61</v>
      </c>
    </row>
    <row r="563" spans="1:3" x14ac:dyDescent="0.3">
      <c r="A563" s="1">
        <v>44027</v>
      </c>
      <c r="B563">
        <v>28</v>
      </c>
      <c r="C563">
        <v>51</v>
      </c>
    </row>
    <row r="564" spans="1:3" x14ac:dyDescent="0.3">
      <c r="A564" s="1">
        <v>44028</v>
      </c>
      <c r="B564">
        <v>32</v>
      </c>
      <c r="C564">
        <v>53</v>
      </c>
    </row>
    <row r="565" spans="1:3" x14ac:dyDescent="0.3">
      <c r="A565" s="1">
        <v>44029</v>
      </c>
      <c r="B565">
        <v>29</v>
      </c>
      <c r="C565">
        <v>59</v>
      </c>
    </row>
    <row r="566" spans="1:3" x14ac:dyDescent="0.3">
      <c r="A566" s="1">
        <v>44030</v>
      </c>
      <c r="B566">
        <v>38</v>
      </c>
      <c r="C566">
        <v>56</v>
      </c>
    </row>
    <row r="567" spans="1:3" x14ac:dyDescent="0.3">
      <c r="A567" s="1">
        <v>44031</v>
      </c>
      <c r="B567">
        <v>25</v>
      </c>
      <c r="C567">
        <v>45</v>
      </c>
    </row>
    <row r="568" spans="1:3" x14ac:dyDescent="0.3">
      <c r="A568" s="1">
        <v>44032</v>
      </c>
      <c r="B568">
        <v>35</v>
      </c>
      <c r="C568">
        <v>67</v>
      </c>
    </row>
    <row r="569" spans="1:3" x14ac:dyDescent="0.3">
      <c r="A569" s="1">
        <v>44033</v>
      </c>
      <c r="B569">
        <v>26</v>
      </c>
      <c r="C569">
        <v>50</v>
      </c>
    </row>
    <row r="570" spans="1:3" x14ac:dyDescent="0.3">
      <c r="A570" s="1">
        <v>44034</v>
      </c>
      <c r="B570">
        <v>33</v>
      </c>
      <c r="C570">
        <v>47</v>
      </c>
    </row>
    <row r="571" spans="1:3" x14ac:dyDescent="0.3">
      <c r="A571" s="1">
        <v>44035</v>
      </c>
      <c r="B571">
        <v>31</v>
      </c>
      <c r="C571">
        <v>58</v>
      </c>
    </row>
    <row r="572" spans="1:3" x14ac:dyDescent="0.3">
      <c r="A572" s="1">
        <v>44036</v>
      </c>
      <c r="B572">
        <v>34</v>
      </c>
      <c r="C572">
        <v>64</v>
      </c>
    </row>
    <row r="573" spans="1:3" x14ac:dyDescent="0.3">
      <c r="A573" s="1">
        <v>44037</v>
      </c>
      <c r="B573">
        <v>30</v>
      </c>
      <c r="C573">
        <v>58</v>
      </c>
    </row>
    <row r="574" spans="1:3" x14ac:dyDescent="0.3">
      <c r="A574" s="1">
        <v>44038</v>
      </c>
      <c r="B574">
        <v>42</v>
      </c>
      <c r="C574">
        <v>56</v>
      </c>
    </row>
    <row r="575" spans="1:3" x14ac:dyDescent="0.3">
      <c r="A575" s="1">
        <v>44039</v>
      </c>
      <c r="B575">
        <v>31</v>
      </c>
      <c r="C575">
        <v>58</v>
      </c>
    </row>
    <row r="576" spans="1:3" x14ac:dyDescent="0.3">
      <c r="A576" s="1">
        <v>44040</v>
      </c>
      <c r="B576">
        <v>26</v>
      </c>
      <c r="C576">
        <v>66</v>
      </c>
    </row>
    <row r="577" spans="1:3" x14ac:dyDescent="0.3">
      <c r="A577" s="1">
        <v>44041</v>
      </c>
      <c r="B577">
        <v>45</v>
      </c>
      <c r="C577">
        <v>44</v>
      </c>
    </row>
    <row r="578" spans="1:3" x14ac:dyDescent="0.3">
      <c r="A578" s="1">
        <v>44042</v>
      </c>
      <c r="B578">
        <v>31</v>
      </c>
      <c r="C578">
        <v>63</v>
      </c>
    </row>
    <row r="579" spans="1:3" x14ac:dyDescent="0.3">
      <c r="A579" s="1">
        <v>44043</v>
      </c>
      <c r="B579">
        <v>35</v>
      </c>
      <c r="C579">
        <v>62</v>
      </c>
    </row>
    <row r="580" spans="1:3" x14ac:dyDescent="0.3">
      <c r="A580" s="1">
        <v>44044</v>
      </c>
      <c r="B580">
        <v>32</v>
      </c>
      <c r="C580">
        <v>55</v>
      </c>
    </row>
    <row r="581" spans="1:3" x14ac:dyDescent="0.3">
      <c r="A581" s="1">
        <v>44045</v>
      </c>
      <c r="B581">
        <v>34</v>
      </c>
      <c r="C581">
        <v>51</v>
      </c>
    </row>
    <row r="582" spans="1:3" x14ac:dyDescent="0.3">
      <c r="A582" s="1">
        <v>44046</v>
      </c>
      <c r="B582">
        <v>28</v>
      </c>
      <c r="C582">
        <v>67</v>
      </c>
    </row>
    <row r="583" spans="1:3" x14ac:dyDescent="0.3">
      <c r="A583" s="1">
        <v>44047</v>
      </c>
      <c r="B583">
        <v>37</v>
      </c>
      <c r="C583">
        <v>66</v>
      </c>
    </row>
    <row r="584" spans="1:3" x14ac:dyDescent="0.3">
      <c r="A584" s="1">
        <v>44048</v>
      </c>
      <c r="B584">
        <v>30</v>
      </c>
      <c r="C584">
        <v>47</v>
      </c>
    </row>
    <row r="585" spans="1:3" x14ac:dyDescent="0.3">
      <c r="A585" s="1">
        <v>44049</v>
      </c>
      <c r="B585">
        <v>42</v>
      </c>
      <c r="C585">
        <v>62</v>
      </c>
    </row>
    <row r="586" spans="1:3" x14ac:dyDescent="0.3">
      <c r="A586" s="1">
        <v>44050</v>
      </c>
      <c r="B586">
        <v>29</v>
      </c>
      <c r="C586">
        <v>59</v>
      </c>
    </row>
    <row r="587" spans="1:3" x14ac:dyDescent="0.3">
      <c r="A587" s="1">
        <v>44051</v>
      </c>
      <c r="B587">
        <v>23</v>
      </c>
      <c r="C587">
        <v>59</v>
      </c>
    </row>
    <row r="588" spans="1:3" x14ac:dyDescent="0.3">
      <c r="A588" s="1">
        <v>44052</v>
      </c>
      <c r="B588">
        <v>36</v>
      </c>
      <c r="C588">
        <v>55</v>
      </c>
    </row>
    <row r="589" spans="1:3" x14ac:dyDescent="0.3">
      <c r="A589" s="1">
        <v>44053</v>
      </c>
      <c r="B589">
        <v>31</v>
      </c>
      <c r="C589">
        <v>48</v>
      </c>
    </row>
    <row r="590" spans="1:3" x14ac:dyDescent="0.3">
      <c r="A590" s="1">
        <v>44054</v>
      </c>
      <c r="B590">
        <v>26</v>
      </c>
      <c r="C590">
        <v>64</v>
      </c>
    </row>
    <row r="591" spans="1:3" x14ac:dyDescent="0.3">
      <c r="A591" s="1">
        <v>44055</v>
      </c>
      <c r="B591">
        <v>23</v>
      </c>
      <c r="C591">
        <v>54</v>
      </c>
    </row>
    <row r="592" spans="1:3" x14ac:dyDescent="0.3">
      <c r="A592" s="1">
        <v>44056</v>
      </c>
      <c r="B592">
        <v>42</v>
      </c>
      <c r="C592">
        <v>57</v>
      </c>
    </row>
    <row r="593" spans="1:3" x14ac:dyDescent="0.3">
      <c r="A593" s="1">
        <v>44057</v>
      </c>
      <c r="B593">
        <v>41</v>
      </c>
      <c r="C593">
        <v>57</v>
      </c>
    </row>
    <row r="594" spans="1:3" x14ac:dyDescent="0.3">
      <c r="A594" s="1">
        <v>44058</v>
      </c>
      <c r="B594">
        <v>39</v>
      </c>
      <c r="C594">
        <v>70</v>
      </c>
    </row>
    <row r="595" spans="1:3" x14ac:dyDescent="0.3">
      <c r="A595" s="1">
        <v>44059</v>
      </c>
      <c r="B595">
        <v>29</v>
      </c>
      <c r="C595">
        <v>55</v>
      </c>
    </row>
    <row r="596" spans="1:3" x14ac:dyDescent="0.3">
      <c r="A596" s="1">
        <v>44060</v>
      </c>
      <c r="B596">
        <v>32</v>
      </c>
      <c r="C596">
        <v>46</v>
      </c>
    </row>
    <row r="597" spans="1:3" x14ac:dyDescent="0.3">
      <c r="A597" s="1">
        <v>44061</v>
      </c>
      <c r="B597">
        <v>34</v>
      </c>
      <c r="C597">
        <v>57</v>
      </c>
    </row>
    <row r="598" spans="1:3" x14ac:dyDescent="0.3">
      <c r="A598" s="1">
        <v>44062</v>
      </c>
      <c r="B598">
        <v>36</v>
      </c>
      <c r="C598">
        <v>49</v>
      </c>
    </row>
    <row r="599" spans="1:3" x14ac:dyDescent="0.3">
      <c r="A599" s="1">
        <v>44063</v>
      </c>
      <c r="B599">
        <v>45</v>
      </c>
      <c r="C599">
        <v>60</v>
      </c>
    </row>
    <row r="600" spans="1:3" x14ac:dyDescent="0.3">
      <c r="A600" s="1">
        <v>44064</v>
      </c>
      <c r="B600">
        <v>23</v>
      </c>
      <c r="C600">
        <v>45</v>
      </c>
    </row>
    <row r="601" spans="1:3" x14ac:dyDescent="0.3">
      <c r="A601" s="1">
        <v>44065</v>
      </c>
      <c r="B601">
        <v>25</v>
      </c>
      <c r="C601">
        <v>52</v>
      </c>
    </row>
    <row r="602" spans="1:3" x14ac:dyDescent="0.3">
      <c r="A602" s="1">
        <v>44066</v>
      </c>
      <c r="B602">
        <v>38</v>
      </c>
      <c r="C602">
        <v>58</v>
      </c>
    </row>
    <row r="603" spans="1:3" x14ac:dyDescent="0.3">
      <c r="A603" s="1">
        <v>44067</v>
      </c>
      <c r="B603">
        <v>27</v>
      </c>
      <c r="C603">
        <v>50</v>
      </c>
    </row>
    <row r="604" spans="1:3" x14ac:dyDescent="0.3">
      <c r="A604" s="1">
        <v>44068</v>
      </c>
      <c r="B604">
        <v>18</v>
      </c>
      <c r="C604">
        <v>62</v>
      </c>
    </row>
    <row r="605" spans="1:3" x14ac:dyDescent="0.3">
      <c r="A605" s="1">
        <v>44069</v>
      </c>
      <c r="B605">
        <v>29</v>
      </c>
      <c r="C605">
        <v>52</v>
      </c>
    </row>
    <row r="606" spans="1:3" x14ac:dyDescent="0.3">
      <c r="A606" s="1">
        <v>44070</v>
      </c>
      <c r="B606">
        <v>39</v>
      </c>
      <c r="C606">
        <v>42</v>
      </c>
    </row>
    <row r="607" spans="1:3" x14ac:dyDescent="0.3">
      <c r="A607" s="1">
        <v>44071</v>
      </c>
      <c r="B607">
        <v>33</v>
      </c>
      <c r="C607">
        <v>47</v>
      </c>
    </row>
    <row r="608" spans="1:3" x14ac:dyDescent="0.3">
      <c r="A608" s="1">
        <v>44072</v>
      </c>
      <c r="B608">
        <v>41</v>
      </c>
      <c r="C608">
        <v>48</v>
      </c>
    </row>
    <row r="609" spans="1:3" x14ac:dyDescent="0.3">
      <c r="A609" s="1">
        <v>44073</v>
      </c>
      <c r="B609">
        <v>38</v>
      </c>
      <c r="C609">
        <v>47</v>
      </c>
    </row>
    <row r="610" spans="1:3" x14ac:dyDescent="0.3">
      <c r="A610" s="1">
        <v>44074</v>
      </c>
      <c r="B610">
        <v>35</v>
      </c>
      <c r="C610">
        <v>55</v>
      </c>
    </row>
    <row r="611" spans="1:3" x14ac:dyDescent="0.3">
      <c r="A611" s="1">
        <v>44075</v>
      </c>
      <c r="B611">
        <v>41</v>
      </c>
      <c r="C611">
        <v>48</v>
      </c>
    </row>
    <row r="612" spans="1:3" x14ac:dyDescent="0.3">
      <c r="A612" s="1">
        <v>44076</v>
      </c>
      <c r="B612">
        <v>42</v>
      </c>
      <c r="C612">
        <v>46</v>
      </c>
    </row>
    <row r="613" spans="1:3" x14ac:dyDescent="0.3">
      <c r="A613" s="1">
        <v>44077</v>
      </c>
      <c r="B613">
        <v>36</v>
      </c>
      <c r="C613">
        <v>50</v>
      </c>
    </row>
    <row r="614" spans="1:3" x14ac:dyDescent="0.3">
      <c r="A614" s="1">
        <v>44078</v>
      </c>
      <c r="B614">
        <v>24</v>
      </c>
      <c r="C614">
        <v>60</v>
      </c>
    </row>
    <row r="615" spans="1:3" x14ac:dyDescent="0.3">
      <c r="A615" s="1">
        <v>44079</v>
      </c>
      <c r="B615">
        <v>29</v>
      </c>
      <c r="C615">
        <v>59</v>
      </c>
    </row>
    <row r="616" spans="1:3" x14ac:dyDescent="0.3">
      <c r="A616" s="1">
        <v>44080</v>
      </c>
      <c r="B616">
        <v>45</v>
      </c>
      <c r="C616">
        <v>46</v>
      </c>
    </row>
    <row r="617" spans="1:3" x14ac:dyDescent="0.3">
      <c r="A617" s="1">
        <v>44081</v>
      </c>
      <c r="B617">
        <v>37</v>
      </c>
      <c r="C617">
        <v>59</v>
      </c>
    </row>
    <row r="618" spans="1:3" x14ac:dyDescent="0.3">
      <c r="A618" s="1">
        <v>44082</v>
      </c>
      <c r="B618">
        <v>32</v>
      </c>
      <c r="C618">
        <v>58</v>
      </c>
    </row>
    <row r="619" spans="1:3" x14ac:dyDescent="0.3">
      <c r="A619" s="1">
        <v>44083</v>
      </c>
      <c r="B619">
        <v>40</v>
      </c>
      <c r="C619">
        <v>47</v>
      </c>
    </row>
    <row r="620" spans="1:3" x14ac:dyDescent="0.3">
      <c r="A620" s="1">
        <v>44084</v>
      </c>
      <c r="B620">
        <v>42</v>
      </c>
      <c r="C620">
        <v>48</v>
      </c>
    </row>
    <row r="621" spans="1:3" x14ac:dyDescent="0.3">
      <c r="A621" s="1">
        <v>44085</v>
      </c>
      <c r="B621">
        <v>33</v>
      </c>
      <c r="C621">
        <v>57</v>
      </c>
    </row>
    <row r="622" spans="1:3" x14ac:dyDescent="0.3">
      <c r="A622" s="1">
        <v>44086</v>
      </c>
      <c r="B622">
        <v>44</v>
      </c>
      <c r="C622">
        <v>58</v>
      </c>
    </row>
    <row r="623" spans="1:3" x14ac:dyDescent="0.3">
      <c r="A623" s="1">
        <v>44087</v>
      </c>
      <c r="B623">
        <v>27</v>
      </c>
      <c r="C623">
        <v>78</v>
      </c>
    </row>
    <row r="624" spans="1:3" x14ac:dyDescent="0.3">
      <c r="A624" s="1">
        <v>44088</v>
      </c>
      <c r="B624">
        <v>32</v>
      </c>
      <c r="C624">
        <v>39</v>
      </c>
    </row>
    <row r="625" spans="1:3" x14ac:dyDescent="0.3">
      <c r="A625" s="1">
        <v>44089</v>
      </c>
      <c r="B625">
        <v>35</v>
      </c>
      <c r="C625">
        <v>58</v>
      </c>
    </row>
    <row r="626" spans="1:3" x14ac:dyDescent="0.3">
      <c r="A626" s="1">
        <v>44090</v>
      </c>
      <c r="B626">
        <v>38</v>
      </c>
      <c r="C626">
        <v>51</v>
      </c>
    </row>
    <row r="627" spans="1:3" x14ac:dyDescent="0.3">
      <c r="A627" s="1">
        <v>44091</v>
      </c>
      <c r="B627">
        <v>36</v>
      </c>
      <c r="C627">
        <v>55</v>
      </c>
    </row>
    <row r="628" spans="1:3" x14ac:dyDescent="0.3">
      <c r="A628" s="1">
        <v>44092</v>
      </c>
      <c r="B628">
        <v>34</v>
      </c>
      <c r="C628">
        <v>50</v>
      </c>
    </row>
    <row r="629" spans="1:3" x14ac:dyDescent="0.3">
      <c r="A629" s="1">
        <v>44093</v>
      </c>
      <c r="B629">
        <v>50</v>
      </c>
      <c r="C629">
        <v>50</v>
      </c>
    </row>
    <row r="630" spans="1:3" x14ac:dyDescent="0.3">
      <c r="A630" s="1">
        <v>44094</v>
      </c>
      <c r="B630">
        <v>33</v>
      </c>
      <c r="C630">
        <v>65</v>
      </c>
    </row>
    <row r="631" spans="1:3" x14ac:dyDescent="0.3">
      <c r="A631" s="1">
        <v>44095</v>
      </c>
      <c r="B631">
        <v>55</v>
      </c>
      <c r="C631">
        <v>54</v>
      </c>
    </row>
    <row r="632" spans="1:3" x14ac:dyDescent="0.3">
      <c r="A632" s="1">
        <v>44096</v>
      </c>
      <c r="B632">
        <v>40</v>
      </c>
      <c r="C632">
        <v>57</v>
      </c>
    </row>
    <row r="633" spans="1:3" x14ac:dyDescent="0.3">
      <c r="A633" s="1">
        <v>44097</v>
      </c>
      <c r="B633">
        <v>34</v>
      </c>
      <c r="C633">
        <v>52</v>
      </c>
    </row>
    <row r="634" spans="1:3" x14ac:dyDescent="0.3">
      <c r="A634" s="1">
        <v>44098</v>
      </c>
      <c r="B634">
        <v>37</v>
      </c>
      <c r="C634">
        <v>62</v>
      </c>
    </row>
    <row r="635" spans="1:3" x14ac:dyDescent="0.3">
      <c r="A635" s="1">
        <v>44099</v>
      </c>
      <c r="B635">
        <v>42</v>
      </c>
      <c r="C635">
        <v>63</v>
      </c>
    </row>
    <row r="636" spans="1:3" x14ac:dyDescent="0.3">
      <c r="A636" s="1">
        <v>44100</v>
      </c>
      <c r="B636">
        <v>41</v>
      </c>
      <c r="C636">
        <v>41</v>
      </c>
    </row>
    <row r="637" spans="1:3" x14ac:dyDescent="0.3">
      <c r="A637" s="1">
        <v>44101</v>
      </c>
      <c r="B637">
        <v>47</v>
      </c>
      <c r="C637">
        <v>64</v>
      </c>
    </row>
    <row r="638" spans="1:3" x14ac:dyDescent="0.3">
      <c r="A638" s="1">
        <v>44102</v>
      </c>
      <c r="B638">
        <v>46</v>
      </c>
      <c r="C638">
        <v>41</v>
      </c>
    </row>
    <row r="639" spans="1:3" x14ac:dyDescent="0.3">
      <c r="A639" s="1">
        <v>44103</v>
      </c>
      <c r="B639">
        <v>26</v>
      </c>
      <c r="C639">
        <v>44</v>
      </c>
    </row>
    <row r="640" spans="1:3" x14ac:dyDescent="0.3">
      <c r="A640" s="1">
        <v>44104</v>
      </c>
      <c r="B640">
        <v>45</v>
      </c>
      <c r="C640">
        <v>53</v>
      </c>
    </row>
    <row r="641" spans="1:3" x14ac:dyDescent="0.3">
      <c r="A641" s="1">
        <v>44105</v>
      </c>
      <c r="B641">
        <v>34</v>
      </c>
      <c r="C641">
        <v>64</v>
      </c>
    </row>
    <row r="642" spans="1:3" x14ac:dyDescent="0.3">
      <c r="A642" s="1">
        <v>44106</v>
      </c>
      <c r="B642">
        <v>39</v>
      </c>
      <c r="C642">
        <v>56</v>
      </c>
    </row>
    <row r="643" spans="1:3" x14ac:dyDescent="0.3">
      <c r="A643" s="1">
        <v>44107</v>
      </c>
      <c r="B643">
        <v>41</v>
      </c>
      <c r="C643">
        <v>68</v>
      </c>
    </row>
    <row r="644" spans="1:3" x14ac:dyDescent="0.3">
      <c r="A644" s="1">
        <v>44108</v>
      </c>
      <c r="B644">
        <v>35</v>
      </c>
      <c r="C644">
        <v>43</v>
      </c>
    </row>
    <row r="645" spans="1:3" x14ac:dyDescent="0.3">
      <c r="A645" s="1">
        <v>44109</v>
      </c>
      <c r="B645">
        <v>37</v>
      </c>
      <c r="C645">
        <v>56</v>
      </c>
    </row>
    <row r="646" spans="1:3" x14ac:dyDescent="0.3">
      <c r="A646" s="1">
        <v>44110</v>
      </c>
      <c r="B646">
        <v>27</v>
      </c>
      <c r="C646">
        <v>73</v>
      </c>
    </row>
    <row r="647" spans="1:3" x14ac:dyDescent="0.3">
      <c r="A647" s="1">
        <v>44111</v>
      </c>
      <c r="B647">
        <v>35</v>
      </c>
      <c r="C647">
        <v>64</v>
      </c>
    </row>
    <row r="648" spans="1:3" x14ac:dyDescent="0.3">
      <c r="A648" s="1">
        <v>44112</v>
      </c>
      <c r="B648">
        <v>45</v>
      </c>
      <c r="C648">
        <v>57</v>
      </c>
    </row>
    <row r="649" spans="1:3" x14ac:dyDescent="0.3">
      <c r="A649" s="1">
        <v>44113</v>
      </c>
      <c r="B649">
        <v>38</v>
      </c>
      <c r="C649">
        <v>54</v>
      </c>
    </row>
    <row r="650" spans="1:3" x14ac:dyDescent="0.3">
      <c r="A650" s="1">
        <v>44114</v>
      </c>
      <c r="B650">
        <v>39</v>
      </c>
      <c r="C650">
        <v>50</v>
      </c>
    </row>
    <row r="651" spans="1:3" x14ac:dyDescent="0.3">
      <c r="A651" s="1">
        <v>44115</v>
      </c>
      <c r="B651">
        <v>34</v>
      </c>
      <c r="C651">
        <v>45</v>
      </c>
    </row>
    <row r="652" spans="1:3" x14ac:dyDescent="0.3">
      <c r="A652" s="1">
        <v>44116</v>
      </c>
      <c r="B652">
        <v>41</v>
      </c>
      <c r="C652">
        <v>54</v>
      </c>
    </row>
    <row r="653" spans="1:3" x14ac:dyDescent="0.3">
      <c r="A653" s="1">
        <v>44117</v>
      </c>
      <c r="B653">
        <v>31</v>
      </c>
      <c r="C653">
        <v>45</v>
      </c>
    </row>
    <row r="654" spans="1:3" x14ac:dyDescent="0.3">
      <c r="A654" s="1">
        <v>44118</v>
      </c>
      <c r="B654">
        <v>27</v>
      </c>
      <c r="C654">
        <v>45</v>
      </c>
    </row>
    <row r="655" spans="1:3" x14ac:dyDescent="0.3">
      <c r="A655" s="1">
        <v>44119</v>
      </c>
      <c r="B655">
        <v>27</v>
      </c>
      <c r="C655">
        <v>71</v>
      </c>
    </row>
    <row r="656" spans="1:3" x14ac:dyDescent="0.3">
      <c r="A656" s="1">
        <v>44120</v>
      </c>
      <c r="B656">
        <v>34</v>
      </c>
      <c r="C656">
        <v>49</v>
      </c>
    </row>
    <row r="657" spans="1:3" x14ac:dyDescent="0.3">
      <c r="A657" s="1">
        <v>44121</v>
      </c>
      <c r="B657">
        <v>35</v>
      </c>
      <c r="C657">
        <v>52</v>
      </c>
    </row>
    <row r="658" spans="1:3" x14ac:dyDescent="0.3">
      <c r="A658" s="1">
        <v>44122</v>
      </c>
      <c r="B658">
        <v>25</v>
      </c>
      <c r="C658">
        <v>58</v>
      </c>
    </row>
    <row r="659" spans="1:3" x14ac:dyDescent="0.3">
      <c r="A659" s="1">
        <v>44123</v>
      </c>
      <c r="B659">
        <v>35</v>
      </c>
      <c r="C659">
        <v>51</v>
      </c>
    </row>
    <row r="660" spans="1:3" x14ac:dyDescent="0.3">
      <c r="A660" s="1">
        <v>44124</v>
      </c>
      <c r="B660">
        <v>38</v>
      </c>
      <c r="C660">
        <v>52</v>
      </c>
    </row>
    <row r="661" spans="1:3" x14ac:dyDescent="0.3">
      <c r="A661" s="1">
        <v>44125</v>
      </c>
      <c r="B661">
        <v>38</v>
      </c>
      <c r="C661">
        <v>60</v>
      </c>
    </row>
    <row r="662" spans="1:3" x14ac:dyDescent="0.3">
      <c r="A662" s="1">
        <v>44126</v>
      </c>
      <c r="B662">
        <v>30</v>
      </c>
      <c r="C662">
        <v>60</v>
      </c>
    </row>
    <row r="663" spans="1:3" x14ac:dyDescent="0.3">
      <c r="A663" s="1">
        <v>44127</v>
      </c>
      <c r="B663">
        <v>51</v>
      </c>
      <c r="C663">
        <v>63</v>
      </c>
    </row>
    <row r="664" spans="1:3" x14ac:dyDescent="0.3">
      <c r="A664" s="1">
        <v>44128</v>
      </c>
      <c r="B664">
        <v>36</v>
      </c>
      <c r="C664">
        <v>62</v>
      </c>
    </row>
    <row r="665" spans="1:3" x14ac:dyDescent="0.3">
      <c r="A665" s="1">
        <v>44129</v>
      </c>
      <c r="B665">
        <v>33</v>
      </c>
      <c r="C665">
        <v>46</v>
      </c>
    </row>
    <row r="666" spans="1:3" x14ac:dyDescent="0.3">
      <c r="A666" s="1">
        <v>44130</v>
      </c>
      <c r="B666">
        <v>38</v>
      </c>
      <c r="C666">
        <v>62</v>
      </c>
    </row>
    <row r="667" spans="1:3" x14ac:dyDescent="0.3">
      <c r="A667" s="1">
        <v>44131</v>
      </c>
      <c r="B667">
        <v>35</v>
      </c>
      <c r="C667">
        <v>51</v>
      </c>
    </row>
    <row r="668" spans="1:3" x14ac:dyDescent="0.3">
      <c r="A668" s="1">
        <v>44132</v>
      </c>
      <c r="B668">
        <v>38</v>
      </c>
      <c r="C668">
        <v>64</v>
      </c>
    </row>
    <row r="669" spans="1:3" x14ac:dyDescent="0.3">
      <c r="A669" s="1">
        <v>44133</v>
      </c>
      <c r="B669">
        <v>31</v>
      </c>
      <c r="C669">
        <v>41</v>
      </c>
    </row>
    <row r="670" spans="1:3" x14ac:dyDescent="0.3">
      <c r="A670" s="1">
        <v>44134</v>
      </c>
      <c r="B670">
        <v>37</v>
      </c>
      <c r="C670">
        <v>58</v>
      </c>
    </row>
    <row r="671" spans="1:3" x14ac:dyDescent="0.3">
      <c r="A671" s="1">
        <v>44135</v>
      </c>
      <c r="B671">
        <v>44</v>
      </c>
      <c r="C671">
        <v>50</v>
      </c>
    </row>
    <row r="672" spans="1:3" x14ac:dyDescent="0.3">
      <c r="A672" s="1">
        <v>44136</v>
      </c>
      <c r="B672">
        <v>30</v>
      </c>
      <c r="C672">
        <v>49</v>
      </c>
    </row>
    <row r="673" spans="1:3" x14ac:dyDescent="0.3">
      <c r="A673" s="1">
        <v>44137</v>
      </c>
      <c r="B673">
        <v>36</v>
      </c>
      <c r="C673">
        <v>64</v>
      </c>
    </row>
    <row r="674" spans="1:3" x14ac:dyDescent="0.3">
      <c r="A674" s="1">
        <v>44138</v>
      </c>
      <c r="B674">
        <v>30</v>
      </c>
      <c r="C674">
        <v>48</v>
      </c>
    </row>
    <row r="675" spans="1:3" x14ac:dyDescent="0.3">
      <c r="A675" s="1">
        <v>44139</v>
      </c>
      <c r="B675">
        <v>44</v>
      </c>
      <c r="C675">
        <v>51</v>
      </c>
    </row>
    <row r="676" spans="1:3" x14ac:dyDescent="0.3">
      <c r="A676" s="1">
        <v>44140</v>
      </c>
      <c r="B676">
        <v>35</v>
      </c>
      <c r="C676">
        <v>46</v>
      </c>
    </row>
    <row r="677" spans="1:3" x14ac:dyDescent="0.3">
      <c r="A677" s="1">
        <v>44141</v>
      </c>
      <c r="B677">
        <v>27</v>
      </c>
      <c r="C677">
        <v>39</v>
      </c>
    </row>
    <row r="678" spans="1:3" x14ac:dyDescent="0.3">
      <c r="A678" s="1">
        <v>44142</v>
      </c>
      <c r="B678">
        <v>25</v>
      </c>
      <c r="C678">
        <v>50</v>
      </c>
    </row>
    <row r="679" spans="1:3" x14ac:dyDescent="0.3">
      <c r="A679" s="1">
        <v>44143</v>
      </c>
      <c r="B679">
        <v>27</v>
      </c>
      <c r="C679">
        <v>49</v>
      </c>
    </row>
    <row r="680" spans="1:3" x14ac:dyDescent="0.3">
      <c r="A680" s="1">
        <v>44144</v>
      </c>
      <c r="B680">
        <v>30</v>
      </c>
      <c r="C680">
        <v>53</v>
      </c>
    </row>
    <row r="681" spans="1:3" x14ac:dyDescent="0.3">
      <c r="A681" s="1">
        <v>44145</v>
      </c>
      <c r="B681">
        <v>26</v>
      </c>
      <c r="C681">
        <v>60</v>
      </c>
    </row>
    <row r="682" spans="1:3" x14ac:dyDescent="0.3">
      <c r="A682" s="1">
        <v>44146</v>
      </c>
      <c r="B682">
        <v>33</v>
      </c>
      <c r="C682">
        <v>54</v>
      </c>
    </row>
    <row r="683" spans="1:3" x14ac:dyDescent="0.3">
      <c r="A683" s="1">
        <v>44147</v>
      </c>
      <c r="B683">
        <v>27</v>
      </c>
      <c r="C683">
        <v>56</v>
      </c>
    </row>
    <row r="684" spans="1:3" x14ac:dyDescent="0.3">
      <c r="A684" s="1">
        <v>44148</v>
      </c>
      <c r="B684">
        <v>25</v>
      </c>
      <c r="C684">
        <v>48</v>
      </c>
    </row>
    <row r="685" spans="1:3" x14ac:dyDescent="0.3">
      <c r="A685" s="1">
        <v>44149</v>
      </c>
      <c r="B685">
        <v>29</v>
      </c>
      <c r="C685">
        <v>43</v>
      </c>
    </row>
    <row r="686" spans="1:3" x14ac:dyDescent="0.3">
      <c r="A686" s="1">
        <v>44150</v>
      </c>
      <c r="B686">
        <v>31</v>
      </c>
      <c r="C686">
        <v>44</v>
      </c>
    </row>
    <row r="687" spans="1:3" x14ac:dyDescent="0.3">
      <c r="A687" s="1">
        <v>44151</v>
      </c>
      <c r="B687">
        <v>33</v>
      </c>
      <c r="C687">
        <v>43</v>
      </c>
    </row>
    <row r="688" spans="1:3" x14ac:dyDescent="0.3">
      <c r="A688" s="1">
        <v>44152</v>
      </c>
      <c r="B688">
        <v>28</v>
      </c>
      <c r="C688">
        <v>52</v>
      </c>
    </row>
    <row r="689" spans="1:3" x14ac:dyDescent="0.3">
      <c r="A689" s="1">
        <v>44153</v>
      </c>
      <c r="B689">
        <v>22</v>
      </c>
      <c r="C689">
        <v>49</v>
      </c>
    </row>
    <row r="690" spans="1:3" x14ac:dyDescent="0.3">
      <c r="A690" s="1">
        <v>44154</v>
      </c>
      <c r="B690">
        <v>38</v>
      </c>
      <c r="C690">
        <v>48</v>
      </c>
    </row>
    <row r="691" spans="1:3" x14ac:dyDescent="0.3">
      <c r="A691" s="1">
        <v>44155</v>
      </c>
      <c r="B691">
        <v>37</v>
      </c>
      <c r="C691">
        <v>42</v>
      </c>
    </row>
    <row r="692" spans="1:3" x14ac:dyDescent="0.3">
      <c r="A692" s="1">
        <v>44156</v>
      </c>
      <c r="B692">
        <v>33</v>
      </c>
      <c r="C692">
        <v>46</v>
      </c>
    </row>
    <row r="693" spans="1:3" x14ac:dyDescent="0.3">
      <c r="A693" s="1">
        <v>44157</v>
      </c>
      <c r="B693">
        <v>31</v>
      </c>
      <c r="C693">
        <v>45</v>
      </c>
    </row>
    <row r="694" spans="1:3" x14ac:dyDescent="0.3">
      <c r="A694" s="1">
        <v>44158</v>
      </c>
      <c r="B694">
        <v>27</v>
      </c>
      <c r="C694">
        <v>41</v>
      </c>
    </row>
    <row r="695" spans="1:3" x14ac:dyDescent="0.3">
      <c r="A695" s="1">
        <v>44159</v>
      </c>
      <c r="B695">
        <v>32</v>
      </c>
      <c r="C695">
        <v>44</v>
      </c>
    </row>
    <row r="696" spans="1:3" x14ac:dyDescent="0.3">
      <c r="A696" s="1">
        <v>44160</v>
      </c>
      <c r="B696">
        <v>34</v>
      </c>
      <c r="C696">
        <v>58</v>
      </c>
    </row>
    <row r="697" spans="1:3" x14ac:dyDescent="0.3">
      <c r="A697" s="1">
        <v>44161</v>
      </c>
      <c r="B697">
        <v>29</v>
      </c>
      <c r="C697">
        <v>46</v>
      </c>
    </row>
    <row r="698" spans="1:3" x14ac:dyDescent="0.3">
      <c r="A698" s="1">
        <v>44162</v>
      </c>
      <c r="B698">
        <v>30</v>
      </c>
      <c r="C698">
        <v>63</v>
      </c>
    </row>
    <row r="699" spans="1:3" x14ac:dyDescent="0.3">
      <c r="A699" s="1">
        <v>44163</v>
      </c>
      <c r="B699">
        <v>28</v>
      </c>
      <c r="C699">
        <v>47</v>
      </c>
    </row>
    <row r="700" spans="1:3" x14ac:dyDescent="0.3">
      <c r="A700" s="1">
        <v>44164</v>
      </c>
      <c r="B700">
        <v>30</v>
      </c>
      <c r="C700">
        <v>50</v>
      </c>
    </row>
    <row r="701" spans="1:3" x14ac:dyDescent="0.3">
      <c r="A701" s="1">
        <v>44165</v>
      </c>
      <c r="B701">
        <v>37</v>
      </c>
      <c r="C701">
        <v>49</v>
      </c>
    </row>
    <row r="702" spans="1:3" x14ac:dyDescent="0.3">
      <c r="A702" s="1">
        <v>44166</v>
      </c>
      <c r="B702">
        <v>31</v>
      </c>
      <c r="C702">
        <v>43</v>
      </c>
    </row>
    <row r="703" spans="1:3" x14ac:dyDescent="0.3">
      <c r="A703" s="1">
        <v>44167</v>
      </c>
      <c r="B703">
        <v>28</v>
      </c>
      <c r="C703">
        <v>64</v>
      </c>
    </row>
    <row r="704" spans="1:3" x14ac:dyDescent="0.3">
      <c r="A704" s="1">
        <v>44168</v>
      </c>
      <c r="B704">
        <v>35</v>
      </c>
      <c r="C704">
        <v>63</v>
      </c>
    </row>
    <row r="705" spans="1:3" x14ac:dyDescent="0.3">
      <c r="A705" s="1">
        <v>44169</v>
      </c>
      <c r="B705">
        <v>30</v>
      </c>
      <c r="C705">
        <v>63</v>
      </c>
    </row>
    <row r="706" spans="1:3" x14ac:dyDescent="0.3">
      <c r="A706" s="1">
        <v>44170</v>
      </c>
      <c r="B706">
        <v>35</v>
      </c>
      <c r="C706">
        <v>59</v>
      </c>
    </row>
    <row r="707" spans="1:3" x14ac:dyDescent="0.3">
      <c r="A707" s="1">
        <v>44171</v>
      </c>
      <c r="B707">
        <v>28</v>
      </c>
      <c r="C707">
        <v>38</v>
      </c>
    </row>
    <row r="708" spans="1:3" x14ac:dyDescent="0.3">
      <c r="A708" s="1">
        <v>44172</v>
      </c>
      <c r="B708">
        <v>20</v>
      </c>
      <c r="C708">
        <v>55</v>
      </c>
    </row>
    <row r="709" spans="1:3" x14ac:dyDescent="0.3">
      <c r="A709" s="1">
        <v>44173</v>
      </c>
      <c r="B709">
        <v>32</v>
      </c>
      <c r="C709">
        <v>38</v>
      </c>
    </row>
    <row r="710" spans="1:3" x14ac:dyDescent="0.3">
      <c r="A710" s="1">
        <v>44174</v>
      </c>
      <c r="B710">
        <v>31</v>
      </c>
      <c r="C710">
        <v>57</v>
      </c>
    </row>
    <row r="711" spans="1:3" x14ac:dyDescent="0.3">
      <c r="A711" s="1">
        <v>44175</v>
      </c>
      <c r="B711">
        <v>36</v>
      </c>
      <c r="C711">
        <v>38</v>
      </c>
    </row>
    <row r="712" spans="1:3" x14ac:dyDescent="0.3">
      <c r="A712" s="1">
        <v>44176</v>
      </c>
      <c r="B712">
        <v>29</v>
      </c>
      <c r="C712">
        <v>59</v>
      </c>
    </row>
    <row r="713" spans="1:3" x14ac:dyDescent="0.3">
      <c r="A713" s="1">
        <v>44177</v>
      </c>
      <c r="B713">
        <v>25</v>
      </c>
      <c r="C713">
        <v>46</v>
      </c>
    </row>
    <row r="714" spans="1:3" x14ac:dyDescent="0.3">
      <c r="A714" s="1">
        <v>44178</v>
      </c>
      <c r="B714">
        <v>31</v>
      </c>
      <c r="C714">
        <v>52</v>
      </c>
    </row>
    <row r="715" spans="1:3" x14ac:dyDescent="0.3">
      <c r="A715" s="1">
        <v>44179</v>
      </c>
      <c r="B715">
        <v>25</v>
      </c>
      <c r="C715">
        <v>49</v>
      </c>
    </row>
    <row r="716" spans="1:3" x14ac:dyDescent="0.3">
      <c r="A716" s="1">
        <v>44180</v>
      </c>
      <c r="B716">
        <v>39</v>
      </c>
      <c r="C716">
        <v>50</v>
      </c>
    </row>
    <row r="717" spans="1:3" x14ac:dyDescent="0.3">
      <c r="A717" s="1">
        <v>44181</v>
      </c>
      <c r="B717">
        <v>35</v>
      </c>
      <c r="C717">
        <v>47</v>
      </c>
    </row>
    <row r="718" spans="1:3" x14ac:dyDescent="0.3">
      <c r="A718" s="1">
        <v>44182</v>
      </c>
      <c r="B718">
        <v>28</v>
      </c>
      <c r="C718">
        <v>62</v>
      </c>
    </row>
    <row r="719" spans="1:3" x14ac:dyDescent="0.3">
      <c r="A719" s="1">
        <v>44183</v>
      </c>
      <c r="B719">
        <v>32</v>
      </c>
      <c r="C719">
        <v>39</v>
      </c>
    </row>
    <row r="720" spans="1:3" x14ac:dyDescent="0.3">
      <c r="A720" s="1">
        <v>44184</v>
      </c>
      <c r="B720">
        <v>37</v>
      </c>
      <c r="C720">
        <v>42</v>
      </c>
    </row>
    <row r="721" spans="1:3" x14ac:dyDescent="0.3">
      <c r="A721" s="1">
        <v>44185</v>
      </c>
      <c r="B721">
        <v>27</v>
      </c>
      <c r="C721">
        <v>56</v>
      </c>
    </row>
    <row r="722" spans="1:3" x14ac:dyDescent="0.3">
      <c r="A722" s="1">
        <v>44186</v>
      </c>
      <c r="B722">
        <v>29</v>
      </c>
      <c r="C722">
        <v>47</v>
      </c>
    </row>
    <row r="723" spans="1:3" x14ac:dyDescent="0.3">
      <c r="A723" s="1">
        <v>44187</v>
      </c>
      <c r="B723">
        <v>26</v>
      </c>
      <c r="C723">
        <v>49</v>
      </c>
    </row>
    <row r="724" spans="1:3" x14ac:dyDescent="0.3">
      <c r="A724" s="1">
        <v>44188</v>
      </c>
      <c r="B724">
        <v>38</v>
      </c>
      <c r="C724">
        <v>58</v>
      </c>
    </row>
    <row r="725" spans="1:3" x14ac:dyDescent="0.3">
      <c r="A725" s="1">
        <v>44189</v>
      </c>
      <c r="B725">
        <v>29</v>
      </c>
      <c r="C725">
        <v>44</v>
      </c>
    </row>
    <row r="726" spans="1:3" x14ac:dyDescent="0.3">
      <c r="A726" s="1">
        <v>44190</v>
      </c>
      <c r="B726">
        <v>38</v>
      </c>
      <c r="C726">
        <v>49</v>
      </c>
    </row>
    <row r="727" spans="1:3" x14ac:dyDescent="0.3">
      <c r="A727" s="1">
        <v>44191</v>
      </c>
      <c r="B727">
        <v>23</v>
      </c>
      <c r="C727">
        <v>60</v>
      </c>
    </row>
    <row r="728" spans="1:3" x14ac:dyDescent="0.3">
      <c r="A728" s="1">
        <v>44192</v>
      </c>
      <c r="B728">
        <v>26</v>
      </c>
      <c r="C728">
        <v>50</v>
      </c>
    </row>
    <row r="729" spans="1:3" x14ac:dyDescent="0.3">
      <c r="A729" s="1">
        <v>44193</v>
      </c>
      <c r="B729">
        <v>35</v>
      </c>
      <c r="C729">
        <v>47</v>
      </c>
    </row>
    <row r="730" spans="1:3" x14ac:dyDescent="0.3">
      <c r="A730" s="1">
        <v>44194</v>
      </c>
      <c r="B730">
        <v>28</v>
      </c>
      <c r="C730">
        <v>42</v>
      </c>
    </row>
    <row r="731" spans="1:3" x14ac:dyDescent="0.3">
      <c r="A731" s="1">
        <v>44195</v>
      </c>
      <c r="B731">
        <v>30</v>
      </c>
      <c r="C731">
        <v>50</v>
      </c>
    </row>
    <row r="732" spans="1:3" x14ac:dyDescent="0.3">
      <c r="A732" s="1">
        <v>44196</v>
      </c>
      <c r="B732">
        <v>34</v>
      </c>
      <c r="C732">
        <v>59</v>
      </c>
    </row>
    <row r="733" spans="1:3" x14ac:dyDescent="0.3">
      <c r="A733" s="1">
        <v>44197</v>
      </c>
      <c r="B733">
        <v>36</v>
      </c>
      <c r="C733">
        <v>48</v>
      </c>
    </row>
    <row r="734" spans="1:3" x14ac:dyDescent="0.3">
      <c r="A734" s="1">
        <v>44198</v>
      </c>
      <c r="B734">
        <v>33</v>
      </c>
      <c r="C734">
        <v>58</v>
      </c>
    </row>
    <row r="735" spans="1:3" x14ac:dyDescent="0.3">
      <c r="A735" s="1">
        <v>44199</v>
      </c>
      <c r="B735">
        <v>30</v>
      </c>
      <c r="C735">
        <v>59</v>
      </c>
    </row>
    <row r="736" spans="1:3" x14ac:dyDescent="0.3">
      <c r="A736" s="1">
        <v>44200</v>
      </c>
      <c r="B736">
        <v>30</v>
      </c>
      <c r="C736">
        <v>48</v>
      </c>
    </row>
    <row r="737" spans="1:3" x14ac:dyDescent="0.3">
      <c r="A737" s="1">
        <v>44201</v>
      </c>
      <c r="B737">
        <v>30</v>
      </c>
      <c r="C737">
        <v>58</v>
      </c>
    </row>
    <row r="738" spans="1:3" x14ac:dyDescent="0.3">
      <c r="A738" s="1">
        <v>44202</v>
      </c>
      <c r="B738">
        <v>30</v>
      </c>
      <c r="C738">
        <v>57</v>
      </c>
    </row>
    <row r="739" spans="1:3" x14ac:dyDescent="0.3">
      <c r="A739" s="1">
        <v>44203</v>
      </c>
      <c r="B739">
        <v>30</v>
      </c>
      <c r="C739">
        <v>47</v>
      </c>
    </row>
    <row r="740" spans="1:3" x14ac:dyDescent="0.3">
      <c r="A740" s="1">
        <v>44204</v>
      </c>
      <c r="B740">
        <v>36</v>
      </c>
      <c r="C740">
        <v>43</v>
      </c>
    </row>
    <row r="741" spans="1:3" x14ac:dyDescent="0.3">
      <c r="A741" s="1">
        <v>44205</v>
      </c>
      <c r="B741">
        <v>31</v>
      </c>
      <c r="C741">
        <v>50</v>
      </c>
    </row>
    <row r="742" spans="1:3" x14ac:dyDescent="0.3">
      <c r="A742" s="1">
        <v>44206</v>
      </c>
      <c r="B742">
        <v>27</v>
      </c>
      <c r="C742">
        <v>51</v>
      </c>
    </row>
    <row r="743" spans="1:3" x14ac:dyDescent="0.3">
      <c r="A743" s="1">
        <v>44207</v>
      </c>
      <c r="B743">
        <v>39</v>
      </c>
      <c r="C743">
        <v>49</v>
      </c>
    </row>
    <row r="744" spans="1:3" x14ac:dyDescent="0.3">
      <c r="A744" s="1">
        <v>44208</v>
      </c>
      <c r="B744">
        <v>30</v>
      </c>
      <c r="C744">
        <v>49</v>
      </c>
    </row>
    <row r="745" spans="1:3" x14ac:dyDescent="0.3">
      <c r="A745" s="1">
        <v>44209</v>
      </c>
      <c r="B745">
        <v>30</v>
      </c>
      <c r="C745">
        <v>48</v>
      </c>
    </row>
    <row r="746" spans="1:3" x14ac:dyDescent="0.3">
      <c r="A746" s="1">
        <v>44210</v>
      </c>
      <c r="B746">
        <v>32</v>
      </c>
      <c r="C746">
        <v>52</v>
      </c>
    </row>
    <row r="747" spans="1:3" x14ac:dyDescent="0.3">
      <c r="A747" s="1">
        <v>44211</v>
      </c>
      <c r="B747">
        <v>35</v>
      </c>
      <c r="C747">
        <v>52</v>
      </c>
    </row>
    <row r="748" spans="1:3" x14ac:dyDescent="0.3">
      <c r="A748" s="1">
        <v>44212</v>
      </c>
      <c r="B748">
        <v>33</v>
      </c>
      <c r="C748">
        <v>50</v>
      </c>
    </row>
    <row r="749" spans="1:3" x14ac:dyDescent="0.3">
      <c r="A749" s="1">
        <v>44213</v>
      </c>
      <c r="B749">
        <v>30</v>
      </c>
      <c r="C749">
        <v>51</v>
      </c>
    </row>
    <row r="750" spans="1:3" x14ac:dyDescent="0.3">
      <c r="A750" s="1">
        <v>44214</v>
      </c>
      <c r="B750">
        <v>42</v>
      </c>
      <c r="C750">
        <v>53</v>
      </c>
    </row>
    <row r="751" spans="1:3" x14ac:dyDescent="0.3">
      <c r="A751" s="1">
        <v>44215</v>
      </c>
      <c r="B751">
        <v>51</v>
      </c>
      <c r="C751">
        <v>61</v>
      </c>
    </row>
    <row r="752" spans="1:3" x14ac:dyDescent="0.3">
      <c r="A752" s="1">
        <v>44216</v>
      </c>
      <c r="B752">
        <v>32</v>
      </c>
      <c r="C752">
        <v>61</v>
      </c>
    </row>
    <row r="753" spans="1:3" x14ac:dyDescent="0.3">
      <c r="A753" s="1">
        <v>44217</v>
      </c>
      <c r="B753">
        <v>33</v>
      </c>
      <c r="C753">
        <v>53</v>
      </c>
    </row>
    <row r="754" spans="1:3" x14ac:dyDescent="0.3">
      <c r="A754" s="1">
        <v>44218</v>
      </c>
      <c r="B754">
        <v>31</v>
      </c>
      <c r="C754">
        <v>42</v>
      </c>
    </row>
    <row r="755" spans="1:3" x14ac:dyDescent="0.3">
      <c r="A755" s="1">
        <v>44219</v>
      </c>
      <c r="B755">
        <v>28</v>
      </c>
      <c r="C755">
        <v>41</v>
      </c>
    </row>
    <row r="756" spans="1:3" x14ac:dyDescent="0.3">
      <c r="A756" s="1">
        <v>44220</v>
      </c>
      <c r="B756">
        <v>25</v>
      </c>
      <c r="C756">
        <v>35</v>
      </c>
    </row>
    <row r="757" spans="1:3" x14ac:dyDescent="0.3">
      <c r="A757" s="1">
        <v>44221</v>
      </c>
      <c r="B757">
        <v>23</v>
      </c>
      <c r="C757">
        <v>63</v>
      </c>
    </row>
    <row r="758" spans="1:3" x14ac:dyDescent="0.3">
      <c r="A758" s="1">
        <v>44222</v>
      </c>
      <c r="B758">
        <v>26</v>
      </c>
      <c r="C758">
        <v>64</v>
      </c>
    </row>
    <row r="759" spans="1:3" x14ac:dyDescent="0.3">
      <c r="A759" s="1">
        <v>44223</v>
      </c>
      <c r="B759">
        <v>36</v>
      </c>
      <c r="C759">
        <v>60</v>
      </c>
    </row>
    <row r="760" spans="1:3" x14ac:dyDescent="0.3">
      <c r="A760" s="1">
        <v>44224</v>
      </c>
      <c r="B760">
        <v>25</v>
      </c>
      <c r="C760">
        <v>56</v>
      </c>
    </row>
    <row r="761" spans="1:3" x14ac:dyDescent="0.3">
      <c r="A761" s="1">
        <v>44225</v>
      </c>
      <c r="B761">
        <v>41</v>
      </c>
      <c r="C761">
        <v>52</v>
      </c>
    </row>
    <row r="762" spans="1:3" x14ac:dyDescent="0.3">
      <c r="A762" s="1">
        <v>44226</v>
      </c>
      <c r="B762">
        <v>40</v>
      </c>
      <c r="C762">
        <v>47</v>
      </c>
    </row>
    <row r="763" spans="1:3" x14ac:dyDescent="0.3">
      <c r="A763" s="1">
        <v>44227</v>
      </c>
      <c r="B763">
        <v>35</v>
      </c>
      <c r="C763">
        <v>60</v>
      </c>
    </row>
    <row r="764" spans="1:3" x14ac:dyDescent="0.3">
      <c r="A764" s="1">
        <v>44228</v>
      </c>
      <c r="B764">
        <v>33</v>
      </c>
      <c r="C764">
        <v>51</v>
      </c>
    </row>
    <row r="765" spans="1:3" x14ac:dyDescent="0.3">
      <c r="A765" s="1">
        <v>44229</v>
      </c>
      <c r="B765">
        <v>43</v>
      </c>
      <c r="C765">
        <v>43</v>
      </c>
    </row>
    <row r="766" spans="1:3" x14ac:dyDescent="0.3">
      <c r="A766" s="1">
        <v>44230</v>
      </c>
      <c r="B766">
        <v>19</v>
      </c>
      <c r="C766">
        <v>62</v>
      </c>
    </row>
    <row r="767" spans="1:3" x14ac:dyDescent="0.3">
      <c r="A767" s="1">
        <v>44231</v>
      </c>
      <c r="B767">
        <v>38</v>
      </c>
      <c r="C767">
        <v>59</v>
      </c>
    </row>
    <row r="768" spans="1:3" x14ac:dyDescent="0.3">
      <c r="A768" s="1">
        <v>44232</v>
      </c>
      <c r="B768">
        <v>37</v>
      </c>
      <c r="C768">
        <v>57</v>
      </c>
    </row>
    <row r="769" spans="1:3" x14ac:dyDescent="0.3">
      <c r="A769" s="1">
        <v>44233</v>
      </c>
      <c r="B769">
        <v>28</v>
      </c>
      <c r="C769">
        <v>54</v>
      </c>
    </row>
    <row r="770" spans="1:3" x14ac:dyDescent="0.3">
      <c r="A770" s="1">
        <v>44234</v>
      </c>
      <c r="B770">
        <v>24</v>
      </c>
      <c r="C770">
        <v>53</v>
      </c>
    </row>
    <row r="771" spans="1:3" x14ac:dyDescent="0.3">
      <c r="A771" s="1">
        <v>44235</v>
      </c>
      <c r="B771">
        <v>29</v>
      </c>
      <c r="C771">
        <v>52</v>
      </c>
    </row>
    <row r="772" spans="1:3" x14ac:dyDescent="0.3">
      <c r="A772" s="1">
        <v>44236</v>
      </c>
      <c r="B772">
        <v>29</v>
      </c>
      <c r="C772">
        <v>52</v>
      </c>
    </row>
    <row r="773" spans="1:3" x14ac:dyDescent="0.3">
      <c r="A773" s="1">
        <v>44237</v>
      </c>
      <c r="B773">
        <v>32</v>
      </c>
      <c r="C773">
        <v>49</v>
      </c>
    </row>
    <row r="774" spans="1:3" x14ac:dyDescent="0.3">
      <c r="A774" s="1">
        <v>44238</v>
      </c>
      <c r="B774">
        <v>39</v>
      </c>
      <c r="C774">
        <v>41</v>
      </c>
    </row>
    <row r="775" spans="1:3" x14ac:dyDescent="0.3">
      <c r="A775" s="1">
        <v>44239</v>
      </c>
      <c r="B775">
        <v>26</v>
      </c>
      <c r="C775">
        <v>65</v>
      </c>
    </row>
    <row r="776" spans="1:3" x14ac:dyDescent="0.3">
      <c r="A776" s="1">
        <v>44240</v>
      </c>
      <c r="B776">
        <v>30</v>
      </c>
      <c r="C776">
        <v>52</v>
      </c>
    </row>
    <row r="777" spans="1:3" x14ac:dyDescent="0.3">
      <c r="A777" s="1">
        <v>44241</v>
      </c>
      <c r="B777">
        <v>24</v>
      </c>
      <c r="C777">
        <v>58</v>
      </c>
    </row>
    <row r="778" spans="1:3" x14ac:dyDescent="0.3">
      <c r="A778" s="1">
        <v>44242</v>
      </c>
      <c r="B778">
        <v>37</v>
      </c>
      <c r="C778">
        <v>67</v>
      </c>
    </row>
    <row r="779" spans="1:3" x14ac:dyDescent="0.3">
      <c r="A779" s="1">
        <v>44243</v>
      </c>
      <c r="B779">
        <v>35</v>
      </c>
      <c r="C779">
        <v>48</v>
      </c>
    </row>
    <row r="780" spans="1:3" x14ac:dyDescent="0.3">
      <c r="A780" s="1">
        <v>44244</v>
      </c>
      <c r="B780">
        <v>39</v>
      </c>
      <c r="C780">
        <v>53</v>
      </c>
    </row>
    <row r="781" spans="1:3" x14ac:dyDescent="0.3">
      <c r="A781" s="1">
        <v>44245</v>
      </c>
      <c r="B781">
        <v>38</v>
      </c>
      <c r="C781">
        <v>51</v>
      </c>
    </row>
    <row r="782" spans="1:3" x14ac:dyDescent="0.3">
      <c r="A782" s="1">
        <v>44246</v>
      </c>
      <c r="B782">
        <v>34</v>
      </c>
      <c r="C782">
        <v>48</v>
      </c>
    </row>
    <row r="783" spans="1:3" x14ac:dyDescent="0.3">
      <c r="A783" s="1">
        <v>44247</v>
      </c>
      <c r="B783">
        <v>30</v>
      </c>
      <c r="C783">
        <v>50</v>
      </c>
    </row>
    <row r="784" spans="1:3" x14ac:dyDescent="0.3">
      <c r="A784" s="1">
        <v>44248</v>
      </c>
      <c r="B784">
        <v>27</v>
      </c>
      <c r="C784">
        <v>38</v>
      </c>
    </row>
    <row r="785" spans="1:3" x14ac:dyDescent="0.3">
      <c r="A785" s="1">
        <v>44249</v>
      </c>
      <c r="B785">
        <v>29</v>
      </c>
      <c r="C785">
        <v>44</v>
      </c>
    </row>
    <row r="786" spans="1:3" x14ac:dyDescent="0.3">
      <c r="A786" s="1">
        <v>44250</v>
      </c>
      <c r="B786">
        <v>30</v>
      </c>
      <c r="C786">
        <v>52</v>
      </c>
    </row>
    <row r="787" spans="1:3" x14ac:dyDescent="0.3">
      <c r="A787" s="1">
        <v>44251</v>
      </c>
      <c r="B787">
        <v>27</v>
      </c>
      <c r="C787">
        <v>50</v>
      </c>
    </row>
    <row r="788" spans="1:3" x14ac:dyDescent="0.3">
      <c r="A788" s="1">
        <v>44252</v>
      </c>
      <c r="B788">
        <v>32</v>
      </c>
      <c r="C788">
        <v>60</v>
      </c>
    </row>
    <row r="789" spans="1:3" x14ac:dyDescent="0.3">
      <c r="A789" s="1">
        <v>44253</v>
      </c>
      <c r="B789">
        <v>26</v>
      </c>
      <c r="C789">
        <v>43</v>
      </c>
    </row>
    <row r="790" spans="1:3" x14ac:dyDescent="0.3">
      <c r="A790" s="1">
        <v>44254</v>
      </c>
      <c r="B790">
        <v>35</v>
      </c>
      <c r="C790">
        <v>55</v>
      </c>
    </row>
    <row r="791" spans="1:3" x14ac:dyDescent="0.3">
      <c r="A791" s="1">
        <v>44255</v>
      </c>
      <c r="B791">
        <v>29</v>
      </c>
      <c r="C791">
        <v>43</v>
      </c>
    </row>
    <row r="792" spans="1:3" x14ac:dyDescent="0.3">
      <c r="A792" s="1">
        <v>44256</v>
      </c>
      <c r="B792">
        <v>38</v>
      </c>
      <c r="C792">
        <v>59</v>
      </c>
    </row>
    <row r="793" spans="1:3" x14ac:dyDescent="0.3">
      <c r="A793" s="1">
        <v>44257</v>
      </c>
      <c r="B793">
        <v>40</v>
      </c>
      <c r="C793">
        <v>55</v>
      </c>
    </row>
    <row r="794" spans="1:3" x14ac:dyDescent="0.3">
      <c r="A794" s="1">
        <v>44258</v>
      </c>
      <c r="B794">
        <v>34</v>
      </c>
      <c r="C794">
        <v>61</v>
      </c>
    </row>
    <row r="795" spans="1:3" x14ac:dyDescent="0.3">
      <c r="A795" s="1">
        <v>44259</v>
      </c>
      <c r="B795">
        <v>30</v>
      </c>
      <c r="C795">
        <v>58</v>
      </c>
    </row>
    <row r="796" spans="1:3" x14ac:dyDescent="0.3">
      <c r="A796" s="1">
        <v>44260</v>
      </c>
      <c r="B796">
        <v>39</v>
      </c>
      <c r="C796">
        <v>53</v>
      </c>
    </row>
    <row r="797" spans="1:3" x14ac:dyDescent="0.3">
      <c r="A797" s="1">
        <v>44261</v>
      </c>
      <c r="B797">
        <v>29</v>
      </c>
      <c r="C797">
        <v>44</v>
      </c>
    </row>
    <row r="798" spans="1:3" x14ac:dyDescent="0.3">
      <c r="A798" s="1">
        <v>44262</v>
      </c>
      <c r="B798">
        <v>27</v>
      </c>
      <c r="C798">
        <v>48</v>
      </c>
    </row>
    <row r="799" spans="1:3" x14ac:dyDescent="0.3">
      <c r="A799" s="1">
        <v>44263</v>
      </c>
      <c r="B799">
        <v>32</v>
      </c>
      <c r="C799">
        <v>47</v>
      </c>
    </row>
    <row r="800" spans="1:3" x14ac:dyDescent="0.3">
      <c r="A800" s="1">
        <v>44264</v>
      </c>
      <c r="B800">
        <v>35</v>
      </c>
      <c r="C800">
        <v>58</v>
      </c>
    </row>
    <row r="801" spans="1:3" x14ac:dyDescent="0.3">
      <c r="A801" s="1">
        <v>44265</v>
      </c>
      <c r="B801">
        <v>26</v>
      </c>
      <c r="C801">
        <v>46</v>
      </c>
    </row>
    <row r="802" spans="1:3" x14ac:dyDescent="0.3">
      <c r="A802" s="1">
        <v>44266</v>
      </c>
      <c r="B802">
        <v>32</v>
      </c>
      <c r="C802">
        <v>67</v>
      </c>
    </row>
    <row r="803" spans="1:3" x14ac:dyDescent="0.3">
      <c r="A803" s="1">
        <v>44267</v>
      </c>
      <c r="B803">
        <v>40</v>
      </c>
      <c r="C803">
        <v>60</v>
      </c>
    </row>
    <row r="804" spans="1:3" x14ac:dyDescent="0.3">
      <c r="A804" s="1">
        <v>44268</v>
      </c>
      <c r="B804">
        <v>25</v>
      </c>
      <c r="C804">
        <v>48</v>
      </c>
    </row>
    <row r="805" spans="1:3" x14ac:dyDescent="0.3">
      <c r="A805" s="1">
        <v>44269</v>
      </c>
      <c r="B805">
        <v>30</v>
      </c>
      <c r="C805">
        <v>39</v>
      </c>
    </row>
    <row r="806" spans="1:3" x14ac:dyDescent="0.3">
      <c r="A806" s="1">
        <v>44270</v>
      </c>
      <c r="B806">
        <v>30</v>
      </c>
      <c r="C806">
        <v>47</v>
      </c>
    </row>
    <row r="807" spans="1:3" x14ac:dyDescent="0.3">
      <c r="A807" s="1">
        <v>44271</v>
      </c>
      <c r="B807">
        <v>38</v>
      </c>
      <c r="C807">
        <v>68</v>
      </c>
    </row>
    <row r="808" spans="1:3" x14ac:dyDescent="0.3">
      <c r="A808" s="1">
        <v>44272</v>
      </c>
      <c r="B808">
        <v>35</v>
      </c>
      <c r="C808">
        <v>57</v>
      </c>
    </row>
    <row r="809" spans="1:3" x14ac:dyDescent="0.3">
      <c r="A809" s="1">
        <v>44273</v>
      </c>
      <c r="B809">
        <v>39</v>
      </c>
      <c r="C809">
        <v>56</v>
      </c>
    </row>
    <row r="810" spans="1:3" x14ac:dyDescent="0.3">
      <c r="A810" s="1">
        <v>44274</v>
      </c>
      <c r="B810">
        <v>42</v>
      </c>
      <c r="C810">
        <v>63</v>
      </c>
    </row>
    <row r="811" spans="1:3" x14ac:dyDescent="0.3">
      <c r="A811" s="1">
        <v>44275</v>
      </c>
      <c r="B811">
        <v>36</v>
      </c>
      <c r="C811">
        <v>45</v>
      </c>
    </row>
    <row r="812" spans="1:3" x14ac:dyDescent="0.3">
      <c r="A812" s="1">
        <v>44276</v>
      </c>
      <c r="B812">
        <v>27</v>
      </c>
      <c r="C812">
        <v>50</v>
      </c>
    </row>
    <row r="813" spans="1:3" x14ac:dyDescent="0.3">
      <c r="A813" s="1">
        <v>44277</v>
      </c>
      <c r="B813">
        <v>28</v>
      </c>
      <c r="C813">
        <v>57</v>
      </c>
    </row>
    <row r="814" spans="1:3" x14ac:dyDescent="0.3">
      <c r="A814" s="1">
        <v>44278</v>
      </c>
      <c r="B814">
        <v>41</v>
      </c>
      <c r="C814">
        <v>52</v>
      </c>
    </row>
    <row r="815" spans="1:3" x14ac:dyDescent="0.3">
      <c r="A815" s="1">
        <v>44279</v>
      </c>
      <c r="B815">
        <v>32</v>
      </c>
      <c r="C815">
        <v>66</v>
      </c>
    </row>
    <row r="816" spans="1:3" x14ac:dyDescent="0.3">
      <c r="A816" s="1">
        <v>44280</v>
      </c>
      <c r="B816">
        <v>34</v>
      </c>
      <c r="C816">
        <v>59</v>
      </c>
    </row>
    <row r="817" spans="1:3" x14ac:dyDescent="0.3">
      <c r="A817" s="1">
        <v>44281</v>
      </c>
      <c r="B817">
        <v>27</v>
      </c>
      <c r="C817">
        <v>52</v>
      </c>
    </row>
    <row r="818" spans="1:3" x14ac:dyDescent="0.3">
      <c r="A818" s="1">
        <v>44282</v>
      </c>
      <c r="B818">
        <v>31</v>
      </c>
      <c r="C818">
        <v>59</v>
      </c>
    </row>
    <row r="819" spans="1:3" x14ac:dyDescent="0.3">
      <c r="A819" s="1">
        <v>44283</v>
      </c>
      <c r="B819">
        <v>27</v>
      </c>
      <c r="C819">
        <v>49</v>
      </c>
    </row>
    <row r="820" spans="1:3" x14ac:dyDescent="0.3">
      <c r="A820" s="1">
        <v>44284</v>
      </c>
      <c r="B820">
        <v>28</v>
      </c>
      <c r="C820">
        <v>54</v>
      </c>
    </row>
    <row r="821" spans="1:3" x14ac:dyDescent="0.3">
      <c r="A821" s="1">
        <v>44285</v>
      </c>
      <c r="B821">
        <v>37</v>
      </c>
      <c r="C821">
        <v>57</v>
      </c>
    </row>
    <row r="822" spans="1:3" x14ac:dyDescent="0.3">
      <c r="A822" s="1">
        <v>44286</v>
      </c>
      <c r="B822">
        <v>38</v>
      </c>
      <c r="C822">
        <v>48</v>
      </c>
    </row>
    <row r="823" spans="1:3" x14ac:dyDescent="0.3">
      <c r="A823" s="1">
        <v>44287</v>
      </c>
      <c r="B823">
        <v>43</v>
      </c>
      <c r="C823">
        <v>66</v>
      </c>
    </row>
    <row r="824" spans="1:3" x14ac:dyDescent="0.3">
      <c r="A824" s="1">
        <v>44288</v>
      </c>
      <c r="B824">
        <v>33</v>
      </c>
      <c r="C824">
        <v>47</v>
      </c>
    </row>
    <row r="825" spans="1:3" x14ac:dyDescent="0.3">
      <c r="A825" s="1">
        <v>44289</v>
      </c>
      <c r="B825">
        <v>40</v>
      </c>
      <c r="C825">
        <v>68</v>
      </c>
    </row>
    <row r="826" spans="1:3" x14ac:dyDescent="0.3">
      <c r="A826" s="1">
        <v>44290</v>
      </c>
      <c r="B826">
        <v>31</v>
      </c>
      <c r="C826">
        <v>68</v>
      </c>
    </row>
    <row r="827" spans="1:3" x14ac:dyDescent="0.3">
      <c r="A827" s="1">
        <v>44291</v>
      </c>
      <c r="B827">
        <v>21</v>
      </c>
      <c r="C827">
        <v>48</v>
      </c>
    </row>
    <row r="828" spans="1:3" x14ac:dyDescent="0.3">
      <c r="A828" s="1">
        <v>44292</v>
      </c>
      <c r="B828">
        <v>34</v>
      </c>
      <c r="C828">
        <v>39</v>
      </c>
    </row>
    <row r="829" spans="1:3" x14ac:dyDescent="0.3">
      <c r="A829" s="1">
        <v>44293</v>
      </c>
      <c r="B829">
        <v>33</v>
      </c>
      <c r="C829">
        <v>76</v>
      </c>
    </row>
    <row r="830" spans="1:3" x14ac:dyDescent="0.3">
      <c r="A830" s="1">
        <v>44294</v>
      </c>
      <c r="B830">
        <v>32</v>
      </c>
      <c r="C830">
        <v>65</v>
      </c>
    </row>
    <row r="831" spans="1:3" x14ac:dyDescent="0.3">
      <c r="A831" s="1">
        <v>44295</v>
      </c>
      <c r="B831">
        <v>46</v>
      </c>
      <c r="C831">
        <v>69</v>
      </c>
    </row>
    <row r="832" spans="1:3" x14ac:dyDescent="0.3">
      <c r="A832" s="1">
        <v>44296</v>
      </c>
      <c r="B832">
        <v>38</v>
      </c>
      <c r="C832">
        <v>60</v>
      </c>
    </row>
    <row r="833" spans="1:3" x14ac:dyDescent="0.3">
      <c r="A833" s="1">
        <v>44297</v>
      </c>
      <c r="B833">
        <v>40</v>
      </c>
      <c r="C833">
        <v>58</v>
      </c>
    </row>
    <row r="834" spans="1:3" x14ac:dyDescent="0.3">
      <c r="A834" s="1">
        <v>44298</v>
      </c>
      <c r="B834">
        <v>37</v>
      </c>
      <c r="C834">
        <v>54</v>
      </c>
    </row>
    <row r="835" spans="1:3" x14ac:dyDescent="0.3">
      <c r="A835" s="1">
        <v>44299</v>
      </c>
      <c r="B835">
        <v>29</v>
      </c>
      <c r="C835">
        <v>60</v>
      </c>
    </row>
    <row r="836" spans="1:3" x14ac:dyDescent="0.3">
      <c r="A836" s="1">
        <v>44300</v>
      </c>
      <c r="B836">
        <v>43</v>
      </c>
      <c r="C836">
        <v>52</v>
      </c>
    </row>
    <row r="837" spans="1:3" x14ac:dyDescent="0.3">
      <c r="A837" s="1">
        <v>44301</v>
      </c>
      <c r="B837">
        <v>41</v>
      </c>
      <c r="C837">
        <v>50</v>
      </c>
    </row>
    <row r="838" spans="1:3" x14ac:dyDescent="0.3">
      <c r="A838" s="1">
        <v>44302</v>
      </c>
      <c r="B838">
        <v>31</v>
      </c>
      <c r="C838">
        <v>64</v>
      </c>
    </row>
    <row r="839" spans="1:3" x14ac:dyDescent="0.3">
      <c r="A839" s="1">
        <v>44303</v>
      </c>
      <c r="B839">
        <v>32</v>
      </c>
      <c r="C839">
        <v>57</v>
      </c>
    </row>
    <row r="840" spans="1:3" x14ac:dyDescent="0.3">
      <c r="A840" s="1">
        <v>44304</v>
      </c>
      <c r="B840">
        <v>37</v>
      </c>
      <c r="C840">
        <v>56</v>
      </c>
    </row>
    <row r="841" spans="1:3" x14ac:dyDescent="0.3">
      <c r="A841" s="1">
        <v>44305</v>
      </c>
      <c r="B841">
        <v>35</v>
      </c>
      <c r="C841">
        <v>51</v>
      </c>
    </row>
    <row r="842" spans="1:3" x14ac:dyDescent="0.3">
      <c r="A842" s="1">
        <v>44306</v>
      </c>
      <c r="B842">
        <v>45</v>
      </c>
      <c r="C842">
        <v>67</v>
      </c>
    </row>
    <row r="843" spans="1:3" x14ac:dyDescent="0.3">
      <c r="A843" s="1">
        <v>44307</v>
      </c>
      <c r="B843">
        <v>42</v>
      </c>
      <c r="C843">
        <v>55</v>
      </c>
    </row>
    <row r="844" spans="1:3" x14ac:dyDescent="0.3">
      <c r="A844" s="1">
        <v>44308</v>
      </c>
      <c r="B844">
        <v>46</v>
      </c>
      <c r="C844">
        <v>74</v>
      </c>
    </row>
    <row r="845" spans="1:3" x14ac:dyDescent="0.3">
      <c r="A845" s="1">
        <v>44309</v>
      </c>
      <c r="B845">
        <v>43</v>
      </c>
      <c r="C845">
        <v>60</v>
      </c>
    </row>
    <row r="846" spans="1:3" x14ac:dyDescent="0.3">
      <c r="A846" s="1">
        <v>44310</v>
      </c>
      <c r="B846">
        <v>45</v>
      </c>
      <c r="C846">
        <v>55</v>
      </c>
    </row>
    <row r="847" spans="1:3" x14ac:dyDescent="0.3">
      <c r="A847" s="1">
        <v>44311</v>
      </c>
      <c r="B847">
        <v>34</v>
      </c>
      <c r="C847">
        <v>58</v>
      </c>
    </row>
    <row r="848" spans="1:3" x14ac:dyDescent="0.3">
      <c r="A848" s="1">
        <v>44312</v>
      </c>
      <c r="B848">
        <v>32</v>
      </c>
      <c r="C848">
        <v>53</v>
      </c>
    </row>
    <row r="849" spans="1:3" x14ac:dyDescent="0.3">
      <c r="A849" s="1">
        <v>44313</v>
      </c>
      <c r="B849">
        <v>42</v>
      </c>
      <c r="C849">
        <v>55</v>
      </c>
    </row>
    <row r="850" spans="1:3" x14ac:dyDescent="0.3">
      <c r="A850" s="1">
        <v>44314</v>
      </c>
      <c r="B850">
        <v>35</v>
      </c>
      <c r="C850">
        <v>50</v>
      </c>
    </row>
    <row r="851" spans="1:3" x14ac:dyDescent="0.3">
      <c r="A851" s="1">
        <v>44315</v>
      </c>
      <c r="B851">
        <v>36</v>
      </c>
      <c r="C851">
        <v>50</v>
      </c>
    </row>
    <row r="852" spans="1:3" x14ac:dyDescent="0.3">
      <c r="A852" s="1">
        <v>44316</v>
      </c>
      <c r="B852">
        <v>39</v>
      </c>
      <c r="C852">
        <v>50</v>
      </c>
    </row>
    <row r="853" spans="1:3" x14ac:dyDescent="0.3">
      <c r="A853" s="1">
        <v>44317</v>
      </c>
      <c r="B853">
        <v>43</v>
      </c>
      <c r="C853">
        <v>40</v>
      </c>
    </row>
    <row r="854" spans="1:3" x14ac:dyDescent="0.3">
      <c r="A854" s="1">
        <v>44318</v>
      </c>
      <c r="B854">
        <v>27</v>
      </c>
      <c r="C854">
        <v>60</v>
      </c>
    </row>
    <row r="855" spans="1:3" x14ac:dyDescent="0.3">
      <c r="A855" s="1">
        <v>44319</v>
      </c>
      <c r="B855">
        <v>23</v>
      </c>
      <c r="C855">
        <v>64</v>
      </c>
    </row>
    <row r="856" spans="1:3" x14ac:dyDescent="0.3">
      <c r="A856" s="1">
        <v>44320</v>
      </c>
      <c r="B856">
        <v>35</v>
      </c>
      <c r="C856">
        <v>52</v>
      </c>
    </row>
    <row r="857" spans="1:3" x14ac:dyDescent="0.3">
      <c r="A857" s="1">
        <v>44321</v>
      </c>
      <c r="B857">
        <v>22</v>
      </c>
      <c r="C857">
        <v>47</v>
      </c>
    </row>
    <row r="858" spans="1:3" x14ac:dyDescent="0.3">
      <c r="A858" s="1">
        <v>44322</v>
      </c>
      <c r="B858">
        <v>30</v>
      </c>
      <c r="C858">
        <v>67</v>
      </c>
    </row>
    <row r="859" spans="1:3" x14ac:dyDescent="0.3">
      <c r="A859" s="1">
        <v>44323</v>
      </c>
      <c r="B859">
        <v>47</v>
      </c>
      <c r="C859">
        <v>64</v>
      </c>
    </row>
    <row r="860" spans="1:3" x14ac:dyDescent="0.3">
      <c r="A860" s="1">
        <v>44324</v>
      </c>
      <c r="B860">
        <v>36</v>
      </c>
      <c r="C860">
        <v>60</v>
      </c>
    </row>
    <row r="861" spans="1:3" x14ac:dyDescent="0.3">
      <c r="A861" s="1">
        <v>44325</v>
      </c>
      <c r="B861">
        <v>30</v>
      </c>
      <c r="C861">
        <v>57</v>
      </c>
    </row>
    <row r="862" spans="1:3" x14ac:dyDescent="0.3">
      <c r="A862" s="1">
        <v>44326</v>
      </c>
      <c r="B862">
        <v>41</v>
      </c>
      <c r="C862">
        <v>48</v>
      </c>
    </row>
    <row r="863" spans="1:3" x14ac:dyDescent="0.3">
      <c r="A863" s="1">
        <v>44327</v>
      </c>
      <c r="B863">
        <v>44</v>
      </c>
      <c r="C863">
        <v>64</v>
      </c>
    </row>
    <row r="864" spans="1:3" x14ac:dyDescent="0.3">
      <c r="A864" s="1">
        <v>44328</v>
      </c>
      <c r="B864">
        <v>46</v>
      </c>
      <c r="C864">
        <v>58</v>
      </c>
    </row>
    <row r="865" spans="1:3" x14ac:dyDescent="0.3">
      <c r="A865" s="1">
        <v>44329</v>
      </c>
      <c r="B865">
        <v>30</v>
      </c>
      <c r="C865">
        <v>68</v>
      </c>
    </row>
    <row r="866" spans="1:3" x14ac:dyDescent="0.3">
      <c r="A866" s="1">
        <v>44330</v>
      </c>
      <c r="B866">
        <v>31</v>
      </c>
      <c r="C866">
        <v>59</v>
      </c>
    </row>
    <row r="867" spans="1:3" x14ac:dyDescent="0.3">
      <c r="A867" s="1">
        <v>44331</v>
      </c>
      <c r="B867">
        <v>16</v>
      </c>
      <c r="C867">
        <v>52</v>
      </c>
    </row>
    <row r="868" spans="1:3" x14ac:dyDescent="0.3">
      <c r="A868" s="1">
        <v>44332</v>
      </c>
      <c r="B868">
        <v>35</v>
      </c>
      <c r="C868">
        <v>44</v>
      </c>
    </row>
    <row r="869" spans="1:3" x14ac:dyDescent="0.3">
      <c r="A869" s="1">
        <v>44333</v>
      </c>
      <c r="B869">
        <v>43</v>
      </c>
      <c r="C869">
        <v>56</v>
      </c>
    </row>
    <row r="870" spans="1:3" x14ac:dyDescent="0.3">
      <c r="A870" s="1">
        <v>44334</v>
      </c>
      <c r="B870">
        <v>31</v>
      </c>
      <c r="C870">
        <v>52</v>
      </c>
    </row>
    <row r="871" spans="1:3" x14ac:dyDescent="0.3">
      <c r="A871" s="1">
        <v>44335</v>
      </c>
      <c r="B871">
        <v>40</v>
      </c>
      <c r="C871">
        <v>63</v>
      </c>
    </row>
    <row r="872" spans="1:3" x14ac:dyDescent="0.3">
      <c r="A872" s="1">
        <v>44336</v>
      </c>
      <c r="B872">
        <v>32</v>
      </c>
      <c r="C872">
        <v>49</v>
      </c>
    </row>
    <row r="873" spans="1:3" x14ac:dyDescent="0.3">
      <c r="A873" s="1">
        <v>44337</v>
      </c>
      <c r="B873">
        <v>42</v>
      </c>
      <c r="C873">
        <v>56</v>
      </c>
    </row>
    <row r="874" spans="1:3" x14ac:dyDescent="0.3">
      <c r="A874" s="1">
        <v>44338</v>
      </c>
      <c r="B874">
        <v>32</v>
      </c>
      <c r="C874">
        <v>60</v>
      </c>
    </row>
    <row r="875" spans="1:3" x14ac:dyDescent="0.3">
      <c r="A875" s="1">
        <v>44339</v>
      </c>
      <c r="B875">
        <v>28</v>
      </c>
      <c r="C875">
        <v>60</v>
      </c>
    </row>
    <row r="876" spans="1:3" x14ac:dyDescent="0.3">
      <c r="A876" s="1">
        <v>44340</v>
      </c>
      <c r="B876">
        <v>35</v>
      </c>
      <c r="C876">
        <v>57</v>
      </c>
    </row>
    <row r="877" spans="1:3" x14ac:dyDescent="0.3">
      <c r="A877" s="1">
        <v>44341</v>
      </c>
      <c r="B877">
        <v>34</v>
      </c>
      <c r="C877">
        <v>53</v>
      </c>
    </row>
    <row r="878" spans="1:3" x14ac:dyDescent="0.3">
      <c r="A878" s="1">
        <v>44342</v>
      </c>
      <c r="B878">
        <v>32</v>
      </c>
      <c r="C878">
        <v>53</v>
      </c>
    </row>
    <row r="879" spans="1:3" x14ac:dyDescent="0.3">
      <c r="A879" s="1">
        <v>44343</v>
      </c>
      <c r="B879">
        <v>35</v>
      </c>
      <c r="C879">
        <v>57</v>
      </c>
    </row>
    <row r="880" spans="1:3" x14ac:dyDescent="0.3">
      <c r="A880" s="1">
        <v>44344</v>
      </c>
      <c r="B880">
        <v>33</v>
      </c>
      <c r="C880">
        <v>45</v>
      </c>
    </row>
    <row r="881" spans="1:3" x14ac:dyDescent="0.3">
      <c r="A881" s="1">
        <v>44345</v>
      </c>
      <c r="B881">
        <v>36</v>
      </c>
      <c r="C881">
        <v>59</v>
      </c>
    </row>
    <row r="882" spans="1:3" x14ac:dyDescent="0.3">
      <c r="A882" s="1">
        <v>44346</v>
      </c>
      <c r="B882">
        <v>34</v>
      </c>
      <c r="C882">
        <v>64</v>
      </c>
    </row>
    <row r="883" spans="1:3" x14ac:dyDescent="0.3">
      <c r="A883" s="1">
        <v>44347</v>
      </c>
      <c r="B883">
        <v>37</v>
      </c>
      <c r="C883">
        <v>55</v>
      </c>
    </row>
    <row r="884" spans="1:3" x14ac:dyDescent="0.3">
      <c r="A884" s="1">
        <v>44348</v>
      </c>
      <c r="B884">
        <v>47</v>
      </c>
      <c r="C884">
        <v>51</v>
      </c>
    </row>
    <row r="885" spans="1:3" x14ac:dyDescent="0.3">
      <c r="A885" s="1">
        <v>44349</v>
      </c>
      <c r="B885">
        <v>31</v>
      </c>
      <c r="C885">
        <v>66</v>
      </c>
    </row>
    <row r="886" spans="1:3" x14ac:dyDescent="0.3">
      <c r="A886" s="1">
        <v>44350</v>
      </c>
      <c r="B886">
        <v>32</v>
      </c>
      <c r="C886">
        <v>72</v>
      </c>
    </row>
    <row r="887" spans="1:3" x14ac:dyDescent="0.3">
      <c r="A887" s="1">
        <v>44351</v>
      </c>
      <c r="B887">
        <v>39</v>
      </c>
      <c r="C887">
        <v>54</v>
      </c>
    </row>
    <row r="888" spans="1:3" x14ac:dyDescent="0.3">
      <c r="A888" s="1">
        <v>44352</v>
      </c>
      <c r="B888">
        <v>42</v>
      </c>
      <c r="C888">
        <v>56</v>
      </c>
    </row>
    <row r="889" spans="1:3" x14ac:dyDescent="0.3">
      <c r="A889" s="1">
        <v>44353</v>
      </c>
      <c r="B889">
        <v>39</v>
      </c>
      <c r="C889">
        <v>43</v>
      </c>
    </row>
    <row r="890" spans="1:3" x14ac:dyDescent="0.3">
      <c r="A890" s="1">
        <v>44354</v>
      </c>
      <c r="B890">
        <v>33</v>
      </c>
      <c r="C890">
        <v>69</v>
      </c>
    </row>
    <row r="891" spans="1:3" x14ac:dyDescent="0.3">
      <c r="A891" s="1">
        <v>44355</v>
      </c>
      <c r="B891">
        <v>28</v>
      </c>
      <c r="C891">
        <v>62</v>
      </c>
    </row>
    <row r="892" spans="1:3" x14ac:dyDescent="0.3">
      <c r="A892" s="1">
        <v>44356</v>
      </c>
      <c r="B892">
        <v>35</v>
      </c>
      <c r="C892">
        <v>51</v>
      </c>
    </row>
    <row r="893" spans="1:3" x14ac:dyDescent="0.3">
      <c r="A893" s="1">
        <v>44357</v>
      </c>
      <c r="B893">
        <v>46</v>
      </c>
      <c r="C893">
        <v>53</v>
      </c>
    </row>
    <row r="894" spans="1:3" x14ac:dyDescent="0.3">
      <c r="A894" s="1">
        <v>44358</v>
      </c>
      <c r="B894">
        <v>39</v>
      </c>
      <c r="C894">
        <v>58</v>
      </c>
    </row>
    <row r="895" spans="1:3" x14ac:dyDescent="0.3">
      <c r="A895" s="1">
        <v>44359</v>
      </c>
      <c r="B895">
        <v>42</v>
      </c>
      <c r="C895">
        <v>57</v>
      </c>
    </row>
    <row r="896" spans="1:3" x14ac:dyDescent="0.3">
      <c r="A896" s="1">
        <v>44360</v>
      </c>
      <c r="B896">
        <v>33</v>
      </c>
      <c r="C896">
        <v>65</v>
      </c>
    </row>
    <row r="897" spans="1:3" x14ac:dyDescent="0.3">
      <c r="A897" s="1">
        <v>44361</v>
      </c>
      <c r="B897">
        <v>29</v>
      </c>
      <c r="C897">
        <v>42</v>
      </c>
    </row>
    <row r="898" spans="1:3" x14ac:dyDescent="0.3">
      <c r="A898" s="1">
        <v>44362</v>
      </c>
      <c r="B898">
        <v>41</v>
      </c>
      <c r="C898">
        <v>54</v>
      </c>
    </row>
    <row r="899" spans="1:3" x14ac:dyDescent="0.3">
      <c r="A899" s="1">
        <v>44363</v>
      </c>
      <c r="B899">
        <v>37</v>
      </c>
      <c r="C899">
        <v>61</v>
      </c>
    </row>
    <row r="900" spans="1:3" x14ac:dyDescent="0.3">
      <c r="A900" s="1">
        <v>44364</v>
      </c>
      <c r="B900">
        <v>30</v>
      </c>
      <c r="C900">
        <v>58</v>
      </c>
    </row>
    <row r="901" spans="1:3" x14ac:dyDescent="0.3">
      <c r="A901" s="1">
        <v>44365</v>
      </c>
      <c r="B901">
        <v>27</v>
      </c>
      <c r="C901">
        <v>74</v>
      </c>
    </row>
    <row r="902" spans="1:3" x14ac:dyDescent="0.3">
      <c r="A902" s="1">
        <v>44366</v>
      </c>
      <c r="B902">
        <v>36</v>
      </c>
      <c r="C902">
        <v>53</v>
      </c>
    </row>
    <row r="903" spans="1:3" x14ac:dyDescent="0.3">
      <c r="A903" s="1">
        <v>44367</v>
      </c>
      <c r="B903">
        <v>38</v>
      </c>
      <c r="C903">
        <v>51</v>
      </c>
    </row>
    <row r="904" spans="1:3" x14ac:dyDescent="0.3">
      <c r="A904" s="1">
        <v>44368</v>
      </c>
      <c r="B904">
        <v>26</v>
      </c>
      <c r="C904">
        <v>61</v>
      </c>
    </row>
    <row r="905" spans="1:3" x14ac:dyDescent="0.3">
      <c r="A905" s="1">
        <v>44369</v>
      </c>
      <c r="B905">
        <v>30</v>
      </c>
      <c r="C905">
        <v>68</v>
      </c>
    </row>
    <row r="906" spans="1:3" x14ac:dyDescent="0.3">
      <c r="A906" s="1">
        <v>44370</v>
      </c>
      <c r="B906">
        <v>45</v>
      </c>
      <c r="C906">
        <v>55</v>
      </c>
    </row>
    <row r="907" spans="1:3" x14ac:dyDescent="0.3">
      <c r="A907" s="1">
        <v>44371</v>
      </c>
      <c r="B907">
        <v>30</v>
      </c>
      <c r="C907">
        <v>58</v>
      </c>
    </row>
    <row r="908" spans="1:3" x14ac:dyDescent="0.3">
      <c r="A908" s="1">
        <v>44372</v>
      </c>
      <c r="B908">
        <v>42</v>
      </c>
      <c r="C908">
        <v>63</v>
      </c>
    </row>
    <row r="909" spans="1:3" x14ac:dyDescent="0.3">
      <c r="A909" s="1">
        <v>44373</v>
      </c>
      <c r="B909">
        <v>39</v>
      </c>
      <c r="C909">
        <v>52</v>
      </c>
    </row>
    <row r="910" spans="1:3" x14ac:dyDescent="0.3">
      <c r="A910" s="1">
        <v>44374</v>
      </c>
      <c r="B910">
        <v>27</v>
      </c>
      <c r="C910">
        <v>56</v>
      </c>
    </row>
    <row r="911" spans="1:3" x14ac:dyDescent="0.3">
      <c r="A911" s="1">
        <v>44375</v>
      </c>
      <c r="B911">
        <v>28</v>
      </c>
      <c r="C911">
        <v>60</v>
      </c>
    </row>
    <row r="912" spans="1:3" x14ac:dyDescent="0.3">
      <c r="A912" s="1">
        <v>44376</v>
      </c>
      <c r="B912">
        <v>35</v>
      </c>
      <c r="C912">
        <v>62</v>
      </c>
    </row>
    <row r="913" spans="1:3" x14ac:dyDescent="0.3">
      <c r="A913" s="1">
        <v>44377</v>
      </c>
      <c r="B913">
        <v>32</v>
      </c>
      <c r="C913">
        <v>60</v>
      </c>
    </row>
    <row r="914" spans="1:3" x14ac:dyDescent="0.3">
      <c r="A914" s="1">
        <v>44378</v>
      </c>
      <c r="B914">
        <v>35</v>
      </c>
      <c r="C914">
        <v>56</v>
      </c>
    </row>
    <row r="915" spans="1:3" x14ac:dyDescent="0.3">
      <c r="A915" s="1">
        <v>44379</v>
      </c>
      <c r="B915">
        <v>35</v>
      </c>
      <c r="C915">
        <v>58</v>
      </c>
    </row>
    <row r="916" spans="1:3" x14ac:dyDescent="0.3">
      <c r="A916" s="1">
        <v>44380</v>
      </c>
      <c r="B916">
        <v>38</v>
      </c>
      <c r="C916">
        <v>60</v>
      </c>
    </row>
    <row r="917" spans="1:3" x14ac:dyDescent="0.3">
      <c r="A917" s="1">
        <v>44381</v>
      </c>
      <c r="B917">
        <v>33</v>
      </c>
      <c r="C917">
        <v>45</v>
      </c>
    </row>
    <row r="918" spans="1:3" x14ac:dyDescent="0.3">
      <c r="A918" s="1">
        <v>44382</v>
      </c>
      <c r="B918">
        <v>32</v>
      </c>
      <c r="C918">
        <v>58</v>
      </c>
    </row>
    <row r="919" spans="1:3" x14ac:dyDescent="0.3">
      <c r="A919" s="1">
        <v>44383</v>
      </c>
      <c r="B919">
        <v>37</v>
      </c>
      <c r="C919">
        <v>51</v>
      </c>
    </row>
    <row r="920" spans="1:3" x14ac:dyDescent="0.3">
      <c r="A920" s="1">
        <v>44384</v>
      </c>
      <c r="B920">
        <v>43</v>
      </c>
      <c r="C920">
        <v>66</v>
      </c>
    </row>
    <row r="921" spans="1:3" x14ac:dyDescent="0.3">
      <c r="A921" s="1">
        <v>44385</v>
      </c>
      <c r="B921">
        <v>26</v>
      </c>
      <c r="C921">
        <v>59</v>
      </c>
    </row>
    <row r="922" spans="1:3" x14ac:dyDescent="0.3">
      <c r="A922" s="1">
        <v>44386</v>
      </c>
      <c r="B922">
        <v>42</v>
      </c>
      <c r="C922">
        <v>60</v>
      </c>
    </row>
    <row r="923" spans="1:3" x14ac:dyDescent="0.3">
      <c r="A923" s="1">
        <v>44387</v>
      </c>
      <c r="B923">
        <v>25</v>
      </c>
      <c r="C923">
        <v>53</v>
      </c>
    </row>
    <row r="924" spans="1:3" x14ac:dyDescent="0.3">
      <c r="A924" s="1">
        <v>44388</v>
      </c>
      <c r="B924">
        <v>25</v>
      </c>
      <c r="C924">
        <v>55</v>
      </c>
    </row>
    <row r="925" spans="1:3" x14ac:dyDescent="0.3">
      <c r="A925" s="1">
        <v>44389</v>
      </c>
      <c r="B925">
        <v>31</v>
      </c>
      <c r="C925">
        <v>59</v>
      </c>
    </row>
    <row r="926" spans="1:3" x14ac:dyDescent="0.3">
      <c r="A926" s="1">
        <v>44390</v>
      </c>
      <c r="B926">
        <v>37</v>
      </c>
      <c r="C926">
        <v>51</v>
      </c>
    </row>
    <row r="927" spans="1:3" x14ac:dyDescent="0.3">
      <c r="A927" s="1">
        <v>44391</v>
      </c>
      <c r="B927">
        <v>32</v>
      </c>
      <c r="C927">
        <v>65</v>
      </c>
    </row>
    <row r="928" spans="1:3" x14ac:dyDescent="0.3">
      <c r="A928" s="1">
        <v>44392</v>
      </c>
      <c r="B928">
        <v>35</v>
      </c>
      <c r="C928">
        <v>50</v>
      </c>
    </row>
    <row r="929" spans="1:3" x14ac:dyDescent="0.3">
      <c r="A929" s="1">
        <v>44393</v>
      </c>
      <c r="B929">
        <v>41</v>
      </c>
      <c r="C929">
        <v>55</v>
      </c>
    </row>
    <row r="930" spans="1:3" x14ac:dyDescent="0.3">
      <c r="A930" s="1">
        <v>44394</v>
      </c>
      <c r="B930">
        <v>25</v>
      </c>
      <c r="C930">
        <v>60</v>
      </c>
    </row>
    <row r="931" spans="1:3" x14ac:dyDescent="0.3">
      <c r="A931" s="1">
        <v>44395</v>
      </c>
      <c r="B931">
        <v>29</v>
      </c>
      <c r="C931">
        <v>58</v>
      </c>
    </row>
    <row r="932" spans="1:3" x14ac:dyDescent="0.3">
      <c r="A932" s="1">
        <v>44396</v>
      </c>
      <c r="B932">
        <v>33</v>
      </c>
      <c r="C932">
        <v>60</v>
      </c>
    </row>
    <row r="933" spans="1:3" x14ac:dyDescent="0.3">
      <c r="A933" s="1">
        <v>44397</v>
      </c>
      <c r="B933">
        <v>29</v>
      </c>
      <c r="C933">
        <v>60</v>
      </c>
    </row>
    <row r="934" spans="1:3" x14ac:dyDescent="0.3">
      <c r="A934" s="1">
        <v>44398</v>
      </c>
      <c r="B934">
        <v>25</v>
      </c>
      <c r="C934">
        <v>62</v>
      </c>
    </row>
    <row r="935" spans="1:3" x14ac:dyDescent="0.3">
      <c r="A935" s="1">
        <v>44399</v>
      </c>
      <c r="B935">
        <v>35</v>
      </c>
      <c r="C935">
        <v>60</v>
      </c>
    </row>
    <row r="936" spans="1:3" x14ac:dyDescent="0.3">
      <c r="A936" s="1">
        <v>44400</v>
      </c>
      <c r="B936">
        <v>39</v>
      </c>
      <c r="C936">
        <v>65</v>
      </c>
    </row>
    <row r="937" spans="1:3" x14ac:dyDescent="0.3">
      <c r="A937" s="1">
        <v>44401</v>
      </c>
      <c r="B937">
        <v>42</v>
      </c>
      <c r="C937">
        <v>49</v>
      </c>
    </row>
    <row r="938" spans="1:3" x14ac:dyDescent="0.3">
      <c r="A938" s="1">
        <v>44402</v>
      </c>
      <c r="B938">
        <v>25</v>
      </c>
      <c r="C938">
        <v>56</v>
      </c>
    </row>
    <row r="939" spans="1:3" x14ac:dyDescent="0.3">
      <c r="A939" s="1">
        <v>44403</v>
      </c>
      <c r="B939">
        <v>35</v>
      </c>
      <c r="C939">
        <v>67</v>
      </c>
    </row>
    <row r="940" spans="1:3" x14ac:dyDescent="0.3">
      <c r="A940" s="1">
        <v>44404</v>
      </c>
      <c r="B940">
        <v>37</v>
      </c>
      <c r="C940">
        <v>67</v>
      </c>
    </row>
    <row r="941" spans="1:3" x14ac:dyDescent="0.3">
      <c r="A941" s="1">
        <v>44405</v>
      </c>
      <c r="B941">
        <v>27</v>
      </c>
      <c r="C941">
        <v>63</v>
      </c>
    </row>
    <row r="942" spans="1:3" x14ac:dyDescent="0.3">
      <c r="A942" s="1">
        <v>44406</v>
      </c>
      <c r="B942">
        <v>31</v>
      </c>
      <c r="C942">
        <v>52</v>
      </c>
    </row>
    <row r="943" spans="1:3" x14ac:dyDescent="0.3">
      <c r="A943" s="1">
        <v>44407</v>
      </c>
      <c r="B943">
        <v>37</v>
      </c>
      <c r="C943">
        <v>59</v>
      </c>
    </row>
    <row r="944" spans="1:3" x14ac:dyDescent="0.3">
      <c r="A944" s="1">
        <v>44408</v>
      </c>
      <c r="B944">
        <v>24</v>
      </c>
      <c r="C944">
        <v>53</v>
      </c>
    </row>
    <row r="945" spans="1:3" x14ac:dyDescent="0.3">
      <c r="A945" s="1">
        <v>44409</v>
      </c>
      <c r="B945">
        <v>36</v>
      </c>
      <c r="C945">
        <v>49</v>
      </c>
    </row>
    <row r="946" spans="1:3" x14ac:dyDescent="0.3">
      <c r="A946" s="1">
        <v>44410</v>
      </c>
      <c r="B946">
        <v>26</v>
      </c>
      <c r="C946">
        <v>58</v>
      </c>
    </row>
    <row r="947" spans="1:3" x14ac:dyDescent="0.3">
      <c r="A947" s="1">
        <v>44411</v>
      </c>
      <c r="B947">
        <v>40</v>
      </c>
      <c r="C947">
        <v>57</v>
      </c>
    </row>
    <row r="948" spans="1:3" x14ac:dyDescent="0.3">
      <c r="A948" s="1">
        <v>44412</v>
      </c>
      <c r="B948">
        <v>31</v>
      </c>
      <c r="C948">
        <v>60</v>
      </c>
    </row>
    <row r="949" spans="1:3" x14ac:dyDescent="0.3">
      <c r="A949" s="1">
        <v>44413</v>
      </c>
      <c r="B949">
        <v>36</v>
      </c>
      <c r="C949">
        <v>57</v>
      </c>
    </row>
    <row r="950" spans="1:3" x14ac:dyDescent="0.3">
      <c r="A950" s="1">
        <v>44414</v>
      </c>
      <c r="B950">
        <v>46</v>
      </c>
      <c r="C950">
        <v>59</v>
      </c>
    </row>
    <row r="951" spans="1:3" x14ac:dyDescent="0.3">
      <c r="A951" s="1">
        <v>44415</v>
      </c>
      <c r="B951">
        <v>35</v>
      </c>
      <c r="C951">
        <v>59</v>
      </c>
    </row>
    <row r="952" spans="1:3" x14ac:dyDescent="0.3">
      <c r="A952" s="1">
        <v>44416</v>
      </c>
      <c r="B952">
        <v>29</v>
      </c>
      <c r="C952">
        <v>62</v>
      </c>
    </row>
    <row r="953" spans="1:3" x14ac:dyDescent="0.3">
      <c r="A953" s="1">
        <v>44417</v>
      </c>
      <c r="B953">
        <v>41</v>
      </c>
      <c r="C953">
        <v>55</v>
      </c>
    </row>
    <row r="954" spans="1:3" x14ac:dyDescent="0.3">
      <c r="A954" s="1">
        <v>44418</v>
      </c>
      <c r="B954">
        <v>28</v>
      </c>
      <c r="C954">
        <v>54</v>
      </c>
    </row>
    <row r="955" spans="1:3" x14ac:dyDescent="0.3">
      <c r="A955" s="1">
        <v>44419</v>
      </c>
      <c r="B955">
        <v>32</v>
      </c>
      <c r="C955">
        <v>41</v>
      </c>
    </row>
    <row r="956" spans="1:3" x14ac:dyDescent="0.3">
      <c r="A956" s="1">
        <v>44420</v>
      </c>
      <c r="B956">
        <v>32</v>
      </c>
      <c r="C956">
        <v>54</v>
      </c>
    </row>
    <row r="957" spans="1:3" x14ac:dyDescent="0.3">
      <c r="A957" s="1">
        <v>44421</v>
      </c>
      <c r="B957">
        <v>42</v>
      </c>
      <c r="C957">
        <v>56</v>
      </c>
    </row>
    <row r="958" spans="1:3" x14ac:dyDescent="0.3">
      <c r="A958" s="1">
        <v>44422</v>
      </c>
      <c r="B958">
        <v>35</v>
      </c>
      <c r="C958">
        <v>53</v>
      </c>
    </row>
    <row r="959" spans="1:3" x14ac:dyDescent="0.3">
      <c r="A959" s="1">
        <v>44423</v>
      </c>
      <c r="B959">
        <v>31</v>
      </c>
      <c r="C959">
        <v>56</v>
      </c>
    </row>
    <row r="960" spans="1:3" x14ac:dyDescent="0.3">
      <c r="A960" s="1">
        <v>44424</v>
      </c>
      <c r="B960">
        <v>30</v>
      </c>
      <c r="C960">
        <v>38</v>
      </c>
    </row>
    <row r="961" spans="1:3" x14ac:dyDescent="0.3">
      <c r="A961" s="1">
        <v>44425</v>
      </c>
      <c r="B961">
        <v>27</v>
      </c>
      <c r="C961">
        <v>48</v>
      </c>
    </row>
    <row r="962" spans="1:3" x14ac:dyDescent="0.3">
      <c r="A962" s="1">
        <v>44426</v>
      </c>
      <c r="B962">
        <v>35</v>
      </c>
      <c r="C962">
        <v>53</v>
      </c>
    </row>
    <row r="963" spans="1:3" x14ac:dyDescent="0.3">
      <c r="A963" s="1">
        <v>44427</v>
      </c>
      <c r="B963">
        <v>32</v>
      </c>
      <c r="C963">
        <v>52</v>
      </c>
    </row>
    <row r="964" spans="1:3" x14ac:dyDescent="0.3">
      <c r="A964" s="1">
        <v>44428</v>
      </c>
      <c r="B964">
        <v>23</v>
      </c>
      <c r="C964">
        <v>60</v>
      </c>
    </row>
    <row r="965" spans="1:3" x14ac:dyDescent="0.3">
      <c r="A965" s="1">
        <v>44429</v>
      </c>
      <c r="B965">
        <v>44</v>
      </c>
      <c r="C965">
        <v>70</v>
      </c>
    </row>
    <row r="966" spans="1:3" x14ac:dyDescent="0.3">
      <c r="A966" s="1">
        <v>44430</v>
      </c>
      <c r="B966">
        <v>28</v>
      </c>
      <c r="C966">
        <v>35</v>
      </c>
    </row>
    <row r="967" spans="1:3" x14ac:dyDescent="0.3">
      <c r="A967" s="1">
        <v>44431</v>
      </c>
      <c r="B967">
        <v>36</v>
      </c>
      <c r="C967">
        <v>56</v>
      </c>
    </row>
    <row r="968" spans="1:3" x14ac:dyDescent="0.3">
      <c r="A968" s="1">
        <v>44432</v>
      </c>
      <c r="B968">
        <v>34</v>
      </c>
      <c r="C968">
        <v>58</v>
      </c>
    </row>
    <row r="969" spans="1:3" x14ac:dyDescent="0.3">
      <c r="A969" s="1">
        <v>44433</v>
      </c>
      <c r="B969">
        <v>26</v>
      </c>
      <c r="C969">
        <v>45</v>
      </c>
    </row>
    <row r="970" spans="1:3" x14ac:dyDescent="0.3">
      <c r="A970" s="1">
        <v>44434</v>
      </c>
      <c r="B970">
        <v>36</v>
      </c>
      <c r="C970">
        <v>66</v>
      </c>
    </row>
    <row r="971" spans="1:3" x14ac:dyDescent="0.3">
      <c r="A971" s="1">
        <v>44435</v>
      </c>
      <c r="B971">
        <v>41</v>
      </c>
      <c r="C971">
        <v>69</v>
      </c>
    </row>
    <row r="972" spans="1:3" x14ac:dyDescent="0.3">
      <c r="A972" s="1">
        <v>44436</v>
      </c>
      <c r="B972">
        <v>36</v>
      </c>
      <c r="C972">
        <v>52</v>
      </c>
    </row>
    <row r="973" spans="1:3" x14ac:dyDescent="0.3">
      <c r="A973" s="1">
        <v>44437</v>
      </c>
      <c r="B973">
        <v>34</v>
      </c>
      <c r="C973">
        <v>48</v>
      </c>
    </row>
    <row r="974" spans="1:3" x14ac:dyDescent="0.3">
      <c r="A974" s="1">
        <v>44438</v>
      </c>
      <c r="B974">
        <v>35</v>
      </c>
      <c r="C974">
        <v>55</v>
      </c>
    </row>
    <row r="975" spans="1:3" x14ac:dyDescent="0.3">
      <c r="A975" s="1">
        <v>44439</v>
      </c>
      <c r="B975">
        <v>33</v>
      </c>
      <c r="C975">
        <v>65</v>
      </c>
    </row>
    <row r="976" spans="1:3" x14ac:dyDescent="0.3">
      <c r="A976" s="1">
        <v>44440</v>
      </c>
      <c r="B976">
        <v>37</v>
      </c>
      <c r="C976">
        <v>53</v>
      </c>
    </row>
    <row r="977" spans="1:3" x14ac:dyDescent="0.3">
      <c r="A977" s="1">
        <v>44441</v>
      </c>
      <c r="B977">
        <v>36</v>
      </c>
      <c r="C977">
        <v>65</v>
      </c>
    </row>
    <row r="978" spans="1:3" x14ac:dyDescent="0.3">
      <c r="A978" s="1">
        <v>44442</v>
      </c>
      <c r="B978">
        <v>47</v>
      </c>
      <c r="C978">
        <v>48</v>
      </c>
    </row>
    <row r="979" spans="1:3" x14ac:dyDescent="0.3">
      <c r="A979" s="1">
        <v>44443</v>
      </c>
      <c r="B979">
        <v>33</v>
      </c>
      <c r="C979">
        <v>59</v>
      </c>
    </row>
    <row r="980" spans="1:3" x14ac:dyDescent="0.3">
      <c r="A980" s="1">
        <v>44444</v>
      </c>
      <c r="B980">
        <v>21</v>
      </c>
      <c r="C980">
        <v>51</v>
      </c>
    </row>
    <row r="981" spans="1:3" x14ac:dyDescent="0.3">
      <c r="A981" s="1">
        <v>44445</v>
      </c>
      <c r="B981">
        <v>34</v>
      </c>
      <c r="C981">
        <v>53</v>
      </c>
    </row>
    <row r="982" spans="1:3" x14ac:dyDescent="0.3">
      <c r="A982" s="1">
        <v>44446</v>
      </c>
      <c r="B982">
        <v>29</v>
      </c>
      <c r="C982">
        <v>46</v>
      </c>
    </row>
    <row r="983" spans="1:3" x14ac:dyDescent="0.3">
      <c r="A983" s="1">
        <v>44447</v>
      </c>
      <c r="B983">
        <v>34</v>
      </c>
      <c r="C983">
        <v>56</v>
      </c>
    </row>
    <row r="984" spans="1:3" x14ac:dyDescent="0.3">
      <c r="A984" s="1">
        <v>44448</v>
      </c>
      <c r="B984">
        <v>34</v>
      </c>
      <c r="C984">
        <v>63</v>
      </c>
    </row>
    <row r="985" spans="1:3" x14ac:dyDescent="0.3">
      <c r="A985" s="1">
        <v>44449</v>
      </c>
      <c r="B985">
        <v>32</v>
      </c>
      <c r="C985">
        <v>56</v>
      </c>
    </row>
    <row r="986" spans="1:3" x14ac:dyDescent="0.3">
      <c r="A986" s="1">
        <v>44450</v>
      </c>
      <c r="B986">
        <v>40</v>
      </c>
      <c r="C986">
        <v>51</v>
      </c>
    </row>
    <row r="987" spans="1:3" x14ac:dyDescent="0.3">
      <c r="A987" s="1">
        <v>44451</v>
      </c>
      <c r="B987">
        <v>26</v>
      </c>
      <c r="C987">
        <v>48</v>
      </c>
    </row>
    <row r="988" spans="1:3" x14ac:dyDescent="0.3">
      <c r="A988" s="1">
        <v>44452</v>
      </c>
      <c r="B988">
        <v>26</v>
      </c>
      <c r="C988">
        <v>51</v>
      </c>
    </row>
    <row r="989" spans="1:3" x14ac:dyDescent="0.3">
      <c r="A989" s="1">
        <v>44453</v>
      </c>
      <c r="B989">
        <v>37</v>
      </c>
      <c r="C989">
        <v>60</v>
      </c>
    </row>
    <row r="990" spans="1:3" x14ac:dyDescent="0.3">
      <c r="A990" s="1">
        <v>44454</v>
      </c>
      <c r="B990">
        <v>39</v>
      </c>
      <c r="C990">
        <v>58</v>
      </c>
    </row>
    <row r="991" spans="1:3" x14ac:dyDescent="0.3">
      <c r="A991" s="1">
        <v>44455</v>
      </c>
      <c r="B991">
        <v>43</v>
      </c>
      <c r="C991">
        <v>67</v>
      </c>
    </row>
    <row r="992" spans="1:3" x14ac:dyDescent="0.3">
      <c r="A992" s="1">
        <v>44456</v>
      </c>
      <c r="B992">
        <v>45</v>
      </c>
      <c r="C992">
        <v>51</v>
      </c>
    </row>
    <row r="993" spans="1:3" x14ac:dyDescent="0.3">
      <c r="A993" s="1">
        <v>44457</v>
      </c>
      <c r="B993">
        <v>34</v>
      </c>
      <c r="C993">
        <v>61</v>
      </c>
    </row>
    <row r="994" spans="1:3" x14ac:dyDescent="0.3">
      <c r="A994" s="1">
        <v>44458</v>
      </c>
      <c r="B994">
        <v>25</v>
      </c>
      <c r="C994">
        <v>63</v>
      </c>
    </row>
    <row r="995" spans="1:3" x14ac:dyDescent="0.3">
      <c r="A995" s="1">
        <v>44459</v>
      </c>
      <c r="B995">
        <v>23</v>
      </c>
      <c r="C995">
        <v>62</v>
      </c>
    </row>
    <row r="996" spans="1:3" x14ac:dyDescent="0.3">
      <c r="A996" s="1">
        <v>44460</v>
      </c>
      <c r="B996">
        <v>33</v>
      </c>
      <c r="C996">
        <v>47</v>
      </c>
    </row>
    <row r="997" spans="1:3" x14ac:dyDescent="0.3">
      <c r="A997" s="1">
        <v>44461</v>
      </c>
      <c r="B997">
        <v>44</v>
      </c>
      <c r="C997">
        <v>59</v>
      </c>
    </row>
    <row r="998" spans="1:3" x14ac:dyDescent="0.3">
      <c r="A998" s="1">
        <v>44462</v>
      </c>
      <c r="B998">
        <v>27</v>
      </c>
      <c r="C998">
        <v>44</v>
      </c>
    </row>
    <row r="999" spans="1:3" x14ac:dyDescent="0.3">
      <c r="A999" s="1">
        <v>44463</v>
      </c>
      <c r="B999">
        <v>38</v>
      </c>
      <c r="C999">
        <v>66</v>
      </c>
    </row>
    <row r="1000" spans="1:3" x14ac:dyDescent="0.3">
      <c r="A1000" s="1">
        <v>44464</v>
      </c>
      <c r="B1000">
        <v>39</v>
      </c>
      <c r="C1000">
        <v>72</v>
      </c>
    </row>
    <row r="1001" spans="1:3" x14ac:dyDescent="0.3">
      <c r="A1001" s="1">
        <v>44465</v>
      </c>
      <c r="B1001">
        <v>25</v>
      </c>
      <c r="C1001">
        <v>58</v>
      </c>
    </row>
    <row r="1002" spans="1:3" x14ac:dyDescent="0.3">
      <c r="A1002" s="1">
        <v>44466</v>
      </c>
      <c r="B1002">
        <v>35</v>
      </c>
      <c r="C1002">
        <v>43</v>
      </c>
    </row>
    <row r="1003" spans="1:3" x14ac:dyDescent="0.3">
      <c r="A1003" s="1">
        <v>44467</v>
      </c>
      <c r="B1003">
        <v>31</v>
      </c>
      <c r="C1003">
        <v>59</v>
      </c>
    </row>
    <row r="1004" spans="1:3" x14ac:dyDescent="0.3">
      <c r="A1004" s="1">
        <v>44468</v>
      </c>
      <c r="B1004">
        <v>41</v>
      </c>
      <c r="C1004">
        <v>59</v>
      </c>
    </row>
    <row r="1005" spans="1:3" x14ac:dyDescent="0.3">
      <c r="A1005" s="1">
        <v>44469</v>
      </c>
      <c r="B1005">
        <v>41</v>
      </c>
      <c r="C1005">
        <v>56</v>
      </c>
    </row>
    <row r="1006" spans="1:3" x14ac:dyDescent="0.3">
      <c r="A1006" s="1">
        <v>44470</v>
      </c>
      <c r="B1006">
        <v>37</v>
      </c>
      <c r="C1006">
        <v>62</v>
      </c>
    </row>
    <row r="1007" spans="1:3" x14ac:dyDescent="0.3">
      <c r="A1007" s="1">
        <v>44471</v>
      </c>
      <c r="B1007">
        <v>29</v>
      </c>
      <c r="C1007">
        <v>65</v>
      </c>
    </row>
    <row r="1008" spans="1:3" x14ac:dyDescent="0.3">
      <c r="A1008" s="1">
        <v>44472</v>
      </c>
      <c r="B1008">
        <v>19</v>
      </c>
      <c r="C1008">
        <v>49</v>
      </c>
    </row>
    <row r="1009" spans="1:3" x14ac:dyDescent="0.3">
      <c r="A1009" s="1">
        <v>44473</v>
      </c>
      <c r="B1009">
        <v>46</v>
      </c>
      <c r="C1009">
        <v>61</v>
      </c>
    </row>
    <row r="1010" spans="1:3" x14ac:dyDescent="0.3">
      <c r="A1010" s="1">
        <v>44474</v>
      </c>
      <c r="B1010">
        <v>40</v>
      </c>
      <c r="C1010">
        <v>52</v>
      </c>
    </row>
    <row r="1011" spans="1:3" x14ac:dyDescent="0.3">
      <c r="A1011" s="1">
        <v>44475</v>
      </c>
      <c r="B1011">
        <v>40</v>
      </c>
      <c r="C1011">
        <v>56</v>
      </c>
    </row>
    <row r="1012" spans="1:3" x14ac:dyDescent="0.3">
      <c r="A1012" s="1">
        <v>44476</v>
      </c>
      <c r="B1012">
        <v>34</v>
      </c>
      <c r="C1012">
        <v>58</v>
      </c>
    </row>
    <row r="1013" spans="1:3" x14ac:dyDescent="0.3">
      <c r="A1013" s="1">
        <v>44477</v>
      </c>
      <c r="B1013">
        <v>38</v>
      </c>
      <c r="C1013">
        <v>74</v>
      </c>
    </row>
    <row r="1014" spans="1:3" x14ac:dyDescent="0.3">
      <c r="A1014" s="1">
        <v>44478</v>
      </c>
      <c r="B1014">
        <v>34</v>
      </c>
      <c r="C1014">
        <v>70</v>
      </c>
    </row>
    <row r="1015" spans="1:3" x14ac:dyDescent="0.3">
      <c r="A1015" s="1">
        <v>44479</v>
      </c>
      <c r="B1015">
        <v>40</v>
      </c>
      <c r="C1015">
        <v>51</v>
      </c>
    </row>
    <row r="1016" spans="1:3" x14ac:dyDescent="0.3">
      <c r="A1016" s="1">
        <v>44480</v>
      </c>
      <c r="B1016">
        <v>16</v>
      </c>
      <c r="C1016">
        <v>32</v>
      </c>
    </row>
    <row r="1017" spans="1:3" x14ac:dyDescent="0.3">
      <c r="A1017" s="1">
        <v>44481</v>
      </c>
      <c r="B1017">
        <v>25</v>
      </c>
      <c r="C1017">
        <v>53</v>
      </c>
    </row>
    <row r="1018" spans="1:3" x14ac:dyDescent="0.3">
      <c r="A1018" s="1">
        <v>44482</v>
      </c>
      <c r="B1018">
        <v>44</v>
      </c>
      <c r="C1018">
        <v>47</v>
      </c>
    </row>
    <row r="1019" spans="1:3" x14ac:dyDescent="0.3">
      <c r="A1019" s="1">
        <v>44483</v>
      </c>
      <c r="B1019">
        <v>32</v>
      </c>
      <c r="C1019">
        <v>67</v>
      </c>
    </row>
    <row r="1020" spans="1:3" x14ac:dyDescent="0.3">
      <c r="A1020" s="1">
        <v>44484</v>
      </c>
      <c r="B1020">
        <v>31</v>
      </c>
      <c r="C1020">
        <v>72</v>
      </c>
    </row>
    <row r="1021" spans="1:3" x14ac:dyDescent="0.3">
      <c r="A1021" s="1">
        <v>44485</v>
      </c>
      <c r="B1021">
        <v>37</v>
      </c>
      <c r="C1021">
        <v>58</v>
      </c>
    </row>
    <row r="1022" spans="1:3" x14ac:dyDescent="0.3">
      <c r="A1022" s="1">
        <v>44486</v>
      </c>
      <c r="B1022">
        <v>37</v>
      </c>
      <c r="C1022">
        <v>49</v>
      </c>
    </row>
    <row r="1023" spans="1:3" x14ac:dyDescent="0.3">
      <c r="A1023" s="1">
        <v>44487</v>
      </c>
      <c r="B1023">
        <v>28</v>
      </c>
      <c r="C1023">
        <v>73</v>
      </c>
    </row>
    <row r="1024" spans="1:3" x14ac:dyDescent="0.3">
      <c r="A1024" s="1">
        <v>44488</v>
      </c>
      <c r="B1024">
        <v>33</v>
      </c>
      <c r="C1024">
        <v>50</v>
      </c>
    </row>
    <row r="1025" spans="1:3" x14ac:dyDescent="0.3">
      <c r="A1025" s="1">
        <v>44489</v>
      </c>
      <c r="B1025">
        <v>44</v>
      </c>
      <c r="C1025">
        <v>67</v>
      </c>
    </row>
    <row r="1026" spans="1:3" x14ac:dyDescent="0.3">
      <c r="A1026" s="1">
        <v>44490</v>
      </c>
      <c r="B1026">
        <v>27</v>
      </c>
      <c r="C1026">
        <v>55</v>
      </c>
    </row>
    <row r="1027" spans="1:3" x14ac:dyDescent="0.3">
      <c r="A1027" s="1">
        <v>44491</v>
      </c>
      <c r="B1027">
        <v>28</v>
      </c>
      <c r="C1027">
        <v>56</v>
      </c>
    </row>
    <row r="1028" spans="1:3" x14ac:dyDescent="0.3">
      <c r="A1028" s="1">
        <v>44492</v>
      </c>
      <c r="B1028">
        <v>44</v>
      </c>
      <c r="C1028">
        <v>52</v>
      </c>
    </row>
    <row r="1029" spans="1:3" x14ac:dyDescent="0.3">
      <c r="A1029" s="1">
        <v>44493</v>
      </c>
      <c r="B1029">
        <v>36</v>
      </c>
      <c r="C1029">
        <v>58</v>
      </c>
    </row>
    <row r="1030" spans="1:3" x14ac:dyDescent="0.3">
      <c r="A1030" s="1">
        <v>44494</v>
      </c>
      <c r="B1030">
        <v>31</v>
      </c>
      <c r="C1030">
        <v>55</v>
      </c>
    </row>
    <row r="1031" spans="1:3" x14ac:dyDescent="0.3">
      <c r="A1031" s="1">
        <v>44495</v>
      </c>
      <c r="B1031">
        <v>39</v>
      </c>
      <c r="C1031">
        <v>51</v>
      </c>
    </row>
    <row r="1032" spans="1:3" x14ac:dyDescent="0.3">
      <c r="A1032" s="1">
        <v>44496</v>
      </c>
      <c r="B1032">
        <v>24</v>
      </c>
      <c r="C1032">
        <v>63</v>
      </c>
    </row>
    <row r="1033" spans="1:3" x14ac:dyDescent="0.3">
      <c r="A1033" s="1">
        <v>44497</v>
      </c>
      <c r="B1033">
        <v>30</v>
      </c>
      <c r="C1033">
        <v>46</v>
      </c>
    </row>
    <row r="1034" spans="1:3" x14ac:dyDescent="0.3">
      <c r="A1034" s="1">
        <v>44498</v>
      </c>
      <c r="B1034">
        <v>38</v>
      </c>
      <c r="C1034">
        <v>47</v>
      </c>
    </row>
    <row r="1035" spans="1:3" x14ac:dyDescent="0.3">
      <c r="A1035" s="1">
        <v>44499</v>
      </c>
      <c r="B1035">
        <v>34</v>
      </c>
      <c r="C1035">
        <v>62</v>
      </c>
    </row>
    <row r="1036" spans="1:3" x14ac:dyDescent="0.3">
      <c r="A1036" s="1">
        <v>44500</v>
      </c>
      <c r="B1036">
        <v>26</v>
      </c>
      <c r="C1036">
        <v>57</v>
      </c>
    </row>
    <row r="1037" spans="1:3" x14ac:dyDescent="0.3">
      <c r="A1037" s="1">
        <v>44501</v>
      </c>
      <c r="B1037">
        <v>36</v>
      </c>
      <c r="C1037">
        <v>71</v>
      </c>
    </row>
    <row r="1038" spans="1:3" x14ac:dyDescent="0.3">
      <c r="A1038" s="1">
        <v>44502</v>
      </c>
      <c r="B1038">
        <v>38</v>
      </c>
      <c r="C1038">
        <v>50</v>
      </c>
    </row>
    <row r="1039" spans="1:3" x14ac:dyDescent="0.3">
      <c r="A1039" s="1">
        <v>44503</v>
      </c>
      <c r="B1039">
        <v>38</v>
      </c>
      <c r="C1039">
        <v>56</v>
      </c>
    </row>
    <row r="1040" spans="1:3" x14ac:dyDescent="0.3">
      <c r="A1040" s="1">
        <v>44504</v>
      </c>
      <c r="B1040">
        <v>23</v>
      </c>
      <c r="C1040">
        <v>54</v>
      </c>
    </row>
    <row r="1041" spans="1:3" x14ac:dyDescent="0.3">
      <c r="A1041" s="1">
        <v>44505</v>
      </c>
      <c r="B1041">
        <v>36</v>
      </c>
      <c r="C1041">
        <v>64</v>
      </c>
    </row>
    <row r="1042" spans="1:3" x14ac:dyDescent="0.3">
      <c r="A1042" s="1">
        <v>44506</v>
      </c>
      <c r="B1042">
        <v>30</v>
      </c>
      <c r="C1042">
        <v>57</v>
      </c>
    </row>
    <row r="1043" spans="1:3" x14ac:dyDescent="0.3">
      <c r="A1043" s="1">
        <v>44507</v>
      </c>
      <c r="B1043">
        <v>29</v>
      </c>
      <c r="C1043">
        <v>40</v>
      </c>
    </row>
    <row r="1044" spans="1:3" x14ac:dyDescent="0.3">
      <c r="A1044" s="1">
        <v>44508</v>
      </c>
      <c r="B1044">
        <v>29</v>
      </c>
      <c r="C1044">
        <v>43</v>
      </c>
    </row>
    <row r="1045" spans="1:3" x14ac:dyDescent="0.3">
      <c r="A1045" s="1">
        <v>44509</v>
      </c>
      <c r="B1045">
        <v>45</v>
      </c>
      <c r="C1045">
        <v>59</v>
      </c>
    </row>
    <row r="1046" spans="1:3" x14ac:dyDescent="0.3">
      <c r="A1046" s="1">
        <v>44510</v>
      </c>
      <c r="B1046">
        <v>37</v>
      </c>
      <c r="C1046">
        <v>61</v>
      </c>
    </row>
    <row r="1047" spans="1:3" x14ac:dyDescent="0.3">
      <c r="A1047" s="1">
        <v>44511</v>
      </c>
      <c r="B1047">
        <v>38</v>
      </c>
      <c r="C1047">
        <v>65</v>
      </c>
    </row>
    <row r="1048" spans="1:3" x14ac:dyDescent="0.3">
      <c r="A1048" s="1">
        <v>44512</v>
      </c>
      <c r="B1048">
        <v>30</v>
      </c>
      <c r="C1048">
        <v>40</v>
      </c>
    </row>
    <row r="1049" spans="1:3" x14ac:dyDescent="0.3">
      <c r="A1049" s="1">
        <v>44513</v>
      </c>
      <c r="B1049">
        <v>38</v>
      </c>
      <c r="C1049">
        <v>56</v>
      </c>
    </row>
    <row r="1050" spans="1:3" x14ac:dyDescent="0.3">
      <c r="A1050" s="1">
        <v>44514</v>
      </c>
      <c r="B1050">
        <v>33</v>
      </c>
      <c r="C1050">
        <v>62</v>
      </c>
    </row>
    <row r="1051" spans="1:3" x14ac:dyDescent="0.3">
      <c r="A1051" s="1">
        <v>44515</v>
      </c>
      <c r="B1051">
        <v>39</v>
      </c>
      <c r="C1051">
        <v>55</v>
      </c>
    </row>
    <row r="1052" spans="1:3" x14ac:dyDescent="0.3">
      <c r="A1052" s="1">
        <v>44516</v>
      </c>
      <c r="B1052">
        <v>34</v>
      </c>
      <c r="C1052">
        <v>62</v>
      </c>
    </row>
    <row r="1053" spans="1:3" x14ac:dyDescent="0.3">
      <c r="A1053" s="1">
        <v>44517</v>
      </c>
      <c r="B1053">
        <v>24</v>
      </c>
      <c r="C1053">
        <v>62</v>
      </c>
    </row>
    <row r="1054" spans="1:3" x14ac:dyDescent="0.3">
      <c r="A1054" s="1">
        <v>44518</v>
      </c>
      <c r="B1054">
        <v>41</v>
      </c>
      <c r="C1054">
        <v>41</v>
      </c>
    </row>
    <row r="1055" spans="1:3" x14ac:dyDescent="0.3">
      <c r="A1055" s="1">
        <v>44519</v>
      </c>
      <c r="B1055">
        <v>33</v>
      </c>
      <c r="C1055">
        <v>53</v>
      </c>
    </row>
    <row r="1056" spans="1:3" x14ac:dyDescent="0.3">
      <c r="A1056" s="1">
        <v>44520</v>
      </c>
      <c r="B1056">
        <v>28</v>
      </c>
      <c r="C1056">
        <v>59</v>
      </c>
    </row>
    <row r="1057" spans="1:3" x14ac:dyDescent="0.3">
      <c r="A1057" s="1">
        <v>44521</v>
      </c>
      <c r="B1057">
        <v>40</v>
      </c>
      <c r="C1057">
        <v>69</v>
      </c>
    </row>
    <row r="1058" spans="1:3" x14ac:dyDescent="0.3">
      <c r="A1058" s="1">
        <v>44522</v>
      </c>
      <c r="B1058">
        <v>37</v>
      </c>
      <c r="C1058">
        <v>58</v>
      </c>
    </row>
    <row r="1059" spans="1:3" x14ac:dyDescent="0.3">
      <c r="A1059" s="1">
        <v>44523</v>
      </c>
      <c r="B1059">
        <v>40</v>
      </c>
      <c r="C1059">
        <v>65</v>
      </c>
    </row>
    <row r="1060" spans="1:3" x14ac:dyDescent="0.3">
      <c r="A1060" s="1">
        <v>44524</v>
      </c>
      <c r="B1060">
        <v>34</v>
      </c>
      <c r="C1060">
        <v>48</v>
      </c>
    </row>
    <row r="1061" spans="1:3" x14ac:dyDescent="0.3">
      <c r="A1061" s="1">
        <v>44525</v>
      </c>
      <c r="B1061">
        <v>43</v>
      </c>
      <c r="C1061">
        <v>72</v>
      </c>
    </row>
    <row r="1062" spans="1:3" x14ac:dyDescent="0.3">
      <c r="A1062" s="1">
        <v>44526</v>
      </c>
      <c r="B1062">
        <v>38</v>
      </c>
      <c r="C1062">
        <v>67</v>
      </c>
    </row>
    <row r="1063" spans="1:3" x14ac:dyDescent="0.3">
      <c r="A1063" s="1">
        <v>44527</v>
      </c>
      <c r="B1063">
        <v>46</v>
      </c>
      <c r="C1063">
        <v>52</v>
      </c>
    </row>
    <row r="1064" spans="1:3" x14ac:dyDescent="0.3">
      <c r="A1064" s="1">
        <v>44528</v>
      </c>
      <c r="B1064">
        <v>30</v>
      </c>
      <c r="C1064">
        <v>47</v>
      </c>
    </row>
    <row r="1065" spans="1:3" x14ac:dyDescent="0.3">
      <c r="A1065" s="1">
        <v>44529</v>
      </c>
      <c r="B1065">
        <v>34</v>
      </c>
      <c r="C1065">
        <v>52</v>
      </c>
    </row>
    <row r="1066" spans="1:3" x14ac:dyDescent="0.3">
      <c r="A1066" s="1">
        <v>44530</v>
      </c>
      <c r="B1066">
        <v>32</v>
      </c>
      <c r="C1066">
        <v>44</v>
      </c>
    </row>
    <row r="1067" spans="1:3" x14ac:dyDescent="0.3">
      <c r="A1067" s="1">
        <v>44531</v>
      </c>
      <c r="B1067">
        <v>35</v>
      </c>
      <c r="C1067">
        <v>64</v>
      </c>
    </row>
    <row r="1068" spans="1:3" x14ac:dyDescent="0.3">
      <c r="A1068" s="1">
        <v>44532</v>
      </c>
      <c r="B1068">
        <v>31</v>
      </c>
      <c r="C1068">
        <v>51</v>
      </c>
    </row>
    <row r="1069" spans="1:3" x14ac:dyDescent="0.3">
      <c r="A1069" s="1">
        <v>44533</v>
      </c>
      <c r="B1069">
        <v>26</v>
      </c>
      <c r="C1069">
        <v>72</v>
      </c>
    </row>
    <row r="1070" spans="1:3" x14ac:dyDescent="0.3">
      <c r="A1070" s="1">
        <v>44534</v>
      </c>
      <c r="B1070">
        <v>31</v>
      </c>
      <c r="C1070">
        <v>48</v>
      </c>
    </row>
    <row r="1071" spans="1:3" x14ac:dyDescent="0.3">
      <c r="A1071" s="1">
        <v>44535</v>
      </c>
      <c r="B1071">
        <v>32</v>
      </c>
      <c r="C1071">
        <v>60</v>
      </c>
    </row>
    <row r="1072" spans="1:3" x14ac:dyDescent="0.3">
      <c r="A1072" s="1">
        <v>44536</v>
      </c>
      <c r="B1072">
        <v>26</v>
      </c>
      <c r="C1072">
        <v>52</v>
      </c>
    </row>
    <row r="1073" spans="1:3" x14ac:dyDescent="0.3">
      <c r="A1073" s="1">
        <v>44537</v>
      </c>
      <c r="B1073">
        <v>21</v>
      </c>
      <c r="C1073">
        <v>63</v>
      </c>
    </row>
    <row r="1074" spans="1:3" x14ac:dyDescent="0.3">
      <c r="A1074" s="1">
        <v>44538</v>
      </c>
      <c r="B1074">
        <v>25</v>
      </c>
      <c r="C1074">
        <v>47</v>
      </c>
    </row>
    <row r="1075" spans="1:3" x14ac:dyDescent="0.3">
      <c r="A1075" s="1">
        <v>44539</v>
      </c>
      <c r="B1075">
        <v>40</v>
      </c>
      <c r="C1075">
        <v>70</v>
      </c>
    </row>
    <row r="1076" spans="1:3" x14ac:dyDescent="0.3">
      <c r="A1076" s="1">
        <v>44540</v>
      </c>
      <c r="B1076">
        <v>30</v>
      </c>
      <c r="C1076">
        <v>59</v>
      </c>
    </row>
    <row r="1077" spans="1:3" x14ac:dyDescent="0.3">
      <c r="A1077" s="1">
        <v>44541</v>
      </c>
      <c r="B1077">
        <v>27</v>
      </c>
      <c r="C1077">
        <v>50</v>
      </c>
    </row>
    <row r="1078" spans="1:3" x14ac:dyDescent="0.3">
      <c r="A1078" s="1">
        <v>44542</v>
      </c>
      <c r="B1078">
        <v>27</v>
      </c>
      <c r="C1078">
        <v>55</v>
      </c>
    </row>
    <row r="1079" spans="1:3" x14ac:dyDescent="0.3">
      <c r="A1079" s="1">
        <v>44543</v>
      </c>
      <c r="B1079">
        <v>24</v>
      </c>
      <c r="C1079">
        <v>50</v>
      </c>
    </row>
    <row r="1080" spans="1:3" x14ac:dyDescent="0.3">
      <c r="A1080" s="1">
        <v>44544</v>
      </c>
      <c r="B1080">
        <v>38</v>
      </c>
      <c r="C1080">
        <v>70</v>
      </c>
    </row>
    <row r="1081" spans="1:3" x14ac:dyDescent="0.3">
      <c r="A1081" s="1">
        <v>44545</v>
      </c>
      <c r="B1081">
        <v>34</v>
      </c>
      <c r="C1081">
        <v>64</v>
      </c>
    </row>
    <row r="1082" spans="1:3" x14ac:dyDescent="0.3">
      <c r="A1082" s="1">
        <v>44546</v>
      </c>
      <c r="B1082">
        <v>21</v>
      </c>
      <c r="C1082">
        <v>40</v>
      </c>
    </row>
    <row r="1083" spans="1:3" x14ac:dyDescent="0.3">
      <c r="A1083" s="1">
        <v>44547</v>
      </c>
      <c r="B1083">
        <v>36</v>
      </c>
      <c r="C1083">
        <v>50</v>
      </c>
    </row>
    <row r="1084" spans="1:3" x14ac:dyDescent="0.3">
      <c r="A1084" s="1">
        <v>44548</v>
      </c>
      <c r="B1084">
        <v>37</v>
      </c>
      <c r="C1084">
        <v>72</v>
      </c>
    </row>
    <row r="1085" spans="1:3" x14ac:dyDescent="0.3">
      <c r="A1085" s="1">
        <v>44549</v>
      </c>
      <c r="B1085">
        <v>34</v>
      </c>
      <c r="C1085">
        <v>55</v>
      </c>
    </row>
    <row r="1086" spans="1:3" x14ac:dyDescent="0.3">
      <c r="A1086" s="1">
        <v>44550</v>
      </c>
      <c r="B1086">
        <v>29</v>
      </c>
      <c r="C1086">
        <v>51</v>
      </c>
    </row>
    <row r="1087" spans="1:3" x14ac:dyDescent="0.3">
      <c r="A1087" s="1">
        <v>44551</v>
      </c>
      <c r="B1087">
        <v>23</v>
      </c>
      <c r="C1087">
        <v>48</v>
      </c>
    </row>
    <row r="1088" spans="1:3" x14ac:dyDescent="0.3">
      <c r="A1088" s="1">
        <v>44552</v>
      </c>
      <c r="B1088">
        <v>32</v>
      </c>
      <c r="C1088">
        <v>50</v>
      </c>
    </row>
    <row r="1089" spans="1:3" x14ac:dyDescent="0.3">
      <c r="A1089" s="1">
        <v>44553</v>
      </c>
      <c r="B1089">
        <v>36</v>
      </c>
      <c r="C1089">
        <v>48</v>
      </c>
    </row>
    <row r="1090" spans="1:3" x14ac:dyDescent="0.3">
      <c r="A1090" s="1">
        <v>44554</v>
      </c>
      <c r="B1090">
        <v>31</v>
      </c>
      <c r="C1090">
        <v>72</v>
      </c>
    </row>
    <row r="1091" spans="1:3" x14ac:dyDescent="0.3">
      <c r="A1091" s="1">
        <v>44555</v>
      </c>
      <c r="B1091">
        <v>42</v>
      </c>
      <c r="C1091">
        <v>62</v>
      </c>
    </row>
    <row r="1092" spans="1:3" x14ac:dyDescent="0.3">
      <c r="A1092" s="1">
        <v>44556</v>
      </c>
      <c r="B1092">
        <v>38</v>
      </c>
      <c r="C1092">
        <v>50</v>
      </c>
    </row>
    <row r="1093" spans="1:3" x14ac:dyDescent="0.3">
      <c r="A1093" s="1">
        <v>44557</v>
      </c>
      <c r="B1093">
        <v>21</v>
      </c>
      <c r="C1093">
        <v>49</v>
      </c>
    </row>
    <row r="1094" spans="1:3" x14ac:dyDescent="0.3">
      <c r="A1094" s="1">
        <v>44558</v>
      </c>
      <c r="B1094">
        <v>22</v>
      </c>
      <c r="C1094">
        <v>53</v>
      </c>
    </row>
    <row r="1095" spans="1:3" x14ac:dyDescent="0.3">
      <c r="A1095" s="1">
        <v>44559</v>
      </c>
      <c r="B1095">
        <v>45</v>
      </c>
      <c r="C1095">
        <v>54</v>
      </c>
    </row>
    <row r="1096" spans="1:3" x14ac:dyDescent="0.3">
      <c r="A1096" s="1">
        <v>44560</v>
      </c>
      <c r="B1096">
        <v>23</v>
      </c>
      <c r="C1096">
        <v>58</v>
      </c>
    </row>
    <row r="1097" spans="1:3" x14ac:dyDescent="0.3">
      <c r="A1097" s="1">
        <v>44561</v>
      </c>
      <c r="B1097">
        <v>29</v>
      </c>
      <c r="C1097">
        <v>51</v>
      </c>
    </row>
    <row r="1098" spans="1:3" x14ac:dyDescent="0.3">
      <c r="A1098" s="1">
        <v>44562</v>
      </c>
      <c r="B1098">
        <v>27</v>
      </c>
      <c r="C1098">
        <v>50</v>
      </c>
    </row>
    <row r="1099" spans="1:3" x14ac:dyDescent="0.3">
      <c r="A1099" s="1">
        <v>44563</v>
      </c>
      <c r="B1099">
        <v>26</v>
      </c>
      <c r="C1099">
        <v>57</v>
      </c>
    </row>
    <row r="1100" spans="1:3" x14ac:dyDescent="0.3">
      <c r="A1100" s="1">
        <v>44564</v>
      </c>
      <c r="B1100">
        <v>20</v>
      </c>
      <c r="C1100">
        <v>59</v>
      </c>
    </row>
    <row r="1101" spans="1:3" x14ac:dyDescent="0.3">
      <c r="A1101" s="1">
        <v>44565</v>
      </c>
      <c r="B1101">
        <v>28</v>
      </c>
      <c r="C1101">
        <v>52</v>
      </c>
    </row>
    <row r="1102" spans="1:3" x14ac:dyDescent="0.3">
      <c r="A1102" s="1">
        <v>44566</v>
      </c>
      <c r="B1102">
        <v>34</v>
      </c>
      <c r="C1102">
        <v>47</v>
      </c>
    </row>
    <row r="1103" spans="1:3" x14ac:dyDescent="0.3">
      <c r="A1103" s="1">
        <v>44567</v>
      </c>
      <c r="B1103">
        <v>37</v>
      </c>
      <c r="C1103">
        <v>47</v>
      </c>
    </row>
    <row r="1104" spans="1:3" x14ac:dyDescent="0.3">
      <c r="A1104" s="1">
        <v>44568</v>
      </c>
      <c r="B1104">
        <v>29</v>
      </c>
      <c r="C1104">
        <v>43</v>
      </c>
    </row>
    <row r="1105" spans="1:3" x14ac:dyDescent="0.3">
      <c r="A1105" s="1">
        <v>44569</v>
      </c>
      <c r="B1105">
        <v>30</v>
      </c>
      <c r="C1105">
        <v>55</v>
      </c>
    </row>
    <row r="1106" spans="1:3" x14ac:dyDescent="0.3">
      <c r="A1106" s="1">
        <v>44570</v>
      </c>
      <c r="B1106">
        <v>24</v>
      </c>
      <c r="C1106">
        <v>68</v>
      </c>
    </row>
    <row r="1107" spans="1:3" x14ac:dyDescent="0.3">
      <c r="A1107" s="1">
        <v>44571</v>
      </c>
      <c r="B1107">
        <v>34</v>
      </c>
      <c r="C1107">
        <v>58</v>
      </c>
    </row>
    <row r="1108" spans="1:3" x14ac:dyDescent="0.3">
      <c r="A1108" s="1">
        <v>44572</v>
      </c>
      <c r="B1108">
        <v>30</v>
      </c>
      <c r="C1108">
        <v>55</v>
      </c>
    </row>
    <row r="1109" spans="1:3" x14ac:dyDescent="0.3">
      <c r="A1109" s="1">
        <v>44573</v>
      </c>
      <c r="B1109">
        <v>35</v>
      </c>
      <c r="C1109">
        <v>50</v>
      </c>
    </row>
    <row r="1110" spans="1:3" x14ac:dyDescent="0.3">
      <c r="A1110" s="1">
        <v>44574</v>
      </c>
      <c r="B1110">
        <v>21</v>
      </c>
      <c r="C1110">
        <v>62</v>
      </c>
    </row>
    <row r="1111" spans="1:3" x14ac:dyDescent="0.3">
      <c r="A1111" s="1">
        <v>44575</v>
      </c>
      <c r="B1111">
        <v>33</v>
      </c>
      <c r="C1111">
        <v>59</v>
      </c>
    </row>
    <row r="1112" spans="1:3" x14ac:dyDescent="0.3">
      <c r="A1112" s="1">
        <v>44576</v>
      </c>
      <c r="B1112">
        <v>22</v>
      </c>
      <c r="C1112">
        <v>53</v>
      </c>
    </row>
    <row r="1113" spans="1:3" x14ac:dyDescent="0.3">
      <c r="A1113" s="1">
        <v>44577</v>
      </c>
      <c r="B1113">
        <v>37</v>
      </c>
      <c r="C1113">
        <v>57</v>
      </c>
    </row>
    <row r="1114" spans="1:3" x14ac:dyDescent="0.3">
      <c r="A1114" s="1">
        <v>44578</v>
      </c>
      <c r="B1114">
        <v>25</v>
      </c>
      <c r="C1114">
        <v>55</v>
      </c>
    </row>
    <row r="1115" spans="1:3" x14ac:dyDescent="0.3">
      <c r="A1115" s="1">
        <v>44579</v>
      </c>
      <c r="B1115">
        <v>30</v>
      </c>
      <c r="C1115">
        <v>56</v>
      </c>
    </row>
    <row r="1116" spans="1:3" x14ac:dyDescent="0.3">
      <c r="A1116" s="1">
        <v>44580</v>
      </c>
      <c r="B1116">
        <v>42</v>
      </c>
      <c r="C1116">
        <v>50</v>
      </c>
    </row>
    <row r="1117" spans="1:3" x14ac:dyDescent="0.3">
      <c r="A1117" s="1">
        <v>44581</v>
      </c>
      <c r="B1117">
        <v>30</v>
      </c>
      <c r="C1117">
        <v>61</v>
      </c>
    </row>
    <row r="1118" spans="1:3" x14ac:dyDescent="0.3">
      <c r="A1118" s="1">
        <v>44582</v>
      </c>
      <c r="B1118">
        <v>24</v>
      </c>
      <c r="C1118">
        <v>52</v>
      </c>
    </row>
    <row r="1119" spans="1:3" x14ac:dyDescent="0.3">
      <c r="A1119" s="1">
        <v>44583</v>
      </c>
      <c r="B1119">
        <v>36</v>
      </c>
      <c r="C1119">
        <v>37</v>
      </c>
    </row>
    <row r="1120" spans="1:3" x14ac:dyDescent="0.3">
      <c r="A1120" s="1">
        <v>44584</v>
      </c>
      <c r="B1120">
        <v>28</v>
      </c>
      <c r="C1120">
        <v>45</v>
      </c>
    </row>
    <row r="1121" spans="1:3" x14ac:dyDescent="0.3">
      <c r="A1121" s="1">
        <v>44585</v>
      </c>
      <c r="B1121">
        <v>33</v>
      </c>
      <c r="C1121">
        <v>54</v>
      </c>
    </row>
    <row r="1122" spans="1:3" x14ac:dyDescent="0.3">
      <c r="A1122" s="1">
        <v>44586</v>
      </c>
      <c r="B1122">
        <v>30</v>
      </c>
      <c r="C1122">
        <v>64</v>
      </c>
    </row>
    <row r="1123" spans="1:3" x14ac:dyDescent="0.3">
      <c r="A1123" s="1">
        <v>44587</v>
      </c>
      <c r="B1123">
        <v>40</v>
      </c>
      <c r="C1123">
        <v>64</v>
      </c>
    </row>
    <row r="1124" spans="1:3" x14ac:dyDescent="0.3">
      <c r="A1124" s="1">
        <v>44588</v>
      </c>
      <c r="B1124">
        <v>32</v>
      </c>
      <c r="C1124">
        <v>68</v>
      </c>
    </row>
    <row r="1125" spans="1:3" x14ac:dyDescent="0.3">
      <c r="A1125" s="1">
        <v>44589</v>
      </c>
      <c r="B1125">
        <v>31</v>
      </c>
      <c r="C1125">
        <v>55</v>
      </c>
    </row>
    <row r="1126" spans="1:3" x14ac:dyDescent="0.3">
      <c r="A1126" s="1">
        <v>44590</v>
      </c>
      <c r="B1126">
        <v>32</v>
      </c>
      <c r="C1126">
        <v>72</v>
      </c>
    </row>
    <row r="1127" spans="1:3" x14ac:dyDescent="0.3">
      <c r="A1127" s="1">
        <v>44591</v>
      </c>
      <c r="B1127">
        <v>37</v>
      </c>
      <c r="C1127">
        <v>56</v>
      </c>
    </row>
    <row r="1128" spans="1:3" x14ac:dyDescent="0.3">
      <c r="A1128" s="1">
        <v>44592</v>
      </c>
      <c r="B1128">
        <v>36</v>
      </c>
      <c r="C1128">
        <v>54</v>
      </c>
    </row>
    <row r="1129" spans="1:3" x14ac:dyDescent="0.3">
      <c r="A1129" s="1">
        <v>44593</v>
      </c>
      <c r="B1129">
        <v>46</v>
      </c>
      <c r="C1129">
        <v>58</v>
      </c>
    </row>
    <row r="1130" spans="1:3" x14ac:dyDescent="0.3">
      <c r="A1130" s="1">
        <v>44594</v>
      </c>
      <c r="B1130">
        <v>27</v>
      </c>
      <c r="C1130">
        <v>55</v>
      </c>
    </row>
    <row r="1131" spans="1:3" x14ac:dyDescent="0.3">
      <c r="A1131" s="1">
        <v>44595</v>
      </c>
      <c r="B1131">
        <v>39</v>
      </c>
      <c r="C1131">
        <v>77</v>
      </c>
    </row>
    <row r="1132" spans="1:3" x14ac:dyDescent="0.3">
      <c r="A1132" s="1">
        <v>44596</v>
      </c>
      <c r="B1132">
        <v>39</v>
      </c>
      <c r="C1132">
        <v>63</v>
      </c>
    </row>
    <row r="1133" spans="1:3" x14ac:dyDescent="0.3">
      <c r="A1133" s="1">
        <v>44597</v>
      </c>
      <c r="B1133">
        <v>41</v>
      </c>
      <c r="C1133">
        <v>59</v>
      </c>
    </row>
    <row r="1134" spans="1:3" x14ac:dyDescent="0.3">
      <c r="A1134" s="1">
        <v>44598</v>
      </c>
      <c r="B1134">
        <v>28</v>
      </c>
      <c r="C1134">
        <v>60</v>
      </c>
    </row>
    <row r="1135" spans="1:3" x14ac:dyDescent="0.3">
      <c r="A1135" s="1">
        <v>44599</v>
      </c>
      <c r="B1135">
        <v>27</v>
      </c>
      <c r="C1135">
        <v>49</v>
      </c>
    </row>
    <row r="1136" spans="1:3" x14ac:dyDescent="0.3">
      <c r="A1136" s="1">
        <v>44600</v>
      </c>
      <c r="B1136">
        <v>45</v>
      </c>
      <c r="C1136">
        <v>61</v>
      </c>
    </row>
    <row r="1137" spans="1:3" x14ac:dyDescent="0.3">
      <c r="A1137" s="1">
        <v>44601</v>
      </c>
      <c r="B1137">
        <v>35</v>
      </c>
      <c r="C1137">
        <v>72</v>
      </c>
    </row>
    <row r="1138" spans="1:3" x14ac:dyDescent="0.3">
      <c r="A1138" s="1">
        <v>44602</v>
      </c>
      <c r="B1138">
        <v>41</v>
      </c>
      <c r="C1138">
        <v>48</v>
      </c>
    </row>
    <row r="1139" spans="1:3" x14ac:dyDescent="0.3">
      <c r="A1139" s="1">
        <v>44603</v>
      </c>
      <c r="B1139">
        <v>49</v>
      </c>
      <c r="C1139">
        <v>71</v>
      </c>
    </row>
    <row r="1140" spans="1:3" x14ac:dyDescent="0.3">
      <c r="A1140" s="1">
        <v>44604</v>
      </c>
      <c r="B1140">
        <v>36</v>
      </c>
      <c r="C1140">
        <v>72</v>
      </c>
    </row>
    <row r="1141" spans="1:3" x14ac:dyDescent="0.3">
      <c r="A1141" s="1">
        <v>44605</v>
      </c>
      <c r="B1141">
        <v>39</v>
      </c>
      <c r="C1141">
        <v>44</v>
      </c>
    </row>
    <row r="1142" spans="1:3" x14ac:dyDescent="0.3">
      <c r="A1142" s="1">
        <v>44606</v>
      </c>
      <c r="B1142">
        <v>23</v>
      </c>
      <c r="C1142">
        <v>60</v>
      </c>
    </row>
    <row r="1143" spans="1:3" x14ac:dyDescent="0.3">
      <c r="A1143" s="1">
        <v>44607</v>
      </c>
      <c r="B1143">
        <v>38</v>
      </c>
      <c r="C1143">
        <v>63</v>
      </c>
    </row>
    <row r="1144" spans="1:3" x14ac:dyDescent="0.3">
      <c r="A1144" s="1">
        <v>44608</v>
      </c>
      <c r="B1144">
        <v>50</v>
      </c>
      <c r="C1144">
        <v>57</v>
      </c>
    </row>
    <row r="1145" spans="1:3" x14ac:dyDescent="0.3">
      <c r="A1145" s="1">
        <v>44609</v>
      </c>
      <c r="B1145">
        <v>39</v>
      </c>
      <c r="C1145">
        <v>60</v>
      </c>
    </row>
    <row r="1146" spans="1:3" x14ac:dyDescent="0.3">
      <c r="A1146" s="1">
        <v>44610</v>
      </c>
      <c r="B1146">
        <v>32</v>
      </c>
      <c r="C1146">
        <v>57</v>
      </c>
    </row>
    <row r="1147" spans="1:3" x14ac:dyDescent="0.3">
      <c r="A1147" s="1">
        <v>44611</v>
      </c>
      <c r="B1147">
        <v>56</v>
      </c>
      <c r="C1147">
        <v>60</v>
      </c>
    </row>
    <row r="1148" spans="1:3" x14ac:dyDescent="0.3">
      <c r="A1148" s="1">
        <v>44612</v>
      </c>
      <c r="B1148">
        <v>31</v>
      </c>
      <c r="C1148">
        <v>72</v>
      </c>
    </row>
    <row r="1149" spans="1:3" x14ac:dyDescent="0.3">
      <c r="A1149" s="1">
        <v>44613</v>
      </c>
      <c r="B1149">
        <v>25</v>
      </c>
      <c r="C1149">
        <v>73</v>
      </c>
    </row>
    <row r="1150" spans="1:3" x14ac:dyDescent="0.3">
      <c r="A1150" s="1">
        <v>44614</v>
      </c>
      <c r="B1150">
        <v>24</v>
      </c>
      <c r="C1150">
        <v>61</v>
      </c>
    </row>
    <row r="1151" spans="1:3" x14ac:dyDescent="0.3">
      <c r="A1151" s="1">
        <v>44615</v>
      </c>
      <c r="B1151">
        <v>43</v>
      </c>
      <c r="C1151">
        <v>73</v>
      </c>
    </row>
    <row r="1152" spans="1:3" x14ac:dyDescent="0.3">
      <c r="A1152" s="1">
        <v>44616</v>
      </c>
      <c r="B1152">
        <v>44</v>
      </c>
      <c r="C1152">
        <v>52</v>
      </c>
    </row>
    <row r="1153" spans="1:3" x14ac:dyDescent="0.3">
      <c r="A1153" s="1">
        <v>44617</v>
      </c>
      <c r="B1153">
        <v>35</v>
      </c>
      <c r="C1153">
        <v>80</v>
      </c>
    </row>
    <row r="1154" spans="1:3" x14ac:dyDescent="0.3">
      <c r="A1154" s="1">
        <v>44618</v>
      </c>
      <c r="B1154">
        <v>35</v>
      </c>
      <c r="C1154">
        <v>60</v>
      </c>
    </row>
    <row r="1155" spans="1:3" x14ac:dyDescent="0.3">
      <c r="A1155" s="1">
        <v>44619</v>
      </c>
      <c r="B1155">
        <v>31</v>
      </c>
      <c r="C1155">
        <v>61</v>
      </c>
    </row>
    <row r="1156" spans="1:3" x14ac:dyDescent="0.3">
      <c r="A1156" s="1">
        <v>44620</v>
      </c>
      <c r="B1156">
        <v>31</v>
      </c>
      <c r="C1156">
        <v>45</v>
      </c>
    </row>
    <row r="1157" spans="1:3" x14ac:dyDescent="0.3">
      <c r="A1157" s="1">
        <v>44621</v>
      </c>
      <c r="B1157">
        <v>38</v>
      </c>
      <c r="C1157">
        <v>51</v>
      </c>
    </row>
    <row r="1158" spans="1:3" x14ac:dyDescent="0.3">
      <c r="A1158" s="1">
        <v>44622</v>
      </c>
      <c r="B1158">
        <v>36</v>
      </c>
      <c r="C1158">
        <v>68</v>
      </c>
    </row>
    <row r="1159" spans="1:3" x14ac:dyDescent="0.3">
      <c r="A1159" s="1">
        <v>44623</v>
      </c>
      <c r="B1159">
        <v>39</v>
      </c>
      <c r="C1159">
        <v>70</v>
      </c>
    </row>
    <row r="1160" spans="1:3" x14ac:dyDescent="0.3">
      <c r="A1160" s="1">
        <v>44624</v>
      </c>
      <c r="B1160">
        <v>32</v>
      </c>
      <c r="C1160">
        <v>60</v>
      </c>
    </row>
    <row r="1161" spans="1:3" x14ac:dyDescent="0.3">
      <c r="A1161" s="1">
        <v>44625</v>
      </c>
      <c r="B1161">
        <v>33</v>
      </c>
      <c r="C1161">
        <v>59</v>
      </c>
    </row>
    <row r="1162" spans="1:3" x14ac:dyDescent="0.3">
      <c r="A1162" s="1">
        <v>44626</v>
      </c>
      <c r="B1162">
        <v>33</v>
      </c>
      <c r="C1162">
        <v>63</v>
      </c>
    </row>
    <row r="1163" spans="1:3" x14ac:dyDescent="0.3">
      <c r="A1163" s="1">
        <v>44627</v>
      </c>
      <c r="B1163">
        <v>36</v>
      </c>
      <c r="C1163">
        <v>51</v>
      </c>
    </row>
    <row r="1164" spans="1:3" x14ac:dyDescent="0.3">
      <c r="A1164" s="1">
        <v>44628</v>
      </c>
      <c r="B1164">
        <v>34</v>
      </c>
      <c r="C1164">
        <v>68</v>
      </c>
    </row>
    <row r="1165" spans="1:3" x14ac:dyDescent="0.3">
      <c r="A1165" s="1">
        <v>44629</v>
      </c>
      <c r="B1165">
        <v>29</v>
      </c>
      <c r="C1165">
        <v>49</v>
      </c>
    </row>
    <row r="1166" spans="1:3" x14ac:dyDescent="0.3">
      <c r="A1166" s="1">
        <v>44630</v>
      </c>
      <c r="B1166">
        <v>40</v>
      </c>
      <c r="C1166">
        <v>71</v>
      </c>
    </row>
    <row r="1167" spans="1:3" x14ac:dyDescent="0.3">
      <c r="A1167" s="1">
        <v>44631</v>
      </c>
      <c r="B1167">
        <v>45</v>
      </c>
      <c r="C1167">
        <v>65</v>
      </c>
    </row>
    <row r="1168" spans="1:3" x14ac:dyDescent="0.3">
      <c r="A1168" s="1">
        <v>44632</v>
      </c>
      <c r="B1168">
        <v>47</v>
      </c>
      <c r="C1168">
        <v>53</v>
      </c>
    </row>
    <row r="1169" spans="1:3" x14ac:dyDescent="0.3">
      <c r="A1169" s="1">
        <v>44633</v>
      </c>
      <c r="B1169">
        <v>34</v>
      </c>
      <c r="C1169">
        <v>78</v>
      </c>
    </row>
    <row r="1170" spans="1:3" x14ac:dyDescent="0.3">
      <c r="A1170" s="1">
        <v>44634</v>
      </c>
      <c r="B1170">
        <v>44</v>
      </c>
      <c r="C1170">
        <v>68</v>
      </c>
    </row>
    <row r="1171" spans="1:3" x14ac:dyDescent="0.3">
      <c r="A1171" s="1">
        <v>44635</v>
      </c>
      <c r="B1171">
        <v>40</v>
      </c>
      <c r="C1171">
        <v>55</v>
      </c>
    </row>
    <row r="1172" spans="1:3" x14ac:dyDescent="0.3">
      <c r="A1172" s="1">
        <v>44636</v>
      </c>
      <c r="B1172">
        <v>39</v>
      </c>
      <c r="C1172">
        <v>73</v>
      </c>
    </row>
    <row r="1173" spans="1:3" x14ac:dyDescent="0.3">
      <c r="A1173" s="1">
        <v>44637</v>
      </c>
      <c r="B1173">
        <v>37</v>
      </c>
      <c r="C1173">
        <v>51</v>
      </c>
    </row>
    <row r="1174" spans="1:3" x14ac:dyDescent="0.3">
      <c r="A1174" s="1">
        <v>44638</v>
      </c>
      <c r="B1174">
        <v>18</v>
      </c>
      <c r="C1174">
        <v>38</v>
      </c>
    </row>
    <row r="1175" spans="1:3" x14ac:dyDescent="0.3">
      <c r="A1175" s="1">
        <v>44639</v>
      </c>
      <c r="B1175">
        <v>33</v>
      </c>
      <c r="C1175">
        <v>54</v>
      </c>
    </row>
    <row r="1176" spans="1:3" x14ac:dyDescent="0.3">
      <c r="A1176" s="1">
        <v>44640</v>
      </c>
      <c r="B1176">
        <v>29</v>
      </c>
      <c r="C1176">
        <v>53</v>
      </c>
    </row>
    <row r="1177" spans="1:3" x14ac:dyDescent="0.3">
      <c r="A1177" s="1">
        <v>44641</v>
      </c>
      <c r="B1177">
        <v>39</v>
      </c>
      <c r="C1177">
        <v>67</v>
      </c>
    </row>
    <row r="1178" spans="1:3" x14ac:dyDescent="0.3">
      <c r="A1178" s="1">
        <v>44642</v>
      </c>
      <c r="B1178">
        <v>40</v>
      </c>
      <c r="C1178">
        <v>71</v>
      </c>
    </row>
    <row r="1179" spans="1:3" x14ac:dyDescent="0.3">
      <c r="A1179" s="1">
        <v>44643</v>
      </c>
      <c r="B1179">
        <v>38</v>
      </c>
      <c r="C1179">
        <v>68</v>
      </c>
    </row>
    <row r="1180" spans="1:3" x14ac:dyDescent="0.3">
      <c r="A1180" s="1">
        <v>44644</v>
      </c>
      <c r="B1180">
        <v>47</v>
      </c>
      <c r="C1180">
        <v>79</v>
      </c>
    </row>
    <row r="1181" spans="1:3" x14ac:dyDescent="0.3">
      <c r="A1181" s="1">
        <v>44645</v>
      </c>
      <c r="B1181">
        <v>47</v>
      </c>
      <c r="C1181">
        <v>66</v>
      </c>
    </row>
    <row r="1182" spans="1:3" x14ac:dyDescent="0.3">
      <c r="A1182" s="1">
        <v>44646</v>
      </c>
      <c r="B1182">
        <v>33</v>
      </c>
      <c r="C1182">
        <v>69</v>
      </c>
    </row>
    <row r="1183" spans="1:3" x14ac:dyDescent="0.3">
      <c r="A1183" s="1">
        <v>44647</v>
      </c>
      <c r="B1183">
        <v>33</v>
      </c>
      <c r="C1183">
        <v>59</v>
      </c>
    </row>
    <row r="1184" spans="1:3" x14ac:dyDescent="0.3">
      <c r="A1184" s="1">
        <v>44648</v>
      </c>
      <c r="B1184">
        <v>25</v>
      </c>
      <c r="C1184">
        <v>51</v>
      </c>
    </row>
    <row r="1185" spans="1:3" x14ac:dyDescent="0.3">
      <c r="A1185" s="1">
        <v>44649</v>
      </c>
      <c r="B1185">
        <v>32</v>
      </c>
      <c r="C1185">
        <v>47</v>
      </c>
    </row>
    <row r="1186" spans="1:3" x14ac:dyDescent="0.3">
      <c r="A1186" s="1">
        <v>44650</v>
      </c>
      <c r="B1186">
        <v>38</v>
      </c>
      <c r="C1186">
        <v>44</v>
      </c>
    </row>
    <row r="1187" spans="1:3" x14ac:dyDescent="0.3">
      <c r="A1187" s="1">
        <v>44651</v>
      </c>
      <c r="B1187">
        <v>36</v>
      </c>
      <c r="C1187">
        <v>72</v>
      </c>
    </row>
    <row r="1188" spans="1:3" x14ac:dyDescent="0.3">
      <c r="A1188" s="1">
        <v>44652</v>
      </c>
      <c r="B1188">
        <v>41</v>
      </c>
      <c r="C1188">
        <v>70</v>
      </c>
    </row>
    <row r="1189" spans="1:3" x14ac:dyDescent="0.3">
      <c r="A1189" s="1">
        <v>44653</v>
      </c>
      <c r="B1189">
        <v>49</v>
      </c>
      <c r="C1189">
        <v>73</v>
      </c>
    </row>
    <row r="1190" spans="1:3" x14ac:dyDescent="0.3">
      <c r="A1190" s="1">
        <v>44654</v>
      </c>
      <c r="B1190">
        <v>27</v>
      </c>
      <c r="C1190">
        <v>78</v>
      </c>
    </row>
    <row r="1191" spans="1:3" x14ac:dyDescent="0.3">
      <c r="A1191" s="1">
        <v>44655</v>
      </c>
      <c r="B1191">
        <v>37</v>
      </c>
      <c r="C1191">
        <v>68</v>
      </c>
    </row>
    <row r="1192" spans="1:3" x14ac:dyDescent="0.3">
      <c r="A1192" s="1">
        <v>44656</v>
      </c>
      <c r="B1192">
        <v>45</v>
      </c>
      <c r="C1192">
        <v>60</v>
      </c>
    </row>
    <row r="1193" spans="1:3" x14ac:dyDescent="0.3">
      <c r="A1193" s="1">
        <v>44657</v>
      </c>
      <c r="B1193">
        <v>43</v>
      </c>
      <c r="C1193">
        <v>78</v>
      </c>
    </row>
    <row r="1194" spans="1:3" x14ac:dyDescent="0.3">
      <c r="A1194" s="1">
        <v>44658</v>
      </c>
      <c r="B1194">
        <v>33</v>
      </c>
      <c r="C1194">
        <v>62</v>
      </c>
    </row>
    <row r="1195" spans="1:3" x14ac:dyDescent="0.3">
      <c r="A1195" s="1">
        <v>44659</v>
      </c>
      <c r="B1195">
        <v>34</v>
      </c>
      <c r="C1195">
        <v>56</v>
      </c>
    </row>
    <row r="1196" spans="1:3" x14ac:dyDescent="0.3">
      <c r="A1196" s="1">
        <v>44660</v>
      </c>
      <c r="B1196">
        <v>44</v>
      </c>
      <c r="C1196">
        <v>64</v>
      </c>
    </row>
    <row r="1197" spans="1:3" x14ac:dyDescent="0.3">
      <c r="A1197" s="1">
        <v>44661</v>
      </c>
      <c r="B1197">
        <v>47</v>
      </c>
      <c r="C1197">
        <v>57</v>
      </c>
    </row>
    <row r="1198" spans="1:3" x14ac:dyDescent="0.3">
      <c r="A1198" s="1">
        <v>44662</v>
      </c>
      <c r="B1198">
        <v>32</v>
      </c>
      <c r="C1198">
        <v>66</v>
      </c>
    </row>
    <row r="1199" spans="1:3" x14ac:dyDescent="0.3">
      <c r="A1199" s="1">
        <v>44663</v>
      </c>
      <c r="B1199">
        <v>34</v>
      </c>
      <c r="C1199">
        <v>70</v>
      </c>
    </row>
    <row r="1200" spans="1:3" x14ac:dyDescent="0.3">
      <c r="A1200" s="1">
        <v>44664</v>
      </c>
      <c r="B1200">
        <v>48</v>
      </c>
      <c r="C1200">
        <v>57</v>
      </c>
    </row>
    <row r="1201" spans="1:3" x14ac:dyDescent="0.3">
      <c r="A1201" s="1">
        <v>44665</v>
      </c>
      <c r="B1201">
        <v>39</v>
      </c>
      <c r="C1201">
        <v>65</v>
      </c>
    </row>
    <row r="1202" spans="1:3" x14ac:dyDescent="0.3">
      <c r="A1202" s="1">
        <v>44666</v>
      </c>
      <c r="B1202">
        <v>29</v>
      </c>
      <c r="C1202">
        <v>72</v>
      </c>
    </row>
    <row r="1203" spans="1:3" x14ac:dyDescent="0.3">
      <c r="A1203" s="1">
        <v>44667</v>
      </c>
      <c r="B1203">
        <v>39</v>
      </c>
      <c r="C1203">
        <v>57</v>
      </c>
    </row>
    <row r="1204" spans="1:3" x14ac:dyDescent="0.3">
      <c r="A1204" s="1">
        <v>44668</v>
      </c>
      <c r="B1204">
        <v>34</v>
      </c>
      <c r="C1204">
        <v>74</v>
      </c>
    </row>
    <row r="1205" spans="1:3" x14ac:dyDescent="0.3">
      <c r="A1205" s="1">
        <v>44669</v>
      </c>
      <c r="B1205">
        <v>38</v>
      </c>
      <c r="C1205">
        <v>62</v>
      </c>
    </row>
    <row r="1206" spans="1:3" x14ac:dyDescent="0.3">
      <c r="A1206" s="1">
        <v>44670</v>
      </c>
      <c r="B1206">
        <v>39</v>
      </c>
      <c r="C1206">
        <v>58</v>
      </c>
    </row>
    <row r="1207" spans="1:3" x14ac:dyDescent="0.3">
      <c r="A1207" s="1">
        <v>44671</v>
      </c>
      <c r="B1207">
        <v>31</v>
      </c>
      <c r="C1207">
        <v>70</v>
      </c>
    </row>
    <row r="1208" spans="1:3" x14ac:dyDescent="0.3">
      <c r="A1208" s="1">
        <v>44672</v>
      </c>
      <c r="B1208">
        <v>47</v>
      </c>
      <c r="C1208">
        <v>44</v>
      </c>
    </row>
    <row r="1209" spans="1:3" x14ac:dyDescent="0.3">
      <c r="A1209" s="1">
        <v>44673</v>
      </c>
      <c r="B1209">
        <v>38</v>
      </c>
      <c r="C1209">
        <v>77</v>
      </c>
    </row>
    <row r="1210" spans="1:3" x14ac:dyDescent="0.3">
      <c r="A1210" s="1">
        <v>44674</v>
      </c>
      <c r="B1210">
        <v>44</v>
      </c>
      <c r="C1210">
        <v>69</v>
      </c>
    </row>
    <row r="1211" spans="1:3" x14ac:dyDescent="0.3">
      <c r="A1211" s="1">
        <v>44675</v>
      </c>
      <c r="B1211">
        <v>40</v>
      </c>
      <c r="C1211">
        <v>54</v>
      </c>
    </row>
    <row r="1212" spans="1:3" x14ac:dyDescent="0.3">
      <c r="A1212" s="1">
        <v>44676</v>
      </c>
      <c r="B1212">
        <v>38</v>
      </c>
      <c r="C1212">
        <v>65</v>
      </c>
    </row>
    <row r="1213" spans="1:3" x14ac:dyDescent="0.3">
      <c r="A1213" s="1">
        <v>44677</v>
      </c>
      <c r="B1213">
        <v>40</v>
      </c>
      <c r="C1213">
        <v>83</v>
      </c>
    </row>
    <row r="1214" spans="1:3" x14ac:dyDescent="0.3">
      <c r="A1214" s="1">
        <v>44678</v>
      </c>
      <c r="B1214">
        <v>38</v>
      </c>
      <c r="C1214">
        <v>63</v>
      </c>
    </row>
    <row r="1215" spans="1:3" x14ac:dyDescent="0.3">
      <c r="A1215" s="1">
        <v>44679</v>
      </c>
      <c r="B1215">
        <v>41</v>
      </c>
      <c r="C1215">
        <v>54</v>
      </c>
    </row>
    <row r="1216" spans="1:3" x14ac:dyDescent="0.3">
      <c r="A1216" s="1">
        <v>44680</v>
      </c>
      <c r="B1216">
        <v>37</v>
      </c>
      <c r="C1216">
        <v>67</v>
      </c>
    </row>
    <row r="1217" spans="1:3" x14ac:dyDescent="0.3">
      <c r="A1217" s="1">
        <v>44681</v>
      </c>
      <c r="B1217">
        <v>26</v>
      </c>
      <c r="C1217">
        <v>57</v>
      </c>
    </row>
    <row r="1218" spans="1:3" x14ac:dyDescent="0.3">
      <c r="A1218" s="1">
        <v>44682</v>
      </c>
      <c r="B1218">
        <v>35</v>
      </c>
      <c r="C1218">
        <v>64</v>
      </c>
    </row>
    <row r="1219" spans="1:3" x14ac:dyDescent="0.3">
      <c r="A1219" s="1">
        <v>44683</v>
      </c>
      <c r="B1219">
        <v>42</v>
      </c>
      <c r="C1219">
        <v>60</v>
      </c>
    </row>
    <row r="1220" spans="1:3" x14ac:dyDescent="0.3">
      <c r="A1220" s="1">
        <v>44684</v>
      </c>
      <c r="B1220">
        <v>30</v>
      </c>
      <c r="C1220">
        <v>65</v>
      </c>
    </row>
    <row r="1221" spans="1:3" x14ac:dyDescent="0.3">
      <c r="A1221" s="1">
        <v>44685</v>
      </c>
      <c r="B1221">
        <v>42</v>
      </c>
      <c r="C1221">
        <v>64</v>
      </c>
    </row>
    <row r="1222" spans="1:3" x14ac:dyDescent="0.3">
      <c r="A1222" s="1">
        <v>44686</v>
      </c>
      <c r="B1222">
        <v>42</v>
      </c>
      <c r="C1222">
        <v>66</v>
      </c>
    </row>
    <row r="1223" spans="1:3" x14ac:dyDescent="0.3">
      <c r="A1223" s="1">
        <v>44687</v>
      </c>
      <c r="B1223">
        <v>53</v>
      </c>
      <c r="C1223">
        <v>65</v>
      </c>
    </row>
    <row r="1224" spans="1:3" x14ac:dyDescent="0.3">
      <c r="A1224" s="1">
        <v>44688</v>
      </c>
      <c r="B1224">
        <v>49</v>
      </c>
      <c r="C1224">
        <v>57</v>
      </c>
    </row>
    <row r="1225" spans="1:3" x14ac:dyDescent="0.3">
      <c r="A1225" s="1">
        <v>44689</v>
      </c>
      <c r="B1225">
        <v>45</v>
      </c>
      <c r="C1225">
        <v>61</v>
      </c>
    </row>
    <row r="1226" spans="1:3" x14ac:dyDescent="0.3">
      <c r="A1226" s="1">
        <v>44690</v>
      </c>
      <c r="B1226">
        <v>27</v>
      </c>
      <c r="C1226">
        <v>65</v>
      </c>
    </row>
    <row r="1227" spans="1:3" x14ac:dyDescent="0.3">
      <c r="A1227" s="1">
        <v>44691</v>
      </c>
      <c r="B1227">
        <v>39</v>
      </c>
      <c r="C1227">
        <v>55</v>
      </c>
    </row>
    <row r="1228" spans="1:3" x14ac:dyDescent="0.3">
      <c r="A1228" s="1">
        <v>44692</v>
      </c>
      <c r="B1228">
        <v>41</v>
      </c>
      <c r="C1228">
        <v>62</v>
      </c>
    </row>
    <row r="1229" spans="1:3" x14ac:dyDescent="0.3">
      <c r="A1229" s="1">
        <v>44693</v>
      </c>
      <c r="B1229">
        <v>34</v>
      </c>
      <c r="C1229">
        <v>71</v>
      </c>
    </row>
    <row r="1230" spans="1:3" x14ac:dyDescent="0.3">
      <c r="A1230" s="1">
        <v>44694</v>
      </c>
      <c r="B1230">
        <v>35</v>
      </c>
      <c r="C1230">
        <v>51</v>
      </c>
    </row>
    <row r="1231" spans="1:3" x14ac:dyDescent="0.3">
      <c r="A1231" s="1">
        <v>44695</v>
      </c>
      <c r="B1231">
        <v>32</v>
      </c>
      <c r="C1231">
        <v>58</v>
      </c>
    </row>
    <row r="1232" spans="1:3" x14ac:dyDescent="0.3">
      <c r="A1232" s="1">
        <v>44696</v>
      </c>
      <c r="B1232">
        <v>24</v>
      </c>
      <c r="C1232">
        <v>47</v>
      </c>
    </row>
    <row r="1233" spans="1:3" x14ac:dyDescent="0.3">
      <c r="A1233" s="1">
        <v>44697</v>
      </c>
      <c r="B1233">
        <v>37</v>
      </c>
      <c r="C1233">
        <v>67</v>
      </c>
    </row>
    <row r="1234" spans="1:3" x14ac:dyDescent="0.3">
      <c r="A1234" s="1">
        <v>44698</v>
      </c>
      <c r="B1234">
        <v>44</v>
      </c>
      <c r="C1234">
        <v>62</v>
      </c>
    </row>
    <row r="1235" spans="1:3" x14ac:dyDescent="0.3">
      <c r="A1235" s="1">
        <v>44699</v>
      </c>
      <c r="B1235">
        <v>38</v>
      </c>
      <c r="C1235">
        <v>65</v>
      </c>
    </row>
    <row r="1236" spans="1:3" x14ac:dyDescent="0.3">
      <c r="A1236" s="1">
        <v>44700</v>
      </c>
      <c r="B1236">
        <v>41</v>
      </c>
      <c r="C1236">
        <v>59</v>
      </c>
    </row>
    <row r="1237" spans="1:3" x14ac:dyDescent="0.3">
      <c r="A1237" s="1">
        <v>44701</v>
      </c>
      <c r="B1237">
        <v>36</v>
      </c>
      <c r="C1237">
        <v>64</v>
      </c>
    </row>
    <row r="1238" spans="1:3" x14ac:dyDescent="0.3">
      <c r="A1238" s="1">
        <v>44702</v>
      </c>
      <c r="B1238">
        <v>47</v>
      </c>
      <c r="C1238">
        <v>59</v>
      </c>
    </row>
    <row r="1239" spans="1:3" x14ac:dyDescent="0.3">
      <c r="A1239" s="1">
        <v>44703</v>
      </c>
      <c r="B1239">
        <v>23</v>
      </c>
      <c r="C1239">
        <v>71</v>
      </c>
    </row>
    <row r="1240" spans="1:3" x14ac:dyDescent="0.3">
      <c r="A1240" s="1">
        <v>44704</v>
      </c>
      <c r="B1240">
        <v>30</v>
      </c>
      <c r="C1240">
        <v>58</v>
      </c>
    </row>
    <row r="1241" spans="1:3" x14ac:dyDescent="0.3">
      <c r="A1241" s="1">
        <v>44705</v>
      </c>
      <c r="B1241">
        <v>34</v>
      </c>
      <c r="C1241">
        <v>64</v>
      </c>
    </row>
    <row r="1242" spans="1:3" x14ac:dyDescent="0.3">
      <c r="A1242" s="1">
        <v>44706</v>
      </c>
      <c r="B1242">
        <v>38</v>
      </c>
      <c r="C1242">
        <v>52</v>
      </c>
    </row>
    <row r="1243" spans="1:3" x14ac:dyDescent="0.3">
      <c r="A1243" s="1">
        <v>44707</v>
      </c>
      <c r="B1243">
        <v>27</v>
      </c>
      <c r="C1243">
        <v>67</v>
      </c>
    </row>
    <row r="1244" spans="1:3" x14ac:dyDescent="0.3">
      <c r="A1244" s="1">
        <v>44708</v>
      </c>
      <c r="B1244">
        <v>40</v>
      </c>
      <c r="C1244">
        <v>73</v>
      </c>
    </row>
    <row r="1245" spans="1:3" x14ac:dyDescent="0.3">
      <c r="A1245" s="1">
        <v>44709</v>
      </c>
      <c r="B1245">
        <v>30</v>
      </c>
      <c r="C1245">
        <v>68</v>
      </c>
    </row>
    <row r="1246" spans="1:3" x14ac:dyDescent="0.3">
      <c r="A1246" s="1">
        <v>44710</v>
      </c>
      <c r="B1246">
        <v>39</v>
      </c>
      <c r="C1246">
        <v>67</v>
      </c>
    </row>
    <row r="1247" spans="1:3" x14ac:dyDescent="0.3">
      <c r="A1247" s="1">
        <v>44711</v>
      </c>
      <c r="B1247">
        <v>38</v>
      </c>
      <c r="C1247">
        <v>72</v>
      </c>
    </row>
    <row r="1248" spans="1:3" x14ac:dyDescent="0.3">
      <c r="A1248" s="1">
        <v>44712</v>
      </c>
      <c r="B1248">
        <v>28</v>
      </c>
      <c r="C1248">
        <v>64</v>
      </c>
    </row>
    <row r="1249" spans="1:3" x14ac:dyDescent="0.3">
      <c r="A1249" s="1">
        <v>44713</v>
      </c>
      <c r="B1249">
        <v>42</v>
      </c>
      <c r="C1249">
        <v>65</v>
      </c>
    </row>
    <row r="1250" spans="1:3" x14ac:dyDescent="0.3">
      <c r="A1250" s="1">
        <v>44714</v>
      </c>
      <c r="B1250">
        <v>42</v>
      </c>
      <c r="C1250">
        <v>77</v>
      </c>
    </row>
    <row r="1251" spans="1:3" x14ac:dyDescent="0.3">
      <c r="A1251" s="1">
        <v>44715</v>
      </c>
      <c r="B1251">
        <v>42</v>
      </c>
      <c r="C1251">
        <v>58</v>
      </c>
    </row>
    <row r="1252" spans="1:3" x14ac:dyDescent="0.3">
      <c r="A1252" s="1">
        <v>44716</v>
      </c>
      <c r="B1252">
        <v>39</v>
      </c>
      <c r="C1252">
        <v>54</v>
      </c>
    </row>
    <row r="1253" spans="1:3" x14ac:dyDescent="0.3">
      <c r="A1253" s="1">
        <v>44717</v>
      </c>
      <c r="B1253">
        <v>35</v>
      </c>
      <c r="C1253">
        <v>68</v>
      </c>
    </row>
    <row r="1254" spans="1:3" x14ac:dyDescent="0.3">
      <c r="A1254" s="1">
        <v>44718</v>
      </c>
      <c r="B1254">
        <v>30</v>
      </c>
      <c r="C1254">
        <v>70</v>
      </c>
    </row>
    <row r="1255" spans="1:3" x14ac:dyDescent="0.3">
      <c r="A1255" s="1">
        <v>44719</v>
      </c>
      <c r="B1255">
        <v>48</v>
      </c>
      <c r="C1255">
        <v>66</v>
      </c>
    </row>
    <row r="1256" spans="1:3" x14ac:dyDescent="0.3">
      <c r="A1256" s="1">
        <v>44720</v>
      </c>
      <c r="B1256">
        <v>49</v>
      </c>
      <c r="C1256">
        <v>69</v>
      </c>
    </row>
    <row r="1257" spans="1:3" x14ac:dyDescent="0.3">
      <c r="A1257" s="1">
        <v>44721</v>
      </c>
      <c r="B1257">
        <v>25</v>
      </c>
      <c r="C1257">
        <v>63</v>
      </c>
    </row>
    <row r="1258" spans="1:3" x14ac:dyDescent="0.3">
      <c r="A1258" s="1">
        <v>44722</v>
      </c>
      <c r="B1258">
        <v>42</v>
      </c>
      <c r="C1258">
        <v>69</v>
      </c>
    </row>
    <row r="1259" spans="1:3" x14ac:dyDescent="0.3">
      <c r="A1259" s="1">
        <v>44723</v>
      </c>
      <c r="B1259">
        <v>36</v>
      </c>
      <c r="C1259">
        <v>62</v>
      </c>
    </row>
    <row r="1260" spans="1:3" x14ac:dyDescent="0.3">
      <c r="A1260" s="1">
        <v>44724</v>
      </c>
      <c r="B1260">
        <v>27</v>
      </c>
      <c r="C1260">
        <v>62</v>
      </c>
    </row>
    <row r="1261" spans="1:3" x14ac:dyDescent="0.3">
      <c r="A1261" s="1">
        <v>44725</v>
      </c>
      <c r="B1261">
        <v>24</v>
      </c>
      <c r="C1261">
        <v>43</v>
      </c>
    </row>
    <row r="1262" spans="1:3" x14ac:dyDescent="0.3">
      <c r="A1262" s="1">
        <v>44726</v>
      </c>
      <c r="B1262">
        <v>46</v>
      </c>
      <c r="C1262">
        <v>90</v>
      </c>
    </row>
    <row r="1263" spans="1:3" x14ac:dyDescent="0.3">
      <c r="A1263" s="1">
        <v>44727</v>
      </c>
      <c r="B1263">
        <v>35</v>
      </c>
      <c r="C1263">
        <v>62</v>
      </c>
    </row>
    <row r="1264" spans="1:3" x14ac:dyDescent="0.3">
      <c r="A1264" s="1">
        <v>44728</v>
      </c>
      <c r="B1264">
        <v>36</v>
      </c>
      <c r="C1264">
        <v>76</v>
      </c>
    </row>
    <row r="1265" spans="1:3" x14ac:dyDescent="0.3">
      <c r="A1265" s="1">
        <v>44729</v>
      </c>
      <c r="B1265">
        <v>36</v>
      </c>
      <c r="C1265">
        <v>54</v>
      </c>
    </row>
    <row r="1266" spans="1:3" x14ac:dyDescent="0.3">
      <c r="A1266" s="1">
        <v>44730</v>
      </c>
      <c r="B1266">
        <v>36</v>
      </c>
      <c r="C1266">
        <v>63</v>
      </c>
    </row>
    <row r="1267" spans="1:3" x14ac:dyDescent="0.3">
      <c r="A1267" s="1">
        <v>44731</v>
      </c>
      <c r="B1267">
        <v>37</v>
      </c>
      <c r="C1267">
        <v>71</v>
      </c>
    </row>
    <row r="1268" spans="1:3" x14ac:dyDescent="0.3">
      <c r="A1268" s="1">
        <v>44732</v>
      </c>
      <c r="B1268">
        <v>41</v>
      </c>
      <c r="C1268">
        <v>61</v>
      </c>
    </row>
    <row r="1269" spans="1:3" x14ac:dyDescent="0.3">
      <c r="A1269" s="1">
        <v>44733</v>
      </c>
      <c r="B1269">
        <v>39</v>
      </c>
      <c r="C1269">
        <v>52</v>
      </c>
    </row>
    <row r="1270" spans="1:3" x14ac:dyDescent="0.3">
      <c r="A1270" s="1">
        <v>44734</v>
      </c>
      <c r="B1270">
        <v>45</v>
      </c>
      <c r="C1270">
        <v>63</v>
      </c>
    </row>
    <row r="1271" spans="1:3" x14ac:dyDescent="0.3">
      <c r="A1271" s="1">
        <v>44735</v>
      </c>
      <c r="B1271">
        <v>42</v>
      </c>
      <c r="C1271">
        <v>57</v>
      </c>
    </row>
    <row r="1272" spans="1:3" x14ac:dyDescent="0.3">
      <c r="A1272" s="1">
        <v>44736</v>
      </c>
      <c r="B1272">
        <v>41</v>
      </c>
      <c r="C1272">
        <v>62</v>
      </c>
    </row>
    <row r="1273" spans="1:3" x14ac:dyDescent="0.3">
      <c r="A1273" s="1">
        <v>44737</v>
      </c>
      <c r="B1273">
        <v>43</v>
      </c>
      <c r="C1273">
        <v>73</v>
      </c>
    </row>
    <row r="1274" spans="1:3" x14ac:dyDescent="0.3">
      <c r="A1274" s="1">
        <v>44738</v>
      </c>
      <c r="B1274">
        <v>32</v>
      </c>
      <c r="C1274">
        <v>76</v>
      </c>
    </row>
    <row r="1275" spans="1:3" x14ac:dyDescent="0.3">
      <c r="A1275" s="1">
        <v>44739</v>
      </c>
      <c r="B1275">
        <v>37</v>
      </c>
      <c r="C1275">
        <v>68</v>
      </c>
    </row>
    <row r="1276" spans="1:3" x14ac:dyDescent="0.3">
      <c r="A1276" s="1">
        <v>44740</v>
      </c>
      <c r="B1276">
        <v>36</v>
      </c>
      <c r="C1276">
        <v>61</v>
      </c>
    </row>
    <row r="1277" spans="1:3" x14ac:dyDescent="0.3">
      <c r="A1277" s="1">
        <v>44741</v>
      </c>
      <c r="B1277">
        <v>39</v>
      </c>
      <c r="C1277">
        <v>52</v>
      </c>
    </row>
    <row r="1278" spans="1:3" x14ac:dyDescent="0.3">
      <c r="A1278" s="1">
        <v>44742</v>
      </c>
      <c r="B1278">
        <v>43</v>
      </c>
      <c r="C1278">
        <v>76</v>
      </c>
    </row>
    <row r="1279" spans="1:3" x14ac:dyDescent="0.3">
      <c r="A1279" s="1">
        <v>44743</v>
      </c>
      <c r="B1279">
        <v>32</v>
      </c>
      <c r="C1279">
        <v>65</v>
      </c>
    </row>
    <row r="1280" spans="1:3" x14ac:dyDescent="0.3">
      <c r="A1280" s="1">
        <v>44744</v>
      </c>
      <c r="B1280">
        <v>38</v>
      </c>
      <c r="C1280">
        <v>54</v>
      </c>
    </row>
    <row r="1281" spans="1:3" x14ac:dyDescent="0.3">
      <c r="A1281" s="1">
        <v>44745</v>
      </c>
      <c r="B1281">
        <v>35</v>
      </c>
      <c r="C1281">
        <v>64</v>
      </c>
    </row>
    <row r="1282" spans="1:3" x14ac:dyDescent="0.3">
      <c r="A1282" s="1">
        <v>44746</v>
      </c>
      <c r="B1282">
        <v>34</v>
      </c>
      <c r="C1282">
        <v>80</v>
      </c>
    </row>
    <row r="1283" spans="1:3" x14ac:dyDescent="0.3">
      <c r="A1283" s="1">
        <v>44747</v>
      </c>
      <c r="B1283">
        <v>28</v>
      </c>
      <c r="C1283">
        <v>61</v>
      </c>
    </row>
    <row r="1284" spans="1:3" x14ac:dyDescent="0.3">
      <c r="A1284" s="1">
        <v>44748</v>
      </c>
      <c r="B1284">
        <v>32</v>
      </c>
      <c r="C1284">
        <v>57</v>
      </c>
    </row>
    <row r="1285" spans="1:3" x14ac:dyDescent="0.3">
      <c r="A1285" s="1">
        <v>44749</v>
      </c>
      <c r="B1285">
        <v>29</v>
      </c>
      <c r="C1285">
        <v>57</v>
      </c>
    </row>
    <row r="1286" spans="1:3" x14ac:dyDescent="0.3">
      <c r="A1286" s="1">
        <v>44750</v>
      </c>
      <c r="B1286">
        <v>36</v>
      </c>
      <c r="C1286">
        <v>65</v>
      </c>
    </row>
    <row r="1287" spans="1:3" x14ac:dyDescent="0.3">
      <c r="A1287" s="1">
        <v>44751</v>
      </c>
      <c r="B1287">
        <v>44</v>
      </c>
      <c r="C1287">
        <v>59</v>
      </c>
    </row>
    <row r="1288" spans="1:3" x14ac:dyDescent="0.3">
      <c r="A1288" s="1">
        <v>44752</v>
      </c>
      <c r="B1288">
        <v>24</v>
      </c>
      <c r="C1288">
        <v>62</v>
      </c>
    </row>
    <row r="1289" spans="1:3" x14ac:dyDescent="0.3">
      <c r="A1289" s="1">
        <v>44753</v>
      </c>
      <c r="B1289">
        <v>29</v>
      </c>
      <c r="C1289">
        <v>61</v>
      </c>
    </row>
    <row r="1290" spans="1:3" x14ac:dyDescent="0.3">
      <c r="A1290" s="1">
        <v>44754</v>
      </c>
      <c r="B1290">
        <v>34</v>
      </c>
      <c r="C1290">
        <v>48</v>
      </c>
    </row>
    <row r="1291" spans="1:3" x14ac:dyDescent="0.3">
      <c r="A1291" s="1">
        <v>44755</v>
      </c>
      <c r="B1291">
        <v>39</v>
      </c>
      <c r="C1291">
        <v>60</v>
      </c>
    </row>
    <row r="1292" spans="1:3" x14ac:dyDescent="0.3">
      <c r="A1292" s="1">
        <v>44756</v>
      </c>
      <c r="B1292">
        <v>40</v>
      </c>
      <c r="C1292">
        <v>73</v>
      </c>
    </row>
    <row r="1293" spans="1:3" x14ac:dyDescent="0.3">
      <c r="A1293" s="1">
        <v>44757</v>
      </c>
      <c r="B1293">
        <v>28</v>
      </c>
      <c r="C1293">
        <v>81</v>
      </c>
    </row>
    <row r="1294" spans="1:3" x14ac:dyDescent="0.3">
      <c r="A1294" s="1">
        <v>44758</v>
      </c>
      <c r="B1294">
        <v>37</v>
      </c>
      <c r="C1294">
        <v>58</v>
      </c>
    </row>
    <row r="1295" spans="1:3" x14ac:dyDescent="0.3">
      <c r="A1295" s="1">
        <v>44759</v>
      </c>
      <c r="B1295">
        <v>33</v>
      </c>
      <c r="C1295">
        <v>64</v>
      </c>
    </row>
    <row r="1296" spans="1:3" x14ac:dyDescent="0.3">
      <c r="A1296" s="1">
        <v>44760</v>
      </c>
      <c r="B1296">
        <v>34</v>
      </c>
      <c r="C1296">
        <v>64</v>
      </c>
    </row>
    <row r="1297" spans="1:3" x14ac:dyDescent="0.3">
      <c r="A1297" s="1">
        <v>44761</v>
      </c>
      <c r="B1297">
        <v>30</v>
      </c>
      <c r="C1297">
        <v>58</v>
      </c>
    </row>
    <row r="1298" spans="1:3" x14ac:dyDescent="0.3">
      <c r="A1298" s="1">
        <v>44762</v>
      </c>
      <c r="B1298">
        <v>38</v>
      </c>
      <c r="C1298">
        <v>66</v>
      </c>
    </row>
    <row r="1299" spans="1:3" x14ac:dyDescent="0.3">
      <c r="A1299" s="1">
        <v>44763</v>
      </c>
      <c r="B1299">
        <v>40</v>
      </c>
      <c r="C1299">
        <v>73</v>
      </c>
    </row>
    <row r="1300" spans="1:3" x14ac:dyDescent="0.3">
      <c r="A1300" s="1">
        <v>44764</v>
      </c>
      <c r="B1300">
        <v>21</v>
      </c>
      <c r="C1300">
        <v>65</v>
      </c>
    </row>
    <row r="1301" spans="1:3" x14ac:dyDescent="0.3">
      <c r="A1301" s="1">
        <v>44765</v>
      </c>
      <c r="B1301">
        <v>36</v>
      </c>
      <c r="C1301">
        <v>58</v>
      </c>
    </row>
    <row r="1302" spans="1:3" x14ac:dyDescent="0.3">
      <c r="A1302" s="1">
        <v>44766</v>
      </c>
      <c r="B1302">
        <v>37</v>
      </c>
      <c r="C1302">
        <v>69</v>
      </c>
    </row>
    <row r="1303" spans="1:3" x14ac:dyDescent="0.3">
      <c r="A1303" s="1">
        <v>44767</v>
      </c>
      <c r="B1303">
        <v>33</v>
      </c>
      <c r="C1303">
        <v>71</v>
      </c>
    </row>
    <row r="1304" spans="1:3" x14ac:dyDescent="0.3">
      <c r="A1304" s="1">
        <v>44768</v>
      </c>
      <c r="B1304">
        <v>36</v>
      </c>
      <c r="C1304">
        <v>63</v>
      </c>
    </row>
    <row r="1305" spans="1:3" x14ac:dyDescent="0.3">
      <c r="A1305" s="1">
        <v>44769</v>
      </c>
      <c r="B1305">
        <v>28</v>
      </c>
      <c r="C1305">
        <v>66</v>
      </c>
    </row>
    <row r="1306" spans="1:3" x14ac:dyDescent="0.3">
      <c r="A1306" s="1">
        <v>44770</v>
      </c>
      <c r="B1306">
        <v>34</v>
      </c>
      <c r="C1306">
        <v>61</v>
      </c>
    </row>
    <row r="1307" spans="1:3" x14ac:dyDescent="0.3">
      <c r="A1307" s="1">
        <v>44771</v>
      </c>
      <c r="B1307">
        <v>40</v>
      </c>
      <c r="C1307">
        <v>47</v>
      </c>
    </row>
    <row r="1308" spans="1:3" x14ac:dyDescent="0.3">
      <c r="A1308" s="1">
        <v>44772</v>
      </c>
      <c r="B1308">
        <v>36</v>
      </c>
      <c r="C1308">
        <v>76</v>
      </c>
    </row>
    <row r="1309" spans="1:3" x14ac:dyDescent="0.3">
      <c r="A1309" s="1">
        <v>44773</v>
      </c>
      <c r="B1309">
        <v>45</v>
      </c>
      <c r="C1309">
        <v>58</v>
      </c>
    </row>
    <row r="1310" spans="1:3" x14ac:dyDescent="0.3">
      <c r="A1310" s="1">
        <v>44774</v>
      </c>
      <c r="B1310">
        <v>31</v>
      </c>
      <c r="C1310">
        <v>67</v>
      </c>
    </row>
    <row r="1311" spans="1:3" x14ac:dyDescent="0.3">
      <c r="A1311" s="1">
        <v>44775</v>
      </c>
      <c r="B1311">
        <v>47</v>
      </c>
      <c r="C1311">
        <v>52</v>
      </c>
    </row>
    <row r="1312" spans="1:3" x14ac:dyDescent="0.3">
      <c r="A1312" s="1">
        <v>44776</v>
      </c>
      <c r="B1312">
        <v>55</v>
      </c>
      <c r="C1312">
        <v>66</v>
      </c>
    </row>
    <row r="1313" spans="1:3" x14ac:dyDescent="0.3">
      <c r="A1313" s="1">
        <v>44777</v>
      </c>
      <c r="B1313">
        <v>41</v>
      </c>
      <c r="C1313">
        <v>60</v>
      </c>
    </row>
    <row r="1314" spans="1:3" x14ac:dyDescent="0.3">
      <c r="A1314" s="1">
        <v>44778</v>
      </c>
      <c r="B1314">
        <v>43</v>
      </c>
      <c r="C1314">
        <v>78</v>
      </c>
    </row>
    <row r="1315" spans="1:3" x14ac:dyDescent="0.3">
      <c r="A1315" s="1">
        <v>44779</v>
      </c>
      <c r="B1315">
        <v>30</v>
      </c>
      <c r="C1315">
        <v>60</v>
      </c>
    </row>
    <row r="1316" spans="1:3" x14ac:dyDescent="0.3">
      <c r="A1316" s="1">
        <v>44780</v>
      </c>
      <c r="B1316">
        <v>35</v>
      </c>
      <c r="C1316">
        <v>70</v>
      </c>
    </row>
    <row r="1317" spans="1:3" x14ac:dyDescent="0.3">
      <c r="A1317" s="1">
        <v>44781</v>
      </c>
      <c r="B1317">
        <v>44</v>
      </c>
      <c r="C1317">
        <v>52</v>
      </c>
    </row>
    <row r="1318" spans="1:3" x14ac:dyDescent="0.3">
      <c r="A1318" s="1">
        <v>44782</v>
      </c>
      <c r="B1318">
        <v>35</v>
      </c>
      <c r="C1318">
        <v>60</v>
      </c>
    </row>
    <row r="1319" spans="1:3" x14ac:dyDescent="0.3">
      <c r="A1319" s="1">
        <v>44783</v>
      </c>
      <c r="B1319">
        <v>45</v>
      </c>
      <c r="C1319">
        <v>71</v>
      </c>
    </row>
    <row r="1320" spans="1:3" x14ac:dyDescent="0.3">
      <c r="A1320" s="1">
        <v>44784</v>
      </c>
      <c r="B1320">
        <v>37</v>
      </c>
      <c r="C1320">
        <v>66</v>
      </c>
    </row>
    <row r="1321" spans="1:3" x14ac:dyDescent="0.3">
      <c r="A1321" s="1">
        <v>44785</v>
      </c>
      <c r="B1321">
        <v>31</v>
      </c>
      <c r="C1321">
        <v>73</v>
      </c>
    </row>
    <row r="1322" spans="1:3" x14ac:dyDescent="0.3">
      <c r="A1322" s="1">
        <v>44786</v>
      </c>
      <c r="B1322">
        <v>40</v>
      </c>
      <c r="C1322">
        <v>60</v>
      </c>
    </row>
    <row r="1323" spans="1:3" x14ac:dyDescent="0.3">
      <c r="A1323" s="1">
        <v>44787</v>
      </c>
      <c r="B1323">
        <v>34</v>
      </c>
      <c r="C1323">
        <v>57</v>
      </c>
    </row>
    <row r="1324" spans="1:3" x14ac:dyDescent="0.3">
      <c r="A1324" s="1">
        <v>44788</v>
      </c>
      <c r="B1324">
        <v>36</v>
      </c>
      <c r="C1324">
        <v>59</v>
      </c>
    </row>
    <row r="1325" spans="1:3" x14ac:dyDescent="0.3">
      <c r="A1325" s="1">
        <v>44789</v>
      </c>
      <c r="B1325">
        <v>41</v>
      </c>
      <c r="C1325">
        <v>65</v>
      </c>
    </row>
    <row r="1326" spans="1:3" x14ac:dyDescent="0.3">
      <c r="A1326" s="1">
        <v>44790</v>
      </c>
      <c r="B1326">
        <v>51</v>
      </c>
      <c r="C1326">
        <v>74</v>
      </c>
    </row>
    <row r="1327" spans="1:3" x14ac:dyDescent="0.3">
      <c r="A1327" s="1">
        <v>44791</v>
      </c>
      <c r="B1327">
        <v>37</v>
      </c>
      <c r="C1327">
        <v>65</v>
      </c>
    </row>
    <row r="1328" spans="1:3" x14ac:dyDescent="0.3">
      <c r="A1328" s="1">
        <v>44792</v>
      </c>
      <c r="B1328">
        <v>51</v>
      </c>
      <c r="C1328">
        <v>76</v>
      </c>
    </row>
    <row r="1329" spans="1:3" x14ac:dyDescent="0.3">
      <c r="A1329" s="1">
        <v>44793</v>
      </c>
      <c r="B1329">
        <v>32</v>
      </c>
      <c r="C1329">
        <v>68</v>
      </c>
    </row>
    <row r="1330" spans="1:3" x14ac:dyDescent="0.3">
      <c r="A1330" s="1">
        <v>44794</v>
      </c>
      <c r="B1330">
        <v>35</v>
      </c>
      <c r="C1330">
        <v>59</v>
      </c>
    </row>
    <row r="1331" spans="1:3" x14ac:dyDescent="0.3">
      <c r="A1331" s="1">
        <v>44795</v>
      </c>
      <c r="B1331">
        <v>34</v>
      </c>
      <c r="C1331">
        <v>54</v>
      </c>
    </row>
    <row r="1332" spans="1:3" x14ac:dyDescent="0.3">
      <c r="A1332" s="1">
        <v>44796</v>
      </c>
      <c r="B1332">
        <v>39</v>
      </c>
      <c r="C1332">
        <v>63</v>
      </c>
    </row>
    <row r="1333" spans="1:3" x14ac:dyDescent="0.3">
      <c r="A1333" s="1">
        <v>44797</v>
      </c>
      <c r="B1333">
        <v>42</v>
      </c>
      <c r="C1333">
        <v>66</v>
      </c>
    </row>
    <row r="1334" spans="1:3" x14ac:dyDescent="0.3">
      <c r="A1334" s="1">
        <v>44798</v>
      </c>
      <c r="B1334">
        <v>42</v>
      </c>
      <c r="C1334">
        <v>73</v>
      </c>
    </row>
    <row r="1335" spans="1:3" x14ac:dyDescent="0.3">
      <c r="A1335" s="1">
        <v>44799</v>
      </c>
      <c r="B1335">
        <v>47</v>
      </c>
      <c r="C1335">
        <v>60</v>
      </c>
    </row>
    <row r="1336" spans="1:3" x14ac:dyDescent="0.3">
      <c r="A1336" s="1">
        <v>44800</v>
      </c>
      <c r="B1336">
        <v>48</v>
      </c>
      <c r="C1336">
        <v>66</v>
      </c>
    </row>
    <row r="1337" spans="1:3" x14ac:dyDescent="0.3">
      <c r="A1337" s="1">
        <v>44801</v>
      </c>
      <c r="B1337">
        <v>47</v>
      </c>
      <c r="C1337">
        <v>70</v>
      </c>
    </row>
    <row r="1338" spans="1:3" x14ac:dyDescent="0.3">
      <c r="A1338" s="1">
        <v>44802</v>
      </c>
      <c r="B1338">
        <v>43</v>
      </c>
      <c r="C1338">
        <v>66</v>
      </c>
    </row>
    <row r="1339" spans="1:3" x14ac:dyDescent="0.3">
      <c r="A1339" s="1">
        <v>44803</v>
      </c>
      <c r="B1339">
        <v>51</v>
      </c>
      <c r="C1339">
        <v>61</v>
      </c>
    </row>
    <row r="1340" spans="1:3" x14ac:dyDescent="0.3">
      <c r="A1340" s="1">
        <v>44804</v>
      </c>
      <c r="B1340">
        <v>40</v>
      </c>
      <c r="C1340">
        <v>63</v>
      </c>
    </row>
    <row r="1341" spans="1:3" x14ac:dyDescent="0.3">
      <c r="A1341" s="1">
        <v>44805</v>
      </c>
      <c r="B1341">
        <v>46</v>
      </c>
      <c r="C1341">
        <v>67</v>
      </c>
    </row>
    <row r="1342" spans="1:3" x14ac:dyDescent="0.3">
      <c r="A1342" s="1">
        <v>44806</v>
      </c>
      <c r="B1342">
        <v>39</v>
      </c>
      <c r="C1342">
        <v>62</v>
      </c>
    </row>
    <row r="1343" spans="1:3" x14ac:dyDescent="0.3">
      <c r="A1343" s="1">
        <v>44807</v>
      </c>
      <c r="B1343">
        <v>44</v>
      </c>
      <c r="C1343">
        <v>69</v>
      </c>
    </row>
    <row r="1344" spans="1:3" x14ac:dyDescent="0.3">
      <c r="A1344" s="1">
        <v>44808</v>
      </c>
      <c r="B1344">
        <v>35</v>
      </c>
      <c r="C1344">
        <v>73</v>
      </c>
    </row>
    <row r="1345" spans="1:3" x14ac:dyDescent="0.3">
      <c r="A1345" s="1">
        <v>44809</v>
      </c>
      <c r="B1345">
        <v>36</v>
      </c>
      <c r="C1345">
        <v>69</v>
      </c>
    </row>
    <row r="1346" spans="1:3" x14ac:dyDescent="0.3">
      <c r="A1346" s="1">
        <v>44810</v>
      </c>
      <c r="B1346">
        <v>46</v>
      </c>
      <c r="C1346">
        <v>50</v>
      </c>
    </row>
    <row r="1347" spans="1:3" x14ac:dyDescent="0.3">
      <c r="A1347" s="1">
        <v>44811</v>
      </c>
      <c r="B1347">
        <v>35</v>
      </c>
      <c r="C1347">
        <v>48</v>
      </c>
    </row>
    <row r="1348" spans="1:3" x14ac:dyDescent="0.3">
      <c r="A1348" s="1">
        <v>44812</v>
      </c>
      <c r="B1348">
        <v>39</v>
      </c>
      <c r="C1348">
        <v>61</v>
      </c>
    </row>
    <row r="1349" spans="1:3" x14ac:dyDescent="0.3">
      <c r="A1349" s="1">
        <v>44813</v>
      </c>
      <c r="B1349">
        <v>46</v>
      </c>
      <c r="C1349">
        <v>61</v>
      </c>
    </row>
    <row r="1350" spans="1:3" x14ac:dyDescent="0.3">
      <c r="A1350" s="1">
        <v>44814</v>
      </c>
      <c r="B1350">
        <v>41</v>
      </c>
      <c r="C1350">
        <v>72</v>
      </c>
    </row>
    <row r="1351" spans="1:3" x14ac:dyDescent="0.3">
      <c r="A1351" s="1">
        <v>44815</v>
      </c>
      <c r="B1351">
        <v>20</v>
      </c>
      <c r="C1351">
        <v>73</v>
      </c>
    </row>
    <row r="1352" spans="1:3" x14ac:dyDescent="0.3">
      <c r="A1352" s="1">
        <v>44816</v>
      </c>
      <c r="B1352">
        <v>54</v>
      </c>
      <c r="C1352">
        <v>72</v>
      </c>
    </row>
    <row r="1353" spans="1:3" x14ac:dyDescent="0.3">
      <c r="A1353" s="1">
        <v>44817</v>
      </c>
      <c r="B1353">
        <v>34</v>
      </c>
      <c r="C1353">
        <v>62</v>
      </c>
    </row>
    <row r="1354" spans="1:3" x14ac:dyDescent="0.3">
      <c r="A1354" s="1">
        <v>44818</v>
      </c>
      <c r="B1354">
        <v>56</v>
      </c>
      <c r="C1354">
        <v>55</v>
      </c>
    </row>
    <row r="1355" spans="1:3" x14ac:dyDescent="0.3">
      <c r="A1355" s="1">
        <v>44819</v>
      </c>
      <c r="B1355">
        <v>38</v>
      </c>
      <c r="C1355">
        <v>68</v>
      </c>
    </row>
    <row r="1356" spans="1:3" x14ac:dyDescent="0.3">
      <c r="A1356" s="1">
        <v>44820</v>
      </c>
      <c r="B1356">
        <v>38</v>
      </c>
      <c r="C1356">
        <v>76</v>
      </c>
    </row>
    <row r="1357" spans="1:3" x14ac:dyDescent="0.3">
      <c r="A1357" s="1">
        <v>44821</v>
      </c>
      <c r="B1357">
        <v>35</v>
      </c>
      <c r="C1357">
        <v>54</v>
      </c>
    </row>
    <row r="1358" spans="1:3" x14ac:dyDescent="0.3">
      <c r="A1358" s="1">
        <v>44822</v>
      </c>
      <c r="B1358">
        <v>37</v>
      </c>
      <c r="C1358">
        <v>47</v>
      </c>
    </row>
    <row r="1359" spans="1:3" x14ac:dyDescent="0.3">
      <c r="A1359" s="1">
        <v>44823</v>
      </c>
      <c r="B1359">
        <v>32</v>
      </c>
      <c r="C1359">
        <v>54</v>
      </c>
    </row>
    <row r="1360" spans="1:3" x14ac:dyDescent="0.3">
      <c r="A1360" s="1">
        <v>44824</v>
      </c>
      <c r="B1360">
        <v>45</v>
      </c>
      <c r="C1360">
        <v>69</v>
      </c>
    </row>
    <row r="1361" spans="1:3" x14ac:dyDescent="0.3">
      <c r="A1361" s="1">
        <v>44825</v>
      </c>
      <c r="B1361">
        <v>36</v>
      </c>
      <c r="C1361">
        <v>72</v>
      </c>
    </row>
    <row r="1362" spans="1:3" x14ac:dyDescent="0.3">
      <c r="A1362" s="1">
        <v>44826</v>
      </c>
      <c r="B1362">
        <v>35</v>
      </c>
      <c r="C1362">
        <v>58</v>
      </c>
    </row>
    <row r="1363" spans="1:3" x14ac:dyDescent="0.3">
      <c r="A1363" s="1">
        <v>44827</v>
      </c>
      <c r="B1363">
        <v>32</v>
      </c>
      <c r="C1363">
        <v>70</v>
      </c>
    </row>
    <row r="1364" spans="1:3" x14ac:dyDescent="0.3">
      <c r="A1364" s="1">
        <v>44828</v>
      </c>
      <c r="B1364">
        <v>61</v>
      </c>
      <c r="C1364">
        <v>64</v>
      </c>
    </row>
    <row r="1365" spans="1:3" x14ac:dyDescent="0.3">
      <c r="A1365" s="1">
        <v>44829</v>
      </c>
      <c r="B1365">
        <v>33</v>
      </c>
      <c r="C1365">
        <v>75</v>
      </c>
    </row>
    <row r="1366" spans="1:3" x14ac:dyDescent="0.3">
      <c r="A1366" s="1">
        <v>44830</v>
      </c>
      <c r="B1366">
        <v>50</v>
      </c>
      <c r="C1366">
        <v>53</v>
      </c>
    </row>
    <row r="1367" spans="1:3" x14ac:dyDescent="0.3">
      <c r="A1367" s="1">
        <v>44831</v>
      </c>
      <c r="B1367">
        <v>30</v>
      </c>
      <c r="C1367">
        <v>58</v>
      </c>
    </row>
    <row r="1368" spans="1:3" x14ac:dyDescent="0.3">
      <c r="A1368" s="1">
        <v>44832</v>
      </c>
      <c r="B1368">
        <v>34</v>
      </c>
      <c r="C1368">
        <v>64</v>
      </c>
    </row>
    <row r="1369" spans="1:3" x14ac:dyDescent="0.3">
      <c r="A1369" s="1">
        <v>44833</v>
      </c>
      <c r="B1369">
        <v>29</v>
      </c>
      <c r="C1369">
        <v>73</v>
      </c>
    </row>
    <row r="1370" spans="1:3" x14ac:dyDescent="0.3">
      <c r="A1370" s="1">
        <v>44834</v>
      </c>
      <c r="B1370">
        <v>40</v>
      </c>
      <c r="C1370">
        <v>58</v>
      </c>
    </row>
    <row r="1371" spans="1:3" x14ac:dyDescent="0.3">
      <c r="A1371" s="1">
        <v>44835</v>
      </c>
      <c r="B1371">
        <v>37</v>
      </c>
      <c r="C1371">
        <v>68</v>
      </c>
    </row>
    <row r="1372" spans="1:3" x14ac:dyDescent="0.3">
      <c r="A1372" s="1">
        <v>44836</v>
      </c>
      <c r="B1372">
        <v>40</v>
      </c>
      <c r="C1372">
        <v>65</v>
      </c>
    </row>
    <row r="1373" spans="1:3" x14ac:dyDescent="0.3">
      <c r="A1373" s="1">
        <v>44837</v>
      </c>
      <c r="B1373">
        <v>34</v>
      </c>
      <c r="C1373">
        <v>61</v>
      </c>
    </row>
    <row r="1374" spans="1:3" x14ac:dyDescent="0.3">
      <c r="A1374" s="1">
        <v>44838</v>
      </c>
      <c r="B1374">
        <v>29</v>
      </c>
      <c r="C1374">
        <v>55</v>
      </c>
    </row>
    <row r="1375" spans="1:3" x14ac:dyDescent="0.3">
      <c r="A1375" s="1">
        <v>44839</v>
      </c>
      <c r="B1375">
        <v>47</v>
      </c>
      <c r="C1375">
        <v>66</v>
      </c>
    </row>
    <row r="1376" spans="1:3" x14ac:dyDescent="0.3">
      <c r="A1376" s="1">
        <v>44840</v>
      </c>
      <c r="B1376">
        <v>30</v>
      </c>
      <c r="C1376">
        <v>58</v>
      </c>
    </row>
    <row r="1377" spans="1:3" x14ac:dyDescent="0.3">
      <c r="A1377" s="1">
        <v>44841</v>
      </c>
      <c r="B1377">
        <v>40</v>
      </c>
      <c r="C1377">
        <v>62</v>
      </c>
    </row>
    <row r="1378" spans="1:3" x14ac:dyDescent="0.3">
      <c r="A1378" s="1">
        <v>44842</v>
      </c>
      <c r="B1378">
        <v>39</v>
      </c>
      <c r="C1378">
        <v>61</v>
      </c>
    </row>
    <row r="1379" spans="1:3" x14ac:dyDescent="0.3">
      <c r="A1379" s="1">
        <v>44843</v>
      </c>
      <c r="B1379">
        <v>33</v>
      </c>
      <c r="C1379">
        <v>58</v>
      </c>
    </row>
    <row r="1380" spans="1:3" x14ac:dyDescent="0.3">
      <c r="A1380" s="1">
        <v>44844</v>
      </c>
      <c r="B1380">
        <v>44</v>
      </c>
      <c r="C1380">
        <v>55</v>
      </c>
    </row>
    <row r="1381" spans="1:3" x14ac:dyDescent="0.3">
      <c r="A1381" s="1">
        <v>44845</v>
      </c>
      <c r="B1381">
        <v>41</v>
      </c>
      <c r="C1381">
        <v>60</v>
      </c>
    </row>
    <row r="1382" spans="1:3" x14ac:dyDescent="0.3">
      <c r="A1382" s="1">
        <v>44846</v>
      </c>
      <c r="B1382">
        <v>48</v>
      </c>
      <c r="C1382">
        <v>66</v>
      </c>
    </row>
    <row r="1383" spans="1:3" x14ac:dyDescent="0.3">
      <c r="A1383" s="1">
        <v>44847</v>
      </c>
      <c r="B1383">
        <v>36</v>
      </c>
      <c r="C1383">
        <v>71</v>
      </c>
    </row>
    <row r="1384" spans="1:3" x14ac:dyDescent="0.3">
      <c r="A1384" s="1">
        <v>44848</v>
      </c>
      <c r="B1384">
        <v>43</v>
      </c>
      <c r="C1384">
        <v>56</v>
      </c>
    </row>
    <row r="1385" spans="1:3" x14ac:dyDescent="0.3">
      <c r="A1385" s="1">
        <v>44849</v>
      </c>
      <c r="B1385">
        <v>42</v>
      </c>
      <c r="C1385">
        <v>61</v>
      </c>
    </row>
    <row r="1386" spans="1:3" x14ac:dyDescent="0.3">
      <c r="A1386" s="1">
        <v>44850</v>
      </c>
      <c r="B1386">
        <v>30</v>
      </c>
      <c r="C1386">
        <v>65</v>
      </c>
    </row>
    <row r="1387" spans="1:3" x14ac:dyDescent="0.3">
      <c r="A1387" s="1">
        <v>44851</v>
      </c>
      <c r="B1387">
        <v>47</v>
      </c>
      <c r="C1387">
        <v>66</v>
      </c>
    </row>
    <row r="1388" spans="1:3" x14ac:dyDescent="0.3">
      <c r="A1388" s="1">
        <v>44852</v>
      </c>
      <c r="B1388">
        <v>41</v>
      </c>
      <c r="C1388">
        <v>61</v>
      </c>
    </row>
    <row r="1389" spans="1:3" x14ac:dyDescent="0.3">
      <c r="A1389" s="1">
        <v>44853</v>
      </c>
      <c r="B1389">
        <v>39</v>
      </c>
      <c r="C1389">
        <v>71</v>
      </c>
    </row>
    <row r="1390" spans="1:3" x14ac:dyDescent="0.3">
      <c r="A1390" s="1">
        <v>44854</v>
      </c>
      <c r="B1390">
        <v>33</v>
      </c>
      <c r="C1390">
        <v>56</v>
      </c>
    </row>
    <row r="1391" spans="1:3" x14ac:dyDescent="0.3">
      <c r="A1391" s="1">
        <v>44855</v>
      </c>
      <c r="B1391">
        <v>38</v>
      </c>
      <c r="C1391">
        <v>72</v>
      </c>
    </row>
    <row r="1392" spans="1:3" x14ac:dyDescent="0.3">
      <c r="A1392" s="1">
        <v>44856</v>
      </c>
      <c r="B1392">
        <v>40</v>
      </c>
      <c r="C1392">
        <v>58</v>
      </c>
    </row>
    <row r="1393" spans="1:3" x14ac:dyDescent="0.3">
      <c r="A1393" s="1">
        <v>44857</v>
      </c>
      <c r="B1393">
        <v>43</v>
      </c>
      <c r="C1393">
        <v>68</v>
      </c>
    </row>
    <row r="1394" spans="1:3" x14ac:dyDescent="0.3">
      <c r="A1394" s="1">
        <v>44858</v>
      </c>
      <c r="B1394">
        <v>34</v>
      </c>
      <c r="C1394">
        <v>72</v>
      </c>
    </row>
    <row r="1395" spans="1:3" x14ac:dyDescent="0.3">
      <c r="A1395" s="1">
        <v>44859</v>
      </c>
      <c r="B1395">
        <v>44</v>
      </c>
      <c r="C1395">
        <v>69</v>
      </c>
    </row>
    <row r="1396" spans="1:3" x14ac:dyDescent="0.3">
      <c r="A1396" s="1">
        <v>44860</v>
      </c>
      <c r="B1396">
        <v>50</v>
      </c>
      <c r="C1396">
        <v>72</v>
      </c>
    </row>
    <row r="1397" spans="1:3" x14ac:dyDescent="0.3">
      <c r="A1397" s="1">
        <v>44861</v>
      </c>
      <c r="B1397">
        <v>36</v>
      </c>
      <c r="C1397">
        <v>68</v>
      </c>
    </row>
    <row r="1398" spans="1:3" x14ac:dyDescent="0.3">
      <c r="A1398" s="1">
        <v>44862</v>
      </c>
      <c r="B1398">
        <v>43</v>
      </c>
      <c r="C1398">
        <v>78</v>
      </c>
    </row>
    <row r="1399" spans="1:3" x14ac:dyDescent="0.3">
      <c r="A1399" s="1">
        <v>44863</v>
      </c>
      <c r="B1399">
        <v>30</v>
      </c>
      <c r="C1399">
        <v>60</v>
      </c>
    </row>
    <row r="1400" spans="1:3" x14ac:dyDescent="0.3">
      <c r="A1400" s="1">
        <v>44864</v>
      </c>
      <c r="B1400">
        <v>46</v>
      </c>
      <c r="C1400">
        <v>64</v>
      </c>
    </row>
    <row r="1401" spans="1:3" x14ac:dyDescent="0.3">
      <c r="A1401" s="1">
        <v>44865</v>
      </c>
      <c r="B1401">
        <v>29</v>
      </c>
      <c r="C1401">
        <v>49</v>
      </c>
    </row>
    <row r="1402" spans="1:3" x14ac:dyDescent="0.3">
      <c r="A1402" s="1">
        <v>44866</v>
      </c>
      <c r="B1402">
        <v>41</v>
      </c>
      <c r="C1402">
        <v>62</v>
      </c>
    </row>
    <row r="1403" spans="1:3" x14ac:dyDescent="0.3">
      <c r="A1403" s="1">
        <v>44867</v>
      </c>
      <c r="B1403">
        <v>36</v>
      </c>
      <c r="C1403">
        <v>63</v>
      </c>
    </row>
    <row r="1404" spans="1:3" x14ac:dyDescent="0.3">
      <c r="A1404" s="1">
        <v>44868</v>
      </c>
      <c r="B1404">
        <v>37</v>
      </c>
      <c r="C1404">
        <v>59</v>
      </c>
    </row>
    <row r="1405" spans="1:3" x14ac:dyDescent="0.3">
      <c r="A1405" s="1">
        <v>44869</v>
      </c>
      <c r="B1405">
        <v>27</v>
      </c>
      <c r="C1405">
        <v>47</v>
      </c>
    </row>
    <row r="1406" spans="1:3" x14ac:dyDescent="0.3">
      <c r="A1406" s="1">
        <v>44870</v>
      </c>
      <c r="B1406">
        <v>32</v>
      </c>
      <c r="C1406">
        <v>54</v>
      </c>
    </row>
    <row r="1407" spans="1:3" x14ac:dyDescent="0.3">
      <c r="A1407" s="1">
        <v>44871</v>
      </c>
      <c r="B1407">
        <v>41</v>
      </c>
      <c r="C1407">
        <v>46</v>
      </c>
    </row>
    <row r="1408" spans="1:3" x14ac:dyDescent="0.3">
      <c r="A1408" s="1">
        <v>44872</v>
      </c>
      <c r="B1408">
        <v>29</v>
      </c>
      <c r="C1408">
        <v>64</v>
      </c>
    </row>
    <row r="1409" spans="1:3" x14ac:dyDescent="0.3">
      <c r="A1409" s="1">
        <v>44873</v>
      </c>
      <c r="B1409">
        <v>45</v>
      </c>
      <c r="C1409">
        <v>59</v>
      </c>
    </row>
    <row r="1410" spans="1:3" x14ac:dyDescent="0.3">
      <c r="A1410" s="1">
        <v>44874</v>
      </c>
      <c r="B1410">
        <v>29</v>
      </c>
      <c r="C1410">
        <v>52</v>
      </c>
    </row>
    <row r="1411" spans="1:3" x14ac:dyDescent="0.3">
      <c r="A1411" s="1">
        <v>44875</v>
      </c>
      <c r="B1411">
        <v>43</v>
      </c>
      <c r="C1411">
        <v>67</v>
      </c>
    </row>
    <row r="1412" spans="1:3" x14ac:dyDescent="0.3">
      <c r="A1412" s="1">
        <v>44876</v>
      </c>
      <c r="B1412">
        <v>42</v>
      </c>
      <c r="C1412">
        <v>70</v>
      </c>
    </row>
    <row r="1413" spans="1:3" x14ac:dyDescent="0.3">
      <c r="A1413" s="1">
        <v>44877</v>
      </c>
      <c r="B1413">
        <v>44</v>
      </c>
      <c r="C1413">
        <v>52</v>
      </c>
    </row>
    <row r="1414" spans="1:3" x14ac:dyDescent="0.3">
      <c r="A1414" s="1">
        <v>44878</v>
      </c>
      <c r="B1414">
        <v>26</v>
      </c>
      <c r="C1414">
        <v>60</v>
      </c>
    </row>
    <row r="1415" spans="1:3" x14ac:dyDescent="0.3">
      <c r="A1415" s="1">
        <v>44879</v>
      </c>
      <c r="B1415">
        <v>30</v>
      </c>
      <c r="C1415">
        <v>49</v>
      </c>
    </row>
    <row r="1416" spans="1:3" x14ac:dyDescent="0.3">
      <c r="A1416" s="1">
        <v>44880</v>
      </c>
      <c r="B1416">
        <v>33</v>
      </c>
      <c r="C1416">
        <v>47</v>
      </c>
    </row>
    <row r="1417" spans="1:3" x14ac:dyDescent="0.3">
      <c r="A1417" s="1">
        <v>44881</v>
      </c>
      <c r="B1417">
        <v>42</v>
      </c>
      <c r="C1417">
        <v>51</v>
      </c>
    </row>
    <row r="1418" spans="1:3" x14ac:dyDescent="0.3">
      <c r="A1418" s="1">
        <v>44882</v>
      </c>
      <c r="B1418">
        <v>36</v>
      </c>
      <c r="C1418">
        <v>77</v>
      </c>
    </row>
    <row r="1419" spans="1:3" x14ac:dyDescent="0.3">
      <c r="A1419" s="1">
        <v>44883</v>
      </c>
      <c r="B1419">
        <v>42</v>
      </c>
      <c r="C1419">
        <v>54</v>
      </c>
    </row>
    <row r="1420" spans="1:3" x14ac:dyDescent="0.3">
      <c r="A1420" s="1">
        <v>44884</v>
      </c>
      <c r="B1420">
        <v>28</v>
      </c>
      <c r="C1420">
        <v>59</v>
      </c>
    </row>
    <row r="1421" spans="1:3" x14ac:dyDescent="0.3">
      <c r="A1421" s="1">
        <v>44885</v>
      </c>
      <c r="B1421">
        <v>38</v>
      </c>
      <c r="C1421">
        <v>67</v>
      </c>
    </row>
    <row r="1422" spans="1:3" x14ac:dyDescent="0.3">
      <c r="A1422" s="1">
        <v>44886</v>
      </c>
      <c r="B1422">
        <v>30</v>
      </c>
      <c r="C1422">
        <v>44</v>
      </c>
    </row>
    <row r="1423" spans="1:3" x14ac:dyDescent="0.3">
      <c r="A1423" s="1">
        <v>44887</v>
      </c>
      <c r="B1423">
        <v>31</v>
      </c>
      <c r="C1423">
        <v>49</v>
      </c>
    </row>
    <row r="1424" spans="1:3" x14ac:dyDescent="0.3">
      <c r="A1424" s="1">
        <v>44888</v>
      </c>
      <c r="B1424">
        <v>48</v>
      </c>
      <c r="C1424">
        <v>58</v>
      </c>
    </row>
    <row r="1425" spans="1:3" x14ac:dyDescent="0.3">
      <c r="A1425" s="1">
        <v>44889</v>
      </c>
      <c r="B1425">
        <v>34</v>
      </c>
      <c r="C1425">
        <v>60</v>
      </c>
    </row>
    <row r="1426" spans="1:3" x14ac:dyDescent="0.3">
      <c r="A1426" s="1">
        <v>44890</v>
      </c>
      <c r="B1426">
        <v>36</v>
      </c>
      <c r="C1426">
        <v>78</v>
      </c>
    </row>
    <row r="1427" spans="1:3" x14ac:dyDescent="0.3">
      <c r="A1427" s="1">
        <v>44891</v>
      </c>
      <c r="B1427">
        <v>40</v>
      </c>
      <c r="C1427">
        <v>51</v>
      </c>
    </row>
    <row r="1428" spans="1:3" x14ac:dyDescent="0.3">
      <c r="A1428" s="1">
        <v>44892</v>
      </c>
      <c r="B1428">
        <v>34</v>
      </c>
      <c r="C1428">
        <v>73</v>
      </c>
    </row>
    <row r="1429" spans="1:3" x14ac:dyDescent="0.3">
      <c r="A1429" s="1">
        <v>44893</v>
      </c>
      <c r="B1429">
        <v>47</v>
      </c>
      <c r="C1429">
        <v>59</v>
      </c>
    </row>
    <row r="1430" spans="1:3" x14ac:dyDescent="0.3">
      <c r="A1430" s="1">
        <v>44894</v>
      </c>
      <c r="B1430">
        <v>47</v>
      </c>
      <c r="C1430">
        <v>57</v>
      </c>
    </row>
    <row r="1431" spans="1:3" x14ac:dyDescent="0.3">
      <c r="A1431" s="1">
        <v>44895</v>
      </c>
      <c r="B1431">
        <v>34</v>
      </c>
      <c r="C1431">
        <v>66</v>
      </c>
    </row>
    <row r="1432" spans="1:3" x14ac:dyDescent="0.3">
      <c r="A1432" s="1">
        <v>44896</v>
      </c>
      <c r="B1432">
        <v>34</v>
      </c>
      <c r="C1432">
        <v>54</v>
      </c>
    </row>
    <row r="1433" spans="1:3" x14ac:dyDescent="0.3">
      <c r="A1433" s="1">
        <v>44897</v>
      </c>
      <c r="B1433">
        <v>34</v>
      </c>
      <c r="C1433">
        <v>65</v>
      </c>
    </row>
    <row r="1434" spans="1:3" x14ac:dyDescent="0.3">
      <c r="A1434" s="1">
        <v>44898</v>
      </c>
      <c r="B1434">
        <v>31</v>
      </c>
      <c r="C1434">
        <v>61</v>
      </c>
    </row>
    <row r="1435" spans="1:3" x14ac:dyDescent="0.3">
      <c r="A1435" s="1">
        <v>44899</v>
      </c>
      <c r="B1435">
        <v>32</v>
      </c>
      <c r="C1435">
        <v>48</v>
      </c>
    </row>
    <row r="1436" spans="1:3" x14ac:dyDescent="0.3">
      <c r="A1436" s="1">
        <v>44900</v>
      </c>
      <c r="B1436">
        <v>33</v>
      </c>
      <c r="C1436">
        <v>56</v>
      </c>
    </row>
    <row r="1437" spans="1:3" x14ac:dyDescent="0.3">
      <c r="A1437" s="1">
        <v>44901</v>
      </c>
      <c r="B1437">
        <v>38</v>
      </c>
      <c r="C1437">
        <v>51</v>
      </c>
    </row>
    <row r="1438" spans="1:3" x14ac:dyDescent="0.3">
      <c r="A1438" s="1">
        <v>44902</v>
      </c>
      <c r="B1438">
        <v>35</v>
      </c>
      <c r="C1438">
        <v>59</v>
      </c>
    </row>
    <row r="1439" spans="1:3" x14ac:dyDescent="0.3">
      <c r="A1439" s="1">
        <v>44903</v>
      </c>
      <c r="B1439">
        <v>30</v>
      </c>
      <c r="C1439">
        <v>50</v>
      </c>
    </row>
    <row r="1440" spans="1:3" x14ac:dyDescent="0.3">
      <c r="A1440" s="1">
        <v>44904</v>
      </c>
      <c r="B1440">
        <v>37</v>
      </c>
      <c r="C1440">
        <v>50</v>
      </c>
    </row>
    <row r="1441" spans="1:3" x14ac:dyDescent="0.3">
      <c r="A1441" s="1">
        <v>44905</v>
      </c>
      <c r="B1441">
        <v>36</v>
      </c>
      <c r="C1441">
        <v>56</v>
      </c>
    </row>
    <row r="1442" spans="1:3" x14ac:dyDescent="0.3">
      <c r="A1442" s="1">
        <v>44906</v>
      </c>
      <c r="B1442">
        <v>35</v>
      </c>
      <c r="C1442">
        <v>46</v>
      </c>
    </row>
    <row r="1443" spans="1:3" x14ac:dyDescent="0.3">
      <c r="A1443" s="1">
        <v>44907</v>
      </c>
      <c r="B1443">
        <v>37</v>
      </c>
      <c r="C1443">
        <v>59</v>
      </c>
    </row>
    <row r="1444" spans="1:3" x14ac:dyDescent="0.3">
      <c r="A1444" s="1">
        <v>44908</v>
      </c>
      <c r="B1444">
        <v>32</v>
      </c>
      <c r="C1444">
        <v>61</v>
      </c>
    </row>
    <row r="1445" spans="1:3" x14ac:dyDescent="0.3">
      <c r="A1445" s="1">
        <v>44909</v>
      </c>
      <c r="B1445">
        <v>31</v>
      </c>
      <c r="C1445">
        <v>49</v>
      </c>
    </row>
    <row r="1446" spans="1:3" x14ac:dyDescent="0.3">
      <c r="A1446" s="1">
        <v>44910</v>
      </c>
      <c r="B1446">
        <v>44</v>
      </c>
      <c r="C1446">
        <v>62</v>
      </c>
    </row>
    <row r="1447" spans="1:3" x14ac:dyDescent="0.3">
      <c r="A1447" s="1">
        <v>44911</v>
      </c>
      <c r="B1447">
        <v>27</v>
      </c>
      <c r="C1447">
        <v>40</v>
      </c>
    </row>
    <row r="1448" spans="1:3" x14ac:dyDescent="0.3">
      <c r="A1448" s="1">
        <v>44912</v>
      </c>
      <c r="B1448">
        <v>35</v>
      </c>
      <c r="C1448">
        <v>66</v>
      </c>
    </row>
    <row r="1449" spans="1:3" x14ac:dyDescent="0.3">
      <c r="A1449" s="1">
        <v>44913</v>
      </c>
      <c r="B1449">
        <v>34</v>
      </c>
      <c r="C1449">
        <v>57</v>
      </c>
    </row>
    <row r="1450" spans="1:3" x14ac:dyDescent="0.3">
      <c r="A1450" s="1">
        <v>44914</v>
      </c>
      <c r="B1450">
        <v>34</v>
      </c>
      <c r="C1450">
        <v>46</v>
      </c>
    </row>
    <row r="1451" spans="1:3" x14ac:dyDescent="0.3">
      <c r="A1451" s="1">
        <v>44915</v>
      </c>
      <c r="B1451">
        <v>35</v>
      </c>
      <c r="C1451">
        <v>57</v>
      </c>
    </row>
    <row r="1452" spans="1:3" x14ac:dyDescent="0.3">
      <c r="A1452" s="1">
        <v>44916</v>
      </c>
      <c r="B1452">
        <v>32</v>
      </c>
      <c r="C1452">
        <v>48</v>
      </c>
    </row>
    <row r="1453" spans="1:3" x14ac:dyDescent="0.3">
      <c r="A1453" s="1">
        <v>44917</v>
      </c>
      <c r="B1453">
        <v>33</v>
      </c>
      <c r="C1453">
        <v>74</v>
      </c>
    </row>
    <row r="1454" spans="1:3" x14ac:dyDescent="0.3">
      <c r="A1454" s="1">
        <v>44918</v>
      </c>
      <c r="B1454">
        <v>30</v>
      </c>
      <c r="C1454">
        <v>56</v>
      </c>
    </row>
    <row r="1455" spans="1:3" x14ac:dyDescent="0.3">
      <c r="A1455" s="1">
        <v>44919</v>
      </c>
      <c r="B1455">
        <v>35</v>
      </c>
      <c r="C1455">
        <v>62</v>
      </c>
    </row>
    <row r="1456" spans="1:3" x14ac:dyDescent="0.3">
      <c r="A1456" s="1">
        <v>44920</v>
      </c>
      <c r="B1456">
        <v>42</v>
      </c>
      <c r="C1456">
        <v>55</v>
      </c>
    </row>
    <row r="1457" spans="1:3" x14ac:dyDescent="0.3">
      <c r="A1457" s="1">
        <v>44921</v>
      </c>
      <c r="B1457">
        <v>30</v>
      </c>
      <c r="C1457">
        <v>59</v>
      </c>
    </row>
    <row r="1458" spans="1:3" x14ac:dyDescent="0.3">
      <c r="A1458" s="1">
        <v>44922</v>
      </c>
      <c r="B1458">
        <v>38</v>
      </c>
      <c r="C1458">
        <v>50</v>
      </c>
    </row>
    <row r="1459" spans="1:3" x14ac:dyDescent="0.3">
      <c r="A1459" s="1">
        <v>44923</v>
      </c>
      <c r="B1459">
        <v>25</v>
      </c>
      <c r="C1459">
        <v>60</v>
      </c>
    </row>
    <row r="1460" spans="1:3" x14ac:dyDescent="0.3">
      <c r="A1460" s="1">
        <v>44924</v>
      </c>
      <c r="B1460">
        <v>29</v>
      </c>
      <c r="C1460">
        <v>45</v>
      </c>
    </row>
    <row r="1461" spans="1:3" x14ac:dyDescent="0.3">
      <c r="A1461" s="1">
        <v>44925</v>
      </c>
      <c r="B1461">
        <v>28</v>
      </c>
      <c r="C1461">
        <v>50</v>
      </c>
    </row>
    <row r="1462" spans="1:3" x14ac:dyDescent="0.3">
      <c r="A1462" s="1">
        <v>44926</v>
      </c>
      <c r="B1462">
        <v>41</v>
      </c>
      <c r="C1462">
        <v>56</v>
      </c>
    </row>
    <row r="1463" spans="1:3" x14ac:dyDescent="0.3">
      <c r="A1463" s="1">
        <v>44927</v>
      </c>
      <c r="B1463">
        <v>34</v>
      </c>
      <c r="C1463">
        <v>55</v>
      </c>
    </row>
    <row r="1464" spans="1:3" x14ac:dyDescent="0.3">
      <c r="A1464" s="1">
        <v>44928</v>
      </c>
      <c r="B1464">
        <v>31</v>
      </c>
      <c r="C1464">
        <v>59</v>
      </c>
    </row>
    <row r="1465" spans="1:3" x14ac:dyDescent="0.3">
      <c r="A1465" s="1">
        <v>44929</v>
      </c>
      <c r="B1465">
        <v>36</v>
      </c>
      <c r="C1465">
        <v>48</v>
      </c>
    </row>
    <row r="1466" spans="1:3" x14ac:dyDescent="0.3">
      <c r="A1466" s="1">
        <v>44930</v>
      </c>
      <c r="B1466">
        <v>29</v>
      </c>
      <c r="C1466">
        <v>61</v>
      </c>
    </row>
    <row r="1467" spans="1:3" x14ac:dyDescent="0.3">
      <c r="A1467" s="1">
        <v>44931</v>
      </c>
      <c r="B1467">
        <v>38</v>
      </c>
      <c r="C1467">
        <v>49</v>
      </c>
    </row>
    <row r="1468" spans="1:3" x14ac:dyDescent="0.3">
      <c r="A1468" s="1">
        <v>44932</v>
      </c>
      <c r="B1468">
        <v>27</v>
      </c>
      <c r="C1468">
        <v>44</v>
      </c>
    </row>
    <row r="1469" spans="1:3" x14ac:dyDescent="0.3">
      <c r="A1469" s="1">
        <v>44933</v>
      </c>
      <c r="B1469">
        <v>34</v>
      </c>
      <c r="C1469">
        <v>62</v>
      </c>
    </row>
    <row r="1470" spans="1:3" x14ac:dyDescent="0.3">
      <c r="A1470" s="1">
        <v>44934</v>
      </c>
      <c r="B1470">
        <v>34</v>
      </c>
      <c r="C1470">
        <v>52</v>
      </c>
    </row>
    <row r="1471" spans="1:3" x14ac:dyDescent="0.3">
      <c r="A1471" s="1">
        <v>44935</v>
      </c>
      <c r="B1471">
        <v>31</v>
      </c>
      <c r="C1471">
        <v>58</v>
      </c>
    </row>
    <row r="1472" spans="1:3" x14ac:dyDescent="0.3">
      <c r="A1472" s="1">
        <v>44936</v>
      </c>
      <c r="B1472">
        <v>41</v>
      </c>
      <c r="C1472">
        <v>50</v>
      </c>
    </row>
    <row r="1473" spans="1:3" x14ac:dyDescent="0.3">
      <c r="A1473" s="1">
        <v>44937</v>
      </c>
      <c r="B1473">
        <v>35</v>
      </c>
      <c r="C1473">
        <v>35</v>
      </c>
    </row>
    <row r="1474" spans="1:3" x14ac:dyDescent="0.3">
      <c r="A1474" s="1">
        <v>44938</v>
      </c>
      <c r="B1474">
        <v>25</v>
      </c>
      <c r="C1474">
        <v>37</v>
      </c>
    </row>
    <row r="1475" spans="1:3" x14ac:dyDescent="0.3">
      <c r="A1475" s="1">
        <v>44939</v>
      </c>
      <c r="B1475">
        <v>30</v>
      </c>
      <c r="C1475">
        <v>39</v>
      </c>
    </row>
    <row r="1476" spans="1:3" x14ac:dyDescent="0.3">
      <c r="A1476" s="1">
        <v>44940</v>
      </c>
      <c r="B1476">
        <v>31</v>
      </c>
      <c r="C1476">
        <v>52</v>
      </c>
    </row>
    <row r="1477" spans="1:3" x14ac:dyDescent="0.3">
      <c r="A1477" s="1">
        <v>44941</v>
      </c>
      <c r="B1477">
        <v>39</v>
      </c>
      <c r="C1477">
        <v>37</v>
      </c>
    </row>
    <row r="1478" spans="1:3" x14ac:dyDescent="0.3">
      <c r="A1478" s="1">
        <v>44942</v>
      </c>
      <c r="B1478">
        <v>35</v>
      </c>
      <c r="C1478">
        <v>47</v>
      </c>
    </row>
    <row r="1479" spans="1:3" x14ac:dyDescent="0.3">
      <c r="A1479" s="1">
        <v>44943</v>
      </c>
      <c r="B1479">
        <v>27</v>
      </c>
      <c r="C1479">
        <v>57</v>
      </c>
    </row>
    <row r="1480" spans="1:3" x14ac:dyDescent="0.3">
      <c r="A1480" s="1">
        <v>44944</v>
      </c>
      <c r="B1480">
        <v>34</v>
      </c>
      <c r="C1480">
        <v>59</v>
      </c>
    </row>
    <row r="1481" spans="1:3" x14ac:dyDescent="0.3">
      <c r="A1481" s="1">
        <v>44945</v>
      </c>
      <c r="B1481">
        <v>39</v>
      </c>
      <c r="C1481">
        <v>47</v>
      </c>
    </row>
    <row r="1482" spans="1:3" x14ac:dyDescent="0.3">
      <c r="A1482" s="1">
        <v>44946</v>
      </c>
      <c r="B1482">
        <v>29</v>
      </c>
      <c r="C1482">
        <v>54</v>
      </c>
    </row>
    <row r="1483" spans="1:3" x14ac:dyDescent="0.3">
      <c r="A1483" s="1">
        <v>44947</v>
      </c>
      <c r="B1483">
        <v>35</v>
      </c>
      <c r="C1483">
        <v>58</v>
      </c>
    </row>
    <row r="1484" spans="1:3" x14ac:dyDescent="0.3">
      <c r="A1484" s="1">
        <v>44948</v>
      </c>
      <c r="B1484">
        <v>31</v>
      </c>
      <c r="C1484">
        <v>61</v>
      </c>
    </row>
    <row r="1485" spans="1:3" x14ac:dyDescent="0.3">
      <c r="A1485" s="1">
        <v>44949</v>
      </c>
      <c r="B1485">
        <v>26</v>
      </c>
      <c r="C1485">
        <v>53</v>
      </c>
    </row>
    <row r="1486" spans="1:3" x14ac:dyDescent="0.3">
      <c r="A1486" s="1">
        <v>44950</v>
      </c>
      <c r="B1486">
        <v>45</v>
      </c>
      <c r="C1486">
        <v>55</v>
      </c>
    </row>
    <row r="1487" spans="1:3" x14ac:dyDescent="0.3">
      <c r="A1487" s="1">
        <v>44951</v>
      </c>
      <c r="B1487">
        <v>42</v>
      </c>
      <c r="C1487">
        <v>62</v>
      </c>
    </row>
    <row r="1488" spans="1:3" x14ac:dyDescent="0.3">
      <c r="A1488" s="1">
        <v>44952</v>
      </c>
      <c r="B1488">
        <v>29</v>
      </c>
      <c r="C1488">
        <v>64</v>
      </c>
    </row>
    <row r="1489" spans="1:3" x14ac:dyDescent="0.3">
      <c r="A1489" s="1">
        <v>44953</v>
      </c>
      <c r="B1489">
        <v>27</v>
      </c>
      <c r="C1489">
        <v>51</v>
      </c>
    </row>
    <row r="1490" spans="1:3" x14ac:dyDescent="0.3">
      <c r="A1490" s="1">
        <v>44954</v>
      </c>
      <c r="B1490">
        <v>35</v>
      </c>
      <c r="C1490">
        <v>63</v>
      </c>
    </row>
    <row r="1491" spans="1:3" x14ac:dyDescent="0.3">
      <c r="A1491" s="1">
        <v>44955</v>
      </c>
      <c r="B1491">
        <v>32</v>
      </c>
      <c r="C1491">
        <v>54</v>
      </c>
    </row>
    <row r="1492" spans="1:3" x14ac:dyDescent="0.3">
      <c r="A1492" s="1">
        <v>44956</v>
      </c>
      <c r="B1492">
        <v>26</v>
      </c>
      <c r="C1492">
        <v>51</v>
      </c>
    </row>
    <row r="1493" spans="1:3" x14ac:dyDescent="0.3">
      <c r="A1493" s="1">
        <v>44957</v>
      </c>
      <c r="B1493">
        <v>37</v>
      </c>
      <c r="C1493">
        <v>52</v>
      </c>
    </row>
    <row r="1494" spans="1:3" x14ac:dyDescent="0.3">
      <c r="A1494" s="1">
        <v>44958</v>
      </c>
      <c r="B1494">
        <v>20</v>
      </c>
      <c r="C1494">
        <v>59</v>
      </c>
    </row>
    <row r="1495" spans="1:3" x14ac:dyDescent="0.3">
      <c r="A1495" s="1">
        <v>44959</v>
      </c>
      <c r="B1495">
        <v>27</v>
      </c>
      <c r="C1495">
        <v>53</v>
      </c>
    </row>
    <row r="1496" spans="1:3" x14ac:dyDescent="0.3">
      <c r="A1496" s="1">
        <v>44960</v>
      </c>
      <c r="B1496">
        <v>40</v>
      </c>
      <c r="C1496">
        <v>61</v>
      </c>
    </row>
    <row r="1497" spans="1:3" x14ac:dyDescent="0.3">
      <c r="A1497" s="1">
        <v>44961</v>
      </c>
      <c r="B1497">
        <v>27</v>
      </c>
      <c r="C1497">
        <v>58</v>
      </c>
    </row>
    <row r="1498" spans="1:3" x14ac:dyDescent="0.3">
      <c r="A1498" s="1">
        <v>44962</v>
      </c>
      <c r="B1498">
        <v>29</v>
      </c>
      <c r="C1498">
        <v>48</v>
      </c>
    </row>
    <row r="1499" spans="1:3" x14ac:dyDescent="0.3">
      <c r="A1499" s="1">
        <v>44963</v>
      </c>
      <c r="B1499">
        <v>34</v>
      </c>
      <c r="C1499">
        <v>53</v>
      </c>
    </row>
    <row r="1500" spans="1:3" x14ac:dyDescent="0.3">
      <c r="A1500" s="1">
        <v>44964</v>
      </c>
      <c r="B1500">
        <v>44</v>
      </c>
      <c r="C1500">
        <v>64</v>
      </c>
    </row>
    <row r="1501" spans="1:3" x14ac:dyDescent="0.3">
      <c r="A1501" s="1">
        <v>44965</v>
      </c>
      <c r="B1501">
        <v>37</v>
      </c>
      <c r="C1501">
        <v>70</v>
      </c>
    </row>
    <row r="1502" spans="1:3" x14ac:dyDescent="0.3">
      <c r="A1502" s="1">
        <v>44966</v>
      </c>
      <c r="B1502">
        <v>39</v>
      </c>
      <c r="C1502">
        <v>48</v>
      </c>
    </row>
    <row r="1503" spans="1:3" x14ac:dyDescent="0.3">
      <c r="A1503" s="1">
        <v>44967</v>
      </c>
      <c r="B1503">
        <v>22</v>
      </c>
      <c r="C1503">
        <v>45</v>
      </c>
    </row>
    <row r="1504" spans="1:3" x14ac:dyDescent="0.3">
      <c r="A1504" s="1">
        <v>44968</v>
      </c>
      <c r="B1504">
        <v>38</v>
      </c>
      <c r="C1504">
        <v>52</v>
      </c>
    </row>
    <row r="1505" spans="1:3" x14ac:dyDescent="0.3">
      <c r="A1505" s="1">
        <v>44969</v>
      </c>
      <c r="B1505">
        <v>44</v>
      </c>
      <c r="C1505">
        <v>66</v>
      </c>
    </row>
    <row r="1506" spans="1:3" x14ac:dyDescent="0.3">
      <c r="A1506" s="1">
        <v>44970</v>
      </c>
      <c r="B1506">
        <v>33</v>
      </c>
      <c r="C1506">
        <v>65</v>
      </c>
    </row>
    <row r="1507" spans="1:3" x14ac:dyDescent="0.3">
      <c r="A1507" s="1">
        <v>44971</v>
      </c>
      <c r="B1507">
        <v>38</v>
      </c>
      <c r="C1507">
        <v>64</v>
      </c>
    </row>
    <row r="1508" spans="1:3" x14ac:dyDescent="0.3">
      <c r="A1508" s="1">
        <v>44972</v>
      </c>
      <c r="B1508">
        <v>36</v>
      </c>
      <c r="C1508">
        <v>54</v>
      </c>
    </row>
    <row r="1509" spans="1:3" x14ac:dyDescent="0.3">
      <c r="A1509" s="1">
        <v>44973</v>
      </c>
      <c r="B1509">
        <v>55</v>
      </c>
      <c r="C1509">
        <v>75</v>
      </c>
    </row>
    <row r="1510" spans="1:3" x14ac:dyDescent="0.3">
      <c r="A1510" s="1">
        <v>44974</v>
      </c>
      <c r="B1510">
        <v>41</v>
      </c>
      <c r="C1510">
        <v>56</v>
      </c>
    </row>
    <row r="1511" spans="1:3" x14ac:dyDescent="0.3">
      <c r="A1511" s="1">
        <v>44975</v>
      </c>
      <c r="B1511">
        <v>31</v>
      </c>
      <c r="C1511">
        <v>43</v>
      </c>
    </row>
    <row r="1512" spans="1:3" x14ac:dyDescent="0.3">
      <c r="A1512" s="1">
        <v>44976</v>
      </c>
      <c r="B1512">
        <v>36</v>
      </c>
      <c r="C1512">
        <v>42</v>
      </c>
    </row>
    <row r="1513" spans="1:3" x14ac:dyDescent="0.3">
      <c r="A1513" s="1">
        <v>44977</v>
      </c>
      <c r="B1513">
        <v>40</v>
      </c>
      <c r="C1513">
        <v>54</v>
      </c>
    </row>
    <row r="1514" spans="1:3" x14ac:dyDescent="0.3">
      <c r="A1514" s="1">
        <v>44978</v>
      </c>
      <c r="B1514">
        <v>43</v>
      </c>
      <c r="C1514">
        <v>39</v>
      </c>
    </row>
    <row r="1515" spans="1:3" x14ac:dyDescent="0.3">
      <c r="A1515" s="1">
        <v>44979</v>
      </c>
      <c r="B1515">
        <v>39</v>
      </c>
      <c r="C1515">
        <v>73</v>
      </c>
    </row>
    <row r="1516" spans="1:3" x14ac:dyDescent="0.3">
      <c r="A1516" s="1">
        <v>44980</v>
      </c>
      <c r="B1516">
        <v>49</v>
      </c>
      <c r="C1516">
        <v>70</v>
      </c>
    </row>
    <row r="1517" spans="1:3" x14ac:dyDescent="0.3">
      <c r="A1517" s="1">
        <v>44981</v>
      </c>
      <c r="B1517">
        <v>43</v>
      </c>
      <c r="C1517">
        <v>84</v>
      </c>
    </row>
    <row r="1518" spans="1:3" x14ac:dyDescent="0.3">
      <c r="A1518" s="1">
        <v>44982</v>
      </c>
      <c r="B1518">
        <v>47</v>
      </c>
      <c r="C1518">
        <v>52</v>
      </c>
    </row>
    <row r="1519" spans="1:3" x14ac:dyDescent="0.3">
      <c r="A1519" s="1">
        <v>44983</v>
      </c>
      <c r="B1519">
        <v>38</v>
      </c>
      <c r="C1519">
        <v>61</v>
      </c>
    </row>
    <row r="1520" spans="1:3" x14ac:dyDescent="0.3">
      <c r="A1520" s="1">
        <v>44984</v>
      </c>
      <c r="B1520">
        <v>28</v>
      </c>
      <c r="C1520">
        <v>70</v>
      </c>
    </row>
    <row r="1521" spans="1:3" x14ac:dyDescent="0.3">
      <c r="A1521" s="1">
        <v>44985</v>
      </c>
      <c r="B1521">
        <v>49</v>
      </c>
      <c r="C1521">
        <v>58</v>
      </c>
    </row>
    <row r="1522" spans="1:3" x14ac:dyDescent="0.3">
      <c r="A1522" s="1">
        <v>44986</v>
      </c>
      <c r="B1522">
        <v>35</v>
      </c>
      <c r="C1522">
        <v>58</v>
      </c>
    </row>
    <row r="1523" spans="1:3" x14ac:dyDescent="0.3">
      <c r="A1523" s="1">
        <v>44987</v>
      </c>
      <c r="B1523">
        <v>33</v>
      </c>
      <c r="C1523">
        <v>46</v>
      </c>
    </row>
    <row r="1524" spans="1:3" x14ac:dyDescent="0.3">
      <c r="A1524" s="1">
        <v>44988</v>
      </c>
      <c r="B1524">
        <v>35</v>
      </c>
      <c r="C1524">
        <v>55</v>
      </c>
    </row>
    <row r="1525" spans="1:3" x14ac:dyDescent="0.3">
      <c r="A1525" s="1">
        <v>44989</v>
      </c>
      <c r="B1525">
        <v>32</v>
      </c>
      <c r="C1525">
        <v>64</v>
      </c>
    </row>
    <row r="1526" spans="1:3" x14ac:dyDescent="0.3">
      <c r="A1526" s="1">
        <v>44990</v>
      </c>
      <c r="B1526">
        <v>22</v>
      </c>
      <c r="C1526">
        <v>73</v>
      </c>
    </row>
    <row r="1527" spans="1:3" x14ac:dyDescent="0.3">
      <c r="A1527" s="1">
        <v>44991</v>
      </c>
      <c r="B1527">
        <v>58</v>
      </c>
      <c r="C1527">
        <v>60</v>
      </c>
    </row>
    <row r="1528" spans="1:3" x14ac:dyDescent="0.3">
      <c r="A1528" s="1">
        <v>44992</v>
      </c>
      <c r="B1528">
        <v>38</v>
      </c>
      <c r="C1528">
        <v>67</v>
      </c>
    </row>
    <row r="1529" spans="1:3" x14ac:dyDescent="0.3">
      <c r="A1529" s="1">
        <v>44993</v>
      </c>
      <c r="B1529">
        <v>41</v>
      </c>
      <c r="C1529">
        <v>60</v>
      </c>
    </row>
    <row r="1530" spans="1:3" x14ac:dyDescent="0.3">
      <c r="A1530" s="1">
        <v>44994</v>
      </c>
      <c r="B1530">
        <v>46</v>
      </c>
      <c r="C1530">
        <v>59</v>
      </c>
    </row>
    <row r="1531" spans="1:3" x14ac:dyDescent="0.3">
      <c r="A1531" s="1">
        <v>44995</v>
      </c>
      <c r="B1531">
        <v>40</v>
      </c>
      <c r="C1531">
        <v>56</v>
      </c>
    </row>
    <row r="1532" spans="1:3" x14ac:dyDescent="0.3">
      <c r="A1532" s="1">
        <v>44996</v>
      </c>
      <c r="B1532">
        <v>44</v>
      </c>
      <c r="C1532">
        <v>62</v>
      </c>
    </row>
    <row r="1533" spans="1:3" x14ac:dyDescent="0.3">
      <c r="A1533" s="1">
        <v>44997</v>
      </c>
      <c r="B1533">
        <v>34</v>
      </c>
      <c r="C1533">
        <v>59</v>
      </c>
    </row>
    <row r="1534" spans="1:3" x14ac:dyDescent="0.3">
      <c r="A1534" s="1">
        <v>44998</v>
      </c>
      <c r="B1534">
        <v>39</v>
      </c>
      <c r="C1534">
        <v>49</v>
      </c>
    </row>
    <row r="1535" spans="1:3" x14ac:dyDescent="0.3">
      <c r="A1535" s="1">
        <v>44999</v>
      </c>
      <c r="B1535">
        <v>50</v>
      </c>
      <c r="C1535">
        <v>74</v>
      </c>
    </row>
    <row r="1536" spans="1:3" x14ac:dyDescent="0.3">
      <c r="A1536" s="1">
        <v>45000</v>
      </c>
      <c r="B1536">
        <v>43</v>
      </c>
      <c r="C1536">
        <v>66</v>
      </c>
    </row>
    <row r="1537" spans="1:3" x14ac:dyDescent="0.3">
      <c r="A1537" s="1">
        <v>45001</v>
      </c>
      <c r="B1537">
        <v>39</v>
      </c>
      <c r="C1537">
        <v>50</v>
      </c>
    </row>
    <row r="1538" spans="1:3" x14ac:dyDescent="0.3">
      <c r="A1538" s="1">
        <v>45002</v>
      </c>
      <c r="B1538">
        <v>35</v>
      </c>
      <c r="C1538">
        <v>53</v>
      </c>
    </row>
    <row r="1539" spans="1:3" x14ac:dyDescent="0.3">
      <c r="A1539" s="1">
        <v>45003</v>
      </c>
      <c r="B1539">
        <v>40</v>
      </c>
      <c r="C1539">
        <v>57</v>
      </c>
    </row>
    <row r="1540" spans="1:3" x14ac:dyDescent="0.3">
      <c r="A1540" s="1">
        <v>45004</v>
      </c>
      <c r="B1540">
        <v>37</v>
      </c>
      <c r="C1540">
        <v>66</v>
      </c>
    </row>
    <row r="1541" spans="1:3" x14ac:dyDescent="0.3">
      <c r="A1541" s="1">
        <v>45005</v>
      </c>
      <c r="B1541">
        <v>36</v>
      </c>
      <c r="C1541">
        <v>53</v>
      </c>
    </row>
    <row r="1542" spans="1:3" x14ac:dyDescent="0.3">
      <c r="A1542" s="1">
        <v>45006</v>
      </c>
      <c r="B1542">
        <v>30</v>
      </c>
      <c r="C1542">
        <v>43</v>
      </c>
    </row>
    <row r="1543" spans="1:3" x14ac:dyDescent="0.3">
      <c r="A1543" s="1">
        <v>45007</v>
      </c>
      <c r="B1543">
        <v>30</v>
      </c>
      <c r="C1543">
        <v>41</v>
      </c>
    </row>
    <row r="1544" spans="1:3" x14ac:dyDescent="0.3">
      <c r="A1544" s="1">
        <v>45008</v>
      </c>
      <c r="B1544">
        <v>24</v>
      </c>
      <c r="C1544">
        <v>53</v>
      </c>
    </row>
    <row r="1545" spans="1:3" x14ac:dyDescent="0.3">
      <c r="A1545" s="1">
        <v>45009</v>
      </c>
      <c r="B1545">
        <v>28</v>
      </c>
      <c r="C1545">
        <v>58</v>
      </c>
    </row>
    <row r="1546" spans="1:3" x14ac:dyDescent="0.3">
      <c r="A1546" s="1">
        <v>45010</v>
      </c>
      <c r="B1546">
        <v>42</v>
      </c>
      <c r="C1546">
        <v>67</v>
      </c>
    </row>
    <row r="1547" spans="1:3" x14ac:dyDescent="0.3">
      <c r="A1547" s="1">
        <v>45011</v>
      </c>
      <c r="B1547">
        <v>28</v>
      </c>
      <c r="C1547">
        <v>58</v>
      </c>
    </row>
    <row r="1548" spans="1:3" x14ac:dyDescent="0.3">
      <c r="A1548" s="1">
        <v>45012</v>
      </c>
      <c r="B1548">
        <v>33</v>
      </c>
      <c r="C1548">
        <v>50</v>
      </c>
    </row>
    <row r="1549" spans="1:3" x14ac:dyDescent="0.3">
      <c r="A1549" s="1">
        <v>45013</v>
      </c>
      <c r="B1549">
        <v>29</v>
      </c>
      <c r="C1549">
        <v>51</v>
      </c>
    </row>
    <row r="1550" spans="1:3" x14ac:dyDescent="0.3">
      <c r="A1550" s="1">
        <v>45014</v>
      </c>
      <c r="B1550">
        <v>41</v>
      </c>
      <c r="C1550">
        <v>39</v>
      </c>
    </row>
    <row r="1551" spans="1:3" x14ac:dyDescent="0.3">
      <c r="A1551" s="1">
        <v>45015</v>
      </c>
      <c r="B1551">
        <v>41</v>
      </c>
      <c r="C1551">
        <v>72</v>
      </c>
    </row>
    <row r="1552" spans="1:3" x14ac:dyDescent="0.3">
      <c r="A1552" s="1">
        <v>45016</v>
      </c>
      <c r="B1552">
        <v>43</v>
      </c>
      <c r="C1552">
        <v>68</v>
      </c>
    </row>
    <row r="1553" spans="1:3" x14ac:dyDescent="0.3">
      <c r="A1553" s="1">
        <v>45017</v>
      </c>
      <c r="B1553">
        <v>50</v>
      </c>
      <c r="C1553">
        <v>63</v>
      </c>
    </row>
    <row r="1554" spans="1:3" x14ac:dyDescent="0.3">
      <c r="A1554" s="1">
        <v>45018</v>
      </c>
      <c r="B1554">
        <v>27</v>
      </c>
      <c r="C1554">
        <v>54</v>
      </c>
    </row>
    <row r="1555" spans="1:3" x14ac:dyDescent="0.3">
      <c r="A1555" s="1">
        <v>45019</v>
      </c>
      <c r="B1555">
        <v>28</v>
      </c>
      <c r="C1555">
        <v>45</v>
      </c>
    </row>
    <row r="1556" spans="1:3" x14ac:dyDescent="0.3">
      <c r="A1556" s="1">
        <v>45020</v>
      </c>
      <c r="B1556">
        <v>35</v>
      </c>
      <c r="C1556">
        <v>49</v>
      </c>
    </row>
    <row r="1557" spans="1:3" x14ac:dyDescent="0.3">
      <c r="A1557" s="1">
        <v>45021</v>
      </c>
      <c r="B1557">
        <v>38</v>
      </c>
      <c r="C1557">
        <v>51</v>
      </c>
    </row>
    <row r="1558" spans="1:3" x14ac:dyDescent="0.3">
      <c r="A1558" s="1">
        <v>45022</v>
      </c>
      <c r="B1558">
        <v>49</v>
      </c>
      <c r="C1558">
        <v>68</v>
      </c>
    </row>
    <row r="1559" spans="1:3" x14ac:dyDescent="0.3">
      <c r="A1559" s="1">
        <v>45023</v>
      </c>
      <c r="B1559">
        <v>48</v>
      </c>
      <c r="C1559">
        <v>67</v>
      </c>
    </row>
    <row r="1560" spans="1:3" x14ac:dyDescent="0.3">
      <c r="A1560" s="1">
        <v>45024</v>
      </c>
      <c r="B1560">
        <v>45</v>
      </c>
      <c r="C1560">
        <v>73</v>
      </c>
    </row>
    <row r="1561" spans="1:3" x14ac:dyDescent="0.3">
      <c r="A1561" s="1">
        <v>45025</v>
      </c>
      <c r="B1561">
        <v>42</v>
      </c>
      <c r="C1561">
        <v>77</v>
      </c>
    </row>
    <row r="1562" spans="1:3" x14ac:dyDescent="0.3">
      <c r="A1562" s="1">
        <v>45026</v>
      </c>
      <c r="B1562">
        <v>44</v>
      </c>
      <c r="C1562">
        <v>65</v>
      </c>
    </row>
    <row r="1563" spans="1:3" x14ac:dyDescent="0.3">
      <c r="A1563" s="1">
        <v>45027</v>
      </c>
      <c r="B1563">
        <v>56</v>
      </c>
      <c r="C1563">
        <v>65</v>
      </c>
    </row>
    <row r="1564" spans="1:3" x14ac:dyDescent="0.3">
      <c r="A1564" s="1">
        <v>45028</v>
      </c>
      <c r="B1564">
        <v>36</v>
      </c>
      <c r="C1564">
        <v>81</v>
      </c>
    </row>
    <row r="1565" spans="1:3" x14ac:dyDescent="0.3">
      <c r="A1565" s="1">
        <v>45029</v>
      </c>
      <c r="B1565">
        <v>43</v>
      </c>
      <c r="C1565">
        <v>59</v>
      </c>
    </row>
    <row r="1566" spans="1:3" x14ac:dyDescent="0.3">
      <c r="A1566" s="1">
        <v>45030</v>
      </c>
      <c r="B1566">
        <v>36</v>
      </c>
      <c r="C1566">
        <v>64</v>
      </c>
    </row>
    <row r="1567" spans="1:3" x14ac:dyDescent="0.3">
      <c r="A1567" s="1">
        <v>45031</v>
      </c>
      <c r="B1567">
        <v>37</v>
      </c>
      <c r="C1567">
        <v>55</v>
      </c>
    </row>
    <row r="1568" spans="1:3" x14ac:dyDescent="0.3">
      <c r="A1568" s="1">
        <v>45032</v>
      </c>
      <c r="B1568">
        <v>43</v>
      </c>
      <c r="C1568">
        <v>61</v>
      </c>
    </row>
    <row r="1569" spans="1:3" x14ac:dyDescent="0.3">
      <c r="A1569" s="1">
        <v>45033</v>
      </c>
      <c r="B1569">
        <v>38</v>
      </c>
      <c r="C1569">
        <v>43</v>
      </c>
    </row>
    <row r="1570" spans="1:3" x14ac:dyDescent="0.3">
      <c r="A1570" s="1">
        <v>45034</v>
      </c>
      <c r="B1570">
        <v>39</v>
      </c>
      <c r="C1570">
        <v>73</v>
      </c>
    </row>
    <row r="1571" spans="1:3" x14ac:dyDescent="0.3">
      <c r="A1571" s="1">
        <v>45035</v>
      </c>
      <c r="B1571">
        <v>39</v>
      </c>
      <c r="C1571">
        <v>58</v>
      </c>
    </row>
    <row r="1572" spans="1:3" x14ac:dyDescent="0.3">
      <c r="A1572" s="1">
        <v>45036</v>
      </c>
      <c r="B1572">
        <v>46</v>
      </c>
      <c r="C1572">
        <v>76</v>
      </c>
    </row>
    <row r="1573" spans="1:3" x14ac:dyDescent="0.3">
      <c r="A1573" s="1">
        <v>45037</v>
      </c>
      <c r="B1573">
        <v>39</v>
      </c>
      <c r="C1573">
        <v>49</v>
      </c>
    </row>
    <row r="1574" spans="1:3" x14ac:dyDescent="0.3">
      <c r="A1574" s="1">
        <v>45038</v>
      </c>
      <c r="B1574">
        <v>51</v>
      </c>
      <c r="C1574">
        <v>77</v>
      </c>
    </row>
    <row r="1575" spans="1:3" x14ac:dyDescent="0.3">
      <c r="A1575" s="1">
        <v>45039</v>
      </c>
      <c r="B1575">
        <v>37</v>
      </c>
      <c r="C1575">
        <v>56</v>
      </c>
    </row>
    <row r="1576" spans="1:3" x14ac:dyDescent="0.3">
      <c r="A1576" s="1">
        <v>45040</v>
      </c>
      <c r="B1576">
        <v>43</v>
      </c>
      <c r="C1576">
        <v>72</v>
      </c>
    </row>
    <row r="1577" spans="1:3" x14ac:dyDescent="0.3">
      <c r="A1577" s="1">
        <v>45041</v>
      </c>
      <c r="B1577">
        <v>33</v>
      </c>
      <c r="C1577">
        <v>55</v>
      </c>
    </row>
    <row r="1578" spans="1:3" x14ac:dyDescent="0.3">
      <c r="A1578" s="1">
        <v>45042</v>
      </c>
      <c r="B1578">
        <v>34</v>
      </c>
      <c r="C1578">
        <v>61</v>
      </c>
    </row>
    <row r="1579" spans="1:3" x14ac:dyDescent="0.3">
      <c r="A1579" s="1">
        <v>45043</v>
      </c>
      <c r="B1579">
        <v>36</v>
      </c>
      <c r="C1579">
        <v>51</v>
      </c>
    </row>
    <row r="1580" spans="1:3" x14ac:dyDescent="0.3">
      <c r="A1580" s="1">
        <v>45044</v>
      </c>
      <c r="B1580">
        <v>44</v>
      </c>
      <c r="C1580">
        <v>57</v>
      </c>
    </row>
    <row r="1581" spans="1:3" x14ac:dyDescent="0.3">
      <c r="A1581" s="1">
        <v>45045</v>
      </c>
      <c r="B1581">
        <v>34</v>
      </c>
      <c r="C1581">
        <v>63</v>
      </c>
    </row>
    <row r="1582" spans="1:3" x14ac:dyDescent="0.3">
      <c r="A1582" s="1">
        <v>45046</v>
      </c>
      <c r="B1582">
        <v>27</v>
      </c>
      <c r="C1582">
        <v>52</v>
      </c>
    </row>
    <row r="1583" spans="1:3" x14ac:dyDescent="0.3">
      <c r="A1583" s="1">
        <v>45047</v>
      </c>
      <c r="B1583">
        <v>46</v>
      </c>
      <c r="C1583">
        <v>55</v>
      </c>
    </row>
    <row r="1584" spans="1:3" x14ac:dyDescent="0.3">
      <c r="A1584" s="1">
        <v>45048</v>
      </c>
      <c r="B1584">
        <v>37</v>
      </c>
      <c r="C1584">
        <v>57</v>
      </c>
    </row>
    <row r="1585" spans="1:3" x14ac:dyDescent="0.3">
      <c r="A1585" s="1">
        <v>45049</v>
      </c>
      <c r="B1585">
        <v>38</v>
      </c>
      <c r="C1585">
        <v>76</v>
      </c>
    </row>
    <row r="1586" spans="1:3" x14ac:dyDescent="0.3">
      <c r="A1586" s="1">
        <v>45050</v>
      </c>
      <c r="B1586">
        <v>47</v>
      </c>
      <c r="C1586">
        <v>64</v>
      </c>
    </row>
    <row r="1587" spans="1:3" x14ac:dyDescent="0.3">
      <c r="A1587" s="1">
        <v>45051</v>
      </c>
      <c r="B1587">
        <v>37</v>
      </c>
      <c r="C1587">
        <v>54</v>
      </c>
    </row>
    <row r="1588" spans="1:3" x14ac:dyDescent="0.3">
      <c r="A1588" s="1">
        <v>45052</v>
      </c>
      <c r="B1588">
        <v>48</v>
      </c>
      <c r="C1588">
        <v>65</v>
      </c>
    </row>
    <row r="1589" spans="1:3" x14ac:dyDescent="0.3">
      <c r="A1589" s="1">
        <v>45053</v>
      </c>
      <c r="B1589">
        <v>46</v>
      </c>
      <c r="C1589">
        <v>57</v>
      </c>
    </row>
    <row r="1590" spans="1:3" x14ac:dyDescent="0.3">
      <c r="A1590" s="1">
        <v>45054</v>
      </c>
      <c r="B1590">
        <v>50</v>
      </c>
      <c r="C1590">
        <v>62</v>
      </c>
    </row>
    <row r="1591" spans="1:3" x14ac:dyDescent="0.3">
      <c r="A1591" s="1">
        <v>45055</v>
      </c>
      <c r="B1591">
        <v>37</v>
      </c>
      <c r="C1591">
        <v>72</v>
      </c>
    </row>
    <row r="1592" spans="1:3" x14ac:dyDescent="0.3">
      <c r="A1592" s="1">
        <v>45056</v>
      </c>
      <c r="B1592">
        <v>45</v>
      </c>
      <c r="C1592">
        <v>60</v>
      </c>
    </row>
    <row r="1593" spans="1:3" x14ac:dyDescent="0.3">
      <c r="A1593" s="1">
        <v>45057</v>
      </c>
      <c r="B1593">
        <v>42</v>
      </c>
      <c r="C1593">
        <v>72</v>
      </c>
    </row>
    <row r="1594" spans="1:3" x14ac:dyDescent="0.3">
      <c r="A1594" s="1">
        <v>45058</v>
      </c>
      <c r="B1594">
        <v>37</v>
      </c>
      <c r="C1594">
        <v>77</v>
      </c>
    </row>
    <row r="1595" spans="1:3" x14ac:dyDescent="0.3">
      <c r="A1595" s="1">
        <v>45059</v>
      </c>
      <c r="B1595">
        <v>46</v>
      </c>
      <c r="C1595">
        <v>64</v>
      </c>
    </row>
    <row r="1596" spans="1:3" x14ac:dyDescent="0.3">
      <c r="A1596" s="1">
        <v>45060</v>
      </c>
      <c r="B1596">
        <v>39</v>
      </c>
      <c r="C1596">
        <v>63</v>
      </c>
    </row>
    <row r="1597" spans="1:3" x14ac:dyDescent="0.3">
      <c r="A1597" s="1">
        <v>45061</v>
      </c>
      <c r="B1597">
        <v>37</v>
      </c>
      <c r="C1597">
        <v>70</v>
      </c>
    </row>
    <row r="1598" spans="1:3" x14ac:dyDescent="0.3">
      <c r="A1598" s="1">
        <v>45062</v>
      </c>
      <c r="B1598">
        <v>49</v>
      </c>
      <c r="C1598">
        <v>63</v>
      </c>
    </row>
    <row r="1599" spans="1:3" x14ac:dyDescent="0.3">
      <c r="A1599" s="1">
        <v>45063</v>
      </c>
      <c r="B1599">
        <v>35</v>
      </c>
      <c r="C1599">
        <v>58</v>
      </c>
    </row>
    <row r="1600" spans="1:3" x14ac:dyDescent="0.3">
      <c r="A1600" s="1">
        <v>45064</v>
      </c>
      <c r="B1600">
        <v>43</v>
      </c>
      <c r="C1600">
        <v>64</v>
      </c>
    </row>
    <row r="1601" spans="1:3" x14ac:dyDescent="0.3">
      <c r="A1601" s="1">
        <v>45065</v>
      </c>
      <c r="B1601">
        <v>43</v>
      </c>
      <c r="C1601">
        <v>75</v>
      </c>
    </row>
    <row r="1602" spans="1:3" x14ac:dyDescent="0.3">
      <c r="A1602" s="1">
        <v>45066</v>
      </c>
      <c r="B1602">
        <v>36</v>
      </c>
      <c r="C1602">
        <v>84</v>
      </c>
    </row>
    <row r="1603" spans="1:3" x14ac:dyDescent="0.3">
      <c r="A1603" s="1">
        <v>45067</v>
      </c>
      <c r="B1603">
        <v>27</v>
      </c>
      <c r="C1603">
        <v>67</v>
      </c>
    </row>
    <row r="1604" spans="1:3" x14ac:dyDescent="0.3">
      <c r="A1604" s="1">
        <v>45068</v>
      </c>
      <c r="B1604">
        <v>42</v>
      </c>
      <c r="C1604">
        <v>52</v>
      </c>
    </row>
    <row r="1605" spans="1:3" x14ac:dyDescent="0.3">
      <c r="A1605" s="1">
        <v>45069</v>
      </c>
      <c r="B1605">
        <v>41</v>
      </c>
      <c r="C1605">
        <v>65</v>
      </c>
    </row>
    <row r="1606" spans="1:3" x14ac:dyDescent="0.3">
      <c r="A1606" s="1">
        <v>45070</v>
      </c>
      <c r="B1606">
        <v>36</v>
      </c>
      <c r="C1606">
        <v>73</v>
      </c>
    </row>
    <row r="1607" spans="1:3" x14ac:dyDescent="0.3">
      <c r="A1607" s="1">
        <v>45071</v>
      </c>
      <c r="B1607">
        <v>41</v>
      </c>
      <c r="C1607">
        <v>68</v>
      </c>
    </row>
    <row r="1608" spans="1:3" x14ac:dyDescent="0.3">
      <c r="A1608" s="1">
        <v>45072</v>
      </c>
      <c r="B1608">
        <v>43</v>
      </c>
      <c r="C1608">
        <v>54</v>
      </c>
    </row>
    <row r="1609" spans="1:3" x14ac:dyDescent="0.3">
      <c r="A1609" s="1">
        <v>45073</v>
      </c>
      <c r="B1609">
        <v>47</v>
      </c>
      <c r="C1609">
        <v>75</v>
      </c>
    </row>
    <row r="1610" spans="1:3" x14ac:dyDescent="0.3">
      <c r="A1610" s="1">
        <v>45074</v>
      </c>
      <c r="B1610">
        <v>50</v>
      </c>
      <c r="C1610">
        <v>71</v>
      </c>
    </row>
    <row r="1611" spans="1:3" x14ac:dyDescent="0.3">
      <c r="A1611" s="1">
        <v>45075</v>
      </c>
      <c r="B1611">
        <v>43</v>
      </c>
      <c r="C1611">
        <v>60</v>
      </c>
    </row>
    <row r="1612" spans="1:3" x14ac:dyDescent="0.3">
      <c r="A1612" s="1">
        <v>45076</v>
      </c>
      <c r="B1612">
        <v>36</v>
      </c>
      <c r="C1612">
        <v>76</v>
      </c>
    </row>
    <row r="1613" spans="1:3" x14ac:dyDescent="0.3">
      <c r="A1613" s="1">
        <v>45077</v>
      </c>
      <c r="B1613">
        <v>44</v>
      </c>
      <c r="C1613">
        <v>57</v>
      </c>
    </row>
    <row r="1614" spans="1:3" x14ac:dyDescent="0.3">
      <c r="A1614" s="1">
        <v>45078</v>
      </c>
      <c r="B1614">
        <v>35</v>
      </c>
      <c r="C1614">
        <v>75</v>
      </c>
    </row>
    <row r="1615" spans="1:3" x14ac:dyDescent="0.3">
      <c r="A1615" s="1">
        <v>45079</v>
      </c>
      <c r="B1615">
        <v>50</v>
      </c>
      <c r="C1615">
        <v>54</v>
      </c>
    </row>
    <row r="1616" spans="1:3" x14ac:dyDescent="0.3">
      <c r="A1616" s="1">
        <v>45080</v>
      </c>
      <c r="B1616">
        <v>55</v>
      </c>
      <c r="C1616">
        <v>83</v>
      </c>
    </row>
    <row r="1617" spans="1:3" x14ac:dyDescent="0.3">
      <c r="A1617" s="1">
        <v>45081</v>
      </c>
      <c r="B1617">
        <v>32</v>
      </c>
      <c r="C1617">
        <v>67</v>
      </c>
    </row>
    <row r="1618" spans="1:3" x14ac:dyDescent="0.3">
      <c r="A1618" s="1">
        <v>45082</v>
      </c>
      <c r="B1618">
        <v>49</v>
      </c>
      <c r="C1618">
        <v>61</v>
      </c>
    </row>
    <row r="1619" spans="1:3" x14ac:dyDescent="0.3">
      <c r="A1619" s="1">
        <v>45083</v>
      </c>
      <c r="B1619">
        <v>48</v>
      </c>
      <c r="C1619">
        <v>57</v>
      </c>
    </row>
    <row r="1620" spans="1:3" x14ac:dyDescent="0.3">
      <c r="A1620" s="1">
        <v>45084</v>
      </c>
      <c r="B1620">
        <v>49</v>
      </c>
      <c r="C1620">
        <v>72</v>
      </c>
    </row>
    <row r="1621" spans="1:3" x14ac:dyDescent="0.3">
      <c r="A1621" s="1">
        <v>45085</v>
      </c>
      <c r="B1621">
        <v>40</v>
      </c>
      <c r="C1621">
        <v>48</v>
      </c>
    </row>
    <row r="1622" spans="1:3" x14ac:dyDescent="0.3">
      <c r="A1622" s="1">
        <v>45086</v>
      </c>
      <c r="B1622">
        <v>41</v>
      </c>
      <c r="C1622">
        <v>61</v>
      </c>
    </row>
    <row r="1623" spans="1:3" x14ac:dyDescent="0.3">
      <c r="A1623" s="1">
        <v>45087</v>
      </c>
      <c r="B1623">
        <v>49</v>
      </c>
      <c r="C1623">
        <v>74</v>
      </c>
    </row>
    <row r="1624" spans="1:3" x14ac:dyDescent="0.3">
      <c r="A1624" s="1">
        <v>45088</v>
      </c>
      <c r="B1624">
        <v>43</v>
      </c>
      <c r="C1624">
        <v>70</v>
      </c>
    </row>
    <row r="1625" spans="1:3" x14ac:dyDescent="0.3">
      <c r="A1625" s="1">
        <v>45089</v>
      </c>
      <c r="B1625">
        <v>48</v>
      </c>
      <c r="C1625">
        <v>69</v>
      </c>
    </row>
    <row r="1626" spans="1:3" x14ac:dyDescent="0.3">
      <c r="A1626" s="1">
        <v>45090</v>
      </c>
      <c r="B1626">
        <v>46</v>
      </c>
      <c r="C1626">
        <v>63</v>
      </c>
    </row>
    <row r="1627" spans="1:3" x14ac:dyDescent="0.3">
      <c r="A1627" s="1">
        <v>45091</v>
      </c>
      <c r="B1627">
        <v>37</v>
      </c>
      <c r="C1627">
        <v>43</v>
      </c>
    </row>
    <row r="1628" spans="1:3" x14ac:dyDescent="0.3">
      <c r="A1628" s="1">
        <v>45092</v>
      </c>
      <c r="B1628">
        <v>31</v>
      </c>
      <c r="C1628">
        <v>59</v>
      </c>
    </row>
    <row r="1629" spans="1:3" x14ac:dyDescent="0.3">
      <c r="A1629" s="1">
        <v>45093</v>
      </c>
      <c r="B1629">
        <v>26</v>
      </c>
      <c r="C1629">
        <v>48</v>
      </c>
    </row>
    <row r="1630" spans="1:3" x14ac:dyDescent="0.3">
      <c r="A1630" s="1">
        <v>45094</v>
      </c>
      <c r="B1630">
        <v>32</v>
      </c>
      <c r="C1630">
        <v>67</v>
      </c>
    </row>
    <row r="1631" spans="1:3" x14ac:dyDescent="0.3">
      <c r="A1631" s="1">
        <v>45095</v>
      </c>
      <c r="B1631">
        <v>40</v>
      </c>
      <c r="C1631">
        <v>59</v>
      </c>
    </row>
    <row r="1632" spans="1:3" x14ac:dyDescent="0.3">
      <c r="A1632" s="1">
        <v>45096</v>
      </c>
      <c r="B1632">
        <v>46</v>
      </c>
      <c r="C1632">
        <v>69</v>
      </c>
    </row>
    <row r="1633" spans="1:3" x14ac:dyDescent="0.3">
      <c r="A1633" s="1">
        <v>45097</v>
      </c>
      <c r="B1633">
        <v>49</v>
      </c>
      <c r="C1633">
        <v>62</v>
      </c>
    </row>
    <row r="1634" spans="1:3" x14ac:dyDescent="0.3">
      <c r="A1634" s="1">
        <v>45098</v>
      </c>
      <c r="B1634">
        <v>48</v>
      </c>
      <c r="C1634">
        <v>62</v>
      </c>
    </row>
    <row r="1635" spans="1:3" x14ac:dyDescent="0.3">
      <c r="A1635" s="1">
        <v>45099</v>
      </c>
      <c r="B1635">
        <v>38</v>
      </c>
      <c r="C1635">
        <v>52</v>
      </c>
    </row>
    <row r="1636" spans="1:3" x14ac:dyDescent="0.3">
      <c r="A1636" s="1">
        <v>45100</v>
      </c>
      <c r="B1636">
        <v>44</v>
      </c>
      <c r="C1636">
        <v>66</v>
      </c>
    </row>
    <row r="1637" spans="1:3" x14ac:dyDescent="0.3">
      <c r="A1637" s="1">
        <v>45101</v>
      </c>
      <c r="B1637">
        <v>47</v>
      </c>
      <c r="C1637">
        <v>79</v>
      </c>
    </row>
    <row r="1638" spans="1:3" x14ac:dyDescent="0.3">
      <c r="A1638" s="1">
        <v>45102</v>
      </c>
      <c r="B1638">
        <v>36</v>
      </c>
      <c r="C1638">
        <v>56</v>
      </c>
    </row>
    <row r="1639" spans="1:3" x14ac:dyDescent="0.3">
      <c r="A1639" s="1">
        <v>45103</v>
      </c>
      <c r="B1639">
        <v>40</v>
      </c>
      <c r="C1639">
        <v>67</v>
      </c>
    </row>
    <row r="1640" spans="1:3" x14ac:dyDescent="0.3">
      <c r="A1640" s="1">
        <v>45104</v>
      </c>
      <c r="B1640">
        <v>43</v>
      </c>
      <c r="C1640">
        <v>54</v>
      </c>
    </row>
    <row r="1641" spans="1:3" x14ac:dyDescent="0.3">
      <c r="A1641" s="1">
        <v>45105</v>
      </c>
      <c r="B1641">
        <v>31</v>
      </c>
      <c r="C1641">
        <v>67</v>
      </c>
    </row>
    <row r="1642" spans="1:3" x14ac:dyDescent="0.3">
      <c r="A1642" s="1">
        <v>45106</v>
      </c>
      <c r="B1642">
        <v>43</v>
      </c>
      <c r="C1642">
        <v>70</v>
      </c>
    </row>
    <row r="1643" spans="1:3" x14ac:dyDescent="0.3">
      <c r="A1643" s="1">
        <v>45107</v>
      </c>
      <c r="B1643">
        <v>56</v>
      </c>
      <c r="C1643">
        <v>75</v>
      </c>
    </row>
    <row r="1644" spans="1:3" x14ac:dyDescent="0.3">
      <c r="A1644" s="1">
        <v>45108</v>
      </c>
      <c r="B1644">
        <v>50</v>
      </c>
      <c r="C1644">
        <v>64</v>
      </c>
    </row>
    <row r="1645" spans="1:3" x14ac:dyDescent="0.3">
      <c r="A1645" s="1">
        <v>45109</v>
      </c>
      <c r="B1645">
        <v>35</v>
      </c>
      <c r="C1645">
        <v>65</v>
      </c>
    </row>
    <row r="1646" spans="1:3" x14ac:dyDescent="0.3">
      <c r="A1646" s="1">
        <v>45110</v>
      </c>
      <c r="B1646">
        <v>31</v>
      </c>
      <c r="C1646">
        <v>48</v>
      </c>
    </row>
    <row r="1647" spans="1:3" x14ac:dyDescent="0.3">
      <c r="A1647" s="1">
        <v>45111</v>
      </c>
      <c r="B1647">
        <v>33</v>
      </c>
      <c r="C1647">
        <v>75</v>
      </c>
    </row>
    <row r="1648" spans="1:3" x14ac:dyDescent="0.3">
      <c r="A1648" s="1">
        <v>45112</v>
      </c>
      <c r="B1648">
        <v>47</v>
      </c>
      <c r="C1648">
        <v>80</v>
      </c>
    </row>
    <row r="1649" spans="1:3" x14ac:dyDescent="0.3">
      <c r="A1649" s="1">
        <v>45113</v>
      </c>
      <c r="B1649">
        <v>44</v>
      </c>
      <c r="C1649">
        <v>67</v>
      </c>
    </row>
    <row r="1650" spans="1:3" x14ac:dyDescent="0.3">
      <c r="A1650" s="1">
        <v>45114</v>
      </c>
      <c r="B1650">
        <v>40</v>
      </c>
      <c r="C1650">
        <v>79</v>
      </c>
    </row>
    <row r="1651" spans="1:3" x14ac:dyDescent="0.3">
      <c r="A1651" s="1">
        <v>45115</v>
      </c>
      <c r="B1651">
        <v>40</v>
      </c>
      <c r="C1651">
        <v>65</v>
      </c>
    </row>
    <row r="1652" spans="1:3" x14ac:dyDescent="0.3">
      <c r="A1652" s="1">
        <v>45116</v>
      </c>
      <c r="B1652">
        <v>31</v>
      </c>
      <c r="C1652">
        <v>62</v>
      </c>
    </row>
    <row r="1653" spans="1:3" x14ac:dyDescent="0.3">
      <c r="A1653" s="1">
        <v>45117</v>
      </c>
      <c r="B1653">
        <v>39</v>
      </c>
      <c r="C1653">
        <v>66</v>
      </c>
    </row>
    <row r="1654" spans="1:3" x14ac:dyDescent="0.3">
      <c r="A1654" s="1">
        <v>45118</v>
      </c>
      <c r="B1654">
        <v>34</v>
      </c>
      <c r="C1654">
        <v>54</v>
      </c>
    </row>
    <row r="1655" spans="1:3" x14ac:dyDescent="0.3">
      <c r="A1655" s="1">
        <v>45119</v>
      </c>
      <c r="B1655">
        <v>44</v>
      </c>
      <c r="C1655">
        <v>63</v>
      </c>
    </row>
    <row r="1656" spans="1:3" x14ac:dyDescent="0.3">
      <c r="A1656" s="1">
        <v>45120</v>
      </c>
      <c r="B1656">
        <v>42</v>
      </c>
      <c r="C1656">
        <v>66</v>
      </c>
    </row>
    <row r="1657" spans="1:3" x14ac:dyDescent="0.3">
      <c r="A1657" s="1">
        <v>45121</v>
      </c>
      <c r="B1657">
        <v>41</v>
      </c>
      <c r="C1657">
        <v>73</v>
      </c>
    </row>
    <row r="1658" spans="1:3" x14ac:dyDescent="0.3">
      <c r="A1658" s="1">
        <v>45122</v>
      </c>
      <c r="B1658">
        <v>38</v>
      </c>
      <c r="C1658">
        <v>69</v>
      </c>
    </row>
    <row r="1659" spans="1:3" x14ac:dyDescent="0.3">
      <c r="A1659" s="1">
        <v>45123</v>
      </c>
      <c r="B1659">
        <v>46</v>
      </c>
      <c r="C1659">
        <v>62</v>
      </c>
    </row>
    <row r="1660" spans="1:3" x14ac:dyDescent="0.3">
      <c r="A1660" s="1">
        <v>45124</v>
      </c>
      <c r="B1660">
        <v>37</v>
      </c>
      <c r="C1660">
        <v>65</v>
      </c>
    </row>
    <row r="1661" spans="1:3" x14ac:dyDescent="0.3">
      <c r="A1661" s="1">
        <v>45125</v>
      </c>
      <c r="B1661">
        <v>45</v>
      </c>
      <c r="C1661">
        <v>61</v>
      </c>
    </row>
    <row r="1662" spans="1:3" x14ac:dyDescent="0.3">
      <c r="A1662" s="1">
        <v>45126</v>
      </c>
      <c r="B1662">
        <v>49</v>
      </c>
      <c r="C1662">
        <v>62</v>
      </c>
    </row>
    <row r="1663" spans="1:3" x14ac:dyDescent="0.3">
      <c r="A1663" s="1">
        <v>45127</v>
      </c>
      <c r="B1663">
        <v>49</v>
      </c>
      <c r="C1663">
        <v>73</v>
      </c>
    </row>
    <row r="1664" spans="1:3" x14ac:dyDescent="0.3">
      <c r="A1664" s="1">
        <v>45128</v>
      </c>
      <c r="B1664">
        <v>39</v>
      </c>
      <c r="C1664">
        <v>64</v>
      </c>
    </row>
    <row r="1665" spans="1:3" x14ac:dyDescent="0.3">
      <c r="A1665" s="1">
        <v>45129</v>
      </c>
      <c r="B1665">
        <v>33</v>
      </c>
      <c r="C1665">
        <v>59</v>
      </c>
    </row>
    <row r="1666" spans="1:3" x14ac:dyDescent="0.3">
      <c r="A1666" s="1">
        <v>45130</v>
      </c>
      <c r="B1666">
        <v>38</v>
      </c>
      <c r="C1666">
        <v>56</v>
      </c>
    </row>
    <row r="1667" spans="1:3" x14ac:dyDescent="0.3">
      <c r="A1667" s="1">
        <v>45131</v>
      </c>
      <c r="B1667">
        <v>23</v>
      </c>
      <c r="C1667">
        <v>67</v>
      </c>
    </row>
    <row r="1668" spans="1:3" x14ac:dyDescent="0.3">
      <c r="A1668" s="1">
        <v>45132</v>
      </c>
      <c r="B1668">
        <v>38</v>
      </c>
      <c r="C1668">
        <v>54</v>
      </c>
    </row>
    <row r="1669" spans="1:3" x14ac:dyDescent="0.3">
      <c r="A1669" s="1">
        <v>45133</v>
      </c>
      <c r="B1669">
        <v>41</v>
      </c>
      <c r="C1669">
        <v>64</v>
      </c>
    </row>
    <row r="1670" spans="1:3" x14ac:dyDescent="0.3">
      <c r="A1670" s="1">
        <v>45134</v>
      </c>
      <c r="B1670">
        <v>32</v>
      </c>
      <c r="C1670">
        <v>51</v>
      </c>
    </row>
    <row r="1671" spans="1:3" x14ac:dyDescent="0.3">
      <c r="A1671" s="1">
        <v>45135</v>
      </c>
      <c r="B1671">
        <v>41</v>
      </c>
      <c r="C1671">
        <v>66</v>
      </c>
    </row>
    <row r="1672" spans="1:3" x14ac:dyDescent="0.3">
      <c r="A1672" s="1">
        <v>45136</v>
      </c>
      <c r="B1672">
        <v>38</v>
      </c>
      <c r="C1672">
        <v>61</v>
      </c>
    </row>
    <row r="1673" spans="1:3" x14ac:dyDescent="0.3">
      <c r="A1673" s="1">
        <v>45137</v>
      </c>
      <c r="B1673">
        <v>45</v>
      </c>
      <c r="C1673">
        <v>71</v>
      </c>
    </row>
    <row r="1674" spans="1:3" x14ac:dyDescent="0.3">
      <c r="A1674" s="1">
        <v>45138</v>
      </c>
      <c r="B1674">
        <v>39</v>
      </c>
      <c r="C1674">
        <v>69</v>
      </c>
    </row>
    <row r="1675" spans="1:3" x14ac:dyDescent="0.3">
      <c r="A1675" s="1">
        <v>45139</v>
      </c>
      <c r="B1675">
        <v>42</v>
      </c>
      <c r="C1675">
        <v>87</v>
      </c>
    </row>
    <row r="1676" spans="1:3" x14ac:dyDescent="0.3">
      <c r="A1676" s="1">
        <v>45140</v>
      </c>
      <c r="B1676">
        <v>37</v>
      </c>
      <c r="C1676">
        <v>67</v>
      </c>
    </row>
    <row r="1677" spans="1:3" x14ac:dyDescent="0.3">
      <c r="A1677" s="1">
        <v>45141</v>
      </c>
      <c r="B1677">
        <v>44</v>
      </c>
      <c r="C1677">
        <v>60</v>
      </c>
    </row>
    <row r="1678" spans="1:3" x14ac:dyDescent="0.3">
      <c r="A1678" s="1">
        <v>45142</v>
      </c>
      <c r="B1678">
        <v>39</v>
      </c>
      <c r="C1678">
        <v>67</v>
      </c>
    </row>
    <row r="1679" spans="1:3" x14ac:dyDescent="0.3">
      <c r="A1679" s="1">
        <v>45143</v>
      </c>
      <c r="B1679">
        <v>45</v>
      </c>
      <c r="C1679">
        <v>56</v>
      </c>
    </row>
    <row r="1680" spans="1:3" x14ac:dyDescent="0.3">
      <c r="A1680" s="1">
        <v>45144</v>
      </c>
      <c r="B1680">
        <v>37</v>
      </c>
      <c r="C1680">
        <v>71</v>
      </c>
    </row>
    <row r="1681" spans="1:3" x14ac:dyDescent="0.3">
      <c r="A1681" s="1">
        <v>45145</v>
      </c>
      <c r="B1681">
        <v>43</v>
      </c>
      <c r="C1681">
        <v>66</v>
      </c>
    </row>
    <row r="1682" spans="1:3" x14ac:dyDescent="0.3">
      <c r="A1682" s="1">
        <v>45146</v>
      </c>
      <c r="B1682">
        <v>40</v>
      </c>
      <c r="C1682">
        <v>49</v>
      </c>
    </row>
    <row r="1683" spans="1:3" x14ac:dyDescent="0.3">
      <c r="A1683" s="1">
        <v>45147</v>
      </c>
      <c r="B1683">
        <v>49</v>
      </c>
      <c r="C1683">
        <v>69</v>
      </c>
    </row>
    <row r="1684" spans="1:3" x14ac:dyDescent="0.3">
      <c r="A1684" s="1">
        <v>45148</v>
      </c>
      <c r="B1684">
        <v>45</v>
      </c>
      <c r="C1684">
        <v>61</v>
      </c>
    </row>
    <row r="1685" spans="1:3" x14ac:dyDescent="0.3">
      <c r="A1685" s="1">
        <v>45149</v>
      </c>
      <c r="B1685">
        <v>45</v>
      </c>
      <c r="C1685">
        <v>68</v>
      </c>
    </row>
    <row r="1686" spans="1:3" x14ac:dyDescent="0.3">
      <c r="A1686" s="1">
        <v>45150</v>
      </c>
      <c r="B1686">
        <v>41</v>
      </c>
      <c r="C1686">
        <v>77</v>
      </c>
    </row>
    <row r="1687" spans="1:3" x14ac:dyDescent="0.3">
      <c r="A1687" s="1">
        <v>45151</v>
      </c>
      <c r="B1687">
        <v>52</v>
      </c>
      <c r="C1687">
        <v>68</v>
      </c>
    </row>
    <row r="1688" spans="1:3" x14ac:dyDescent="0.3">
      <c r="A1688" s="1">
        <v>45152</v>
      </c>
      <c r="B1688">
        <v>44</v>
      </c>
      <c r="C1688">
        <v>67</v>
      </c>
    </row>
    <row r="1689" spans="1:3" x14ac:dyDescent="0.3">
      <c r="A1689" s="1">
        <v>45153</v>
      </c>
      <c r="B1689">
        <v>43</v>
      </c>
      <c r="C1689">
        <v>51</v>
      </c>
    </row>
    <row r="1690" spans="1:3" x14ac:dyDescent="0.3">
      <c r="A1690" s="1">
        <v>45154</v>
      </c>
      <c r="B1690">
        <v>48</v>
      </c>
      <c r="C1690">
        <v>60</v>
      </c>
    </row>
    <row r="1691" spans="1:3" x14ac:dyDescent="0.3">
      <c r="A1691" s="1">
        <v>45155</v>
      </c>
      <c r="B1691">
        <v>32</v>
      </c>
      <c r="C1691">
        <v>81</v>
      </c>
    </row>
    <row r="1692" spans="1:3" x14ac:dyDescent="0.3">
      <c r="A1692" s="1">
        <v>45156</v>
      </c>
      <c r="B1692">
        <v>45</v>
      </c>
      <c r="C1692">
        <v>56</v>
      </c>
    </row>
    <row r="1693" spans="1:3" x14ac:dyDescent="0.3">
      <c r="A1693" s="1">
        <v>45157</v>
      </c>
      <c r="B1693">
        <v>44</v>
      </c>
      <c r="C1693">
        <v>69</v>
      </c>
    </row>
    <row r="1694" spans="1:3" x14ac:dyDescent="0.3">
      <c r="A1694" s="1">
        <v>45158</v>
      </c>
      <c r="B1694">
        <v>46</v>
      </c>
      <c r="C1694">
        <v>65</v>
      </c>
    </row>
    <row r="1695" spans="1:3" x14ac:dyDescent="0.3">
      <c r="A1695" s="1">
        <v>45159</v>
      </c>
      <c r="B1695">
        <v>50</v>
      </c>
      <c r="C1695">
        <v>75</v>
      </c>
    </row>
    <row r="1696" spans="1:3" x14ac:dyDescent="0.3">
      <c r="A1696" s="1">
        <v>45160</v>
      </c>
      <c r="B1696">
        <v>38</v>
      </c>
      <c r="C1696">
        <v>63</v>
      </c>
    </row>
    <row r="1697" spans="1:3" x14ac:dyDescent="0.3">
      <c r="A1697" s="1">
        <v>45161</v>
      </c>
      <c r="B1697">
        <v>46</v>
      </c>
      <c r="C1697">
        <v>68</v>
      </c>
    </row>
    <row r="1698" spans="1:3" x14ac:dyDescent="0.3">
      <c r="A1698" s="1">
        <v>45162</v>
      </c>
      <c r="B1698">
        <v>38</v>
      </c>
      <c r="C1698">
        <v>64</v>
      </c>
    </row>
    <row r="1699" spans="1:3" x14ac:dyDescent="0.3">
      <c r="A1699" s="1">
        <v>45163</v>
      </c>
      <c r="B1699">
        <v>53</v>
      </c>
      <c r="C1699">
        <v>57</v>
      </c>
    </row>
    <row r="1700" spans="1:3" x14ac:dyDescent="0.3">
      <c r="A1700" s="1">
        <v>45164</v>
      </c>
      <c r="B1700">
        <v>43</v>
      </c>
      <c r="C1700">
        <v>77</v>
      </c>
    </row>
    <row r="1701" spans="1:3" x14ac:dyDescent="0.3">
      <c r="A1701" s="1">
        <v>45165</v>
      </c>
      <c r="B1701">
        <v>43</v>
      </c>
      <c r="C1701">
        <v>51</v>
      </c>
    </row>
    <row r="1702" spans="1:3" x14ac:dyDescent="0.3">
      <c r="A1702" s="1">
        <v>45166</v>
      </c>
      <c r="B1702">
        <v>42</v>
      </c>
      <c r="C1702">
        <v>64</v>
      </c>
    </row>
    <row r="1703" spans="1:3" x14ac:dyDescent="0.3">
      <c r="A1703" s="1">
        <v>45167</v>
      </c>
      <c r="B1703">
        <v>32</v>
      </c>
      <c r="C1703">
        <v>72</v>
      </c>
    </row>
    <row r="1704" spans="1:3" x14ac:dyDescent="0.3">
      <c r="A1704" s="1">
        <v>45168</v>
      </c>
      <c r="B1704">
        <v>47</v>
      </c>
      <c r="C1704">
        <v>58</v>
      </c>
    </row>
    <row r="1705" spans="1:3" x14ac:dyDescent="0.3">
      <c r="A1705" s="1">
        <v>45169</v>
      </c>
      <c r="B1705">
        <v>35</v>
      </c>
      <c r="C1705">
        <v>58</v>
      </c>
    </row>
    <row r="1706" spans="1:3" x14ac:dyDescent="0.3">
      <c r="A1706" s="1">
        <v>45170</v>
      </c>
      <c r="B1706">
        <v>54</v>
      </c>
      <c r="C1706">
        <v>64</v>
      </c>
    </row>
    <row r="1707" spans="1:3" x14ac:dyDescent="0.3">
      <c r="A1707" s="1">
        <v>45171</v>
      </c>
      <c r="B1707">
        <v>44</v>
      </c>
      <c r="C1707">
        <v>53</v>
      </c>
    </row>
    <row r="1708" spans="1:3" x14ac:dyDescent="0.3">
      <c r="A1708" s="1">
        <v>45172</v>
      </c>
      <c r="B1708">
        <v>33</v>
      </c>
      <c r="C1708">
        <v>67</v>
      </c>
    </row>
    <row r="1709" spans="1:3" x14ac:dyDescent="0.3">
      <c r="A1709" s="1">
        <v>45173</v>
      </c>
      <c r="B1709">
        <v>37</v>
      </c>
      <c r="C1709">
        <v>74</v>
      </c>
    </row>
    <row r="1710" spans="1:3" x14ac:dyDescent="0.3">
      <c r="A1710" s="1">
        <v>45174</v>
      </c>
      <c r="B1710">
        <v>47</v>
      </c>
      <c r="C1710">
        <v>65</v>
      </c>
    </row>
    <row r="1711" spans="1:3" x14ac:dyDescent="0.3">
      <c r="A1711" s="1">
        <v>45175</v>
      </c>
      <c r="B1711">
        <v>41</v>
      </c>
      <c r="C1711">
        <v>58</v>
      </c>
    </row>
    <row r="1712" spans="1:3" x14ac:dyDescent="0.3">
      <c r="A1712" s="1">
        <v>45176</v>
      </c>
      <c r="B1712">
        <v>41</v>
      </c>
      <c r="C1712">
        <v>69</v>
      </c>
    </row>
    <row r="1713" spans="1:3" x14ac:dyDescent="0.3">
      <c r="A1713" s="1">
        <v>45177</v>
      </c>
      <c r="B1713">
        <v>42</v>
      </c>
      <c r="C1713">
        <v>64</v>
      </c>
    </row>
    <row r="1714" spans="1:3" x14ac:dyDescent="0.3">
      <c r="A1714" s="1">
        <v>45178</v>
      </c>
      <c r="B1714">
        <v>39</v>
      </c>
      <c r="C1714">
        <v>70</v>
      </c>
    </row>
    <row r="1715" spans="1:3" x14ac:dyDescent="0.3">
      <c r="A1715" s="1">
        <v>45179</v>
      </c>
      <c r="B1715">
        <v>39</v>
      </c>
      <c r="C1715">
        <v>64</v>
      </c>
    </row>
    <row r="1716" spans="1:3" x14ac:dyDescent="0.3">
      <c r="A1716" s="1">
        <v>45180</v>
      </c>
      <c r="B1716">
        <v>54</v>
      </c>
      <c r="C1716">
        <v>57</v>
      </c>
    </row>
    <row r="1717" spans="1:3" x14ac:dyDescent="0.3">
      <c r="A1717" s="1">
        <v>45181</v>
      </c>
      <c r="B1717">
        <v>39</v>
      </c>
      <c r="C1717">
        <v>48</v>
      </c>
    </row>
    <row r="1718" spans="1:3" x14ac:dyDescent="0.3">
      <c r="A1718" s="1">
        <v>45182</v>
      </c>
      <c r="B1718">
        <v>41</v>
      </c>
      <c r="C1718">
        <v>74</v>
      </c>
    </row>
    <row r="1719" spans="1:3" x14ac:dyDescent="0.3">
      <c r="A1719" s="1">
        <v>45183</v>
      </c>
      <c r="B1719">
        <v>44</v>
      </c>
      <c r="C1719">
        <v>86</v>
      </c>
    </row>
    <row r="1720" spans="1:3" x14ac:dyDescent="0.3">
      <c r="A1720" s="1">
        <v>45184</v>
      </c>
      <c r="B1720">
        <v>41</v>
      </c>
      <c r="C1720">
        <v>60</v>
      </c>
    </row>
    <row r="1721" spans="1:3" x14ac:dyDescent="0.3">
      <c r="A1721" s="1">
        <v>45185</v>
      </c>
      <c r="B1721">
        <v>36</v>
      </c>
      <c r="C1721">
        <v>55</v>
      </c>
    </row>
    <row r="1722" spans="1:3" x14ac:dyDescent="0.3">
      <c r="A1722" s="1">
        <v>45186</v>
      </c>
      <c r="B1722">
        <v>30</v>
      </c>
      <c r="C1722">
        <v>58</v>
      </c>
    </row>
    <row r="1723" spans="1:3" x14ac:dyDescent="0.3">
      <c r="A1723" s="1">
        <v>45187</v>
      </c>
      <c r="B1723">
        <v>40</v>
      </c>
      <c r="C1723">
        <v>64</v>
      </c>
    </row>
    <row r="1724" spans="1:3" x14ac:dyDescent="0.3">
      <c r="A1724" s="1">
        <v>45188</v>
      </c>
      <c r="B1724">
        <v>40</v>
      </c>
      <c r="C1724">
        <v>74</v>
      </c>
    </row>
    <row r="1725" spans="1:3" x14ac:dyDescent="0.3">
      <c r="A1725" s="1">
        <v>45189</v>
      </c>
      <c r="B1725">
        <v>41</v>
      </c>
      <c r="C1725">
        <v>63</v>
      </c>
    </row>
    <row r="1726" spans="1:3" x14ac:dyDescent="0.3">
      <c r="A1726" s="1">
        <v>45190</v>
      </c>
      <c r="B1726">
        <v>40</v>
      </c>
      <c r="C1726">
        <v>61</v>
      </c>
    </row>
    <row r="1727" spans="1:3" x14ac:dyDescent="0.3">
      <c r="A1727" s="1">
        <v>45191</v>
      </c>
      <c r="B1727">
        <v>48</v>
      </c>
      <c r="C1727">
        <v>84</v>
      </c>
    </row>
    <row r="1728" spans="1:3" x14ac:dyDescent="0.3">
      <c r="A1728" s="1">
        <v>45192</v>
      </c>
      <c r="B1728">
        <v>38</v>
      </c>
      <c r="C1728">
        <v>53</v>
      </c>
    </row>
    <row r="1729" spans="1:3" x14ac:dyDescent="0.3">
      <c r="A1729" s="1">
        <v>45193</v>
      </c>
      <c r="B1729">
        <v>53</v>
      </c>
      <c r="C1729">
        <v>69</v>
      </c>
    </row>
    <row r="1730" spans="1:3" x14ac:dyDescent="0.3">
      <c r="A1730" s="1">
        <v>45194</v>
      </c>
      <c r="B1730">
        <v>41</v>
      </c>
      <c r="C1730">
        <v>71</v>
      </c>
    </row>
    <row r="1731" spans="1:3" x14ac:dyDescent="0.3">
      <c r="A1731" s="1">
        <v>45195</v>
      </c>
      <c r="B1731">
        <v>42</v>
      </c>
      <c r="C1731">
        <v>67</v>
      </c>
    </row>
    <row r="1732" spans="1:3" x14ac:dyDescent="0.3">
      <c r="A1732" s="1">
        <v>45196</v>
      </c>
      <c r="B1732">
        <v>43</v>
      </c>
      <c r="C1732">
        <v>59</v>
      </c>
    </row>
    <row r="1733" spans="1:3" x14ac:dyDescent="0.3">
      <c r="A1733" s="1">
        <v>45197</v>
      </c>
      <c r="B1733">
        <v>43</v>
      </c>
      <c r="C1733">
        <v>74</v>
      </c>
    </row>
    <row r="1734" spans="1:3" x14ac:dyDescent="0.3">
      <c r="A1734" s="1">
        <v>45198</v>
      </c>
      <c r="B1734">
        <v>41</v>
      </c>
      <c r="C1734">
        <v>68</v>
      </c>
    </row>
    <row r="1735" spans="1:3" x14ac:dyDescent="0.3">
      <c r="A1735" s="1">
        <v>45199</v>
      </c>
      <c r="B1735">
        <v>57</v>
      </c>
      <c r="C1735">
        <v>74</v>
      </c>
    </row>
    <row r="1736" spans="1:3" x14ac:dyDescent="0.3">
      <c r="A1736" s="1">
        <v>45200</v>
      </c>
      <c r="B1736">
        <v>48</v>
      </c>
      <c r="C1736">
        <v>61</v>
      </c>
    </row>
    <row r="1737" spans="1:3" x14ac:dyDescent="0.3">
      <c r="A1737" s="1">
        <v>45201</v>
      </c>
      <c r="B1737">
        <v>43</v>
      </c>
      <c r="C1737">
        <v>65</v>
      </c>
    </row>
    <row r="1738" spans="1:3" x14ac:dyDescent="0.3">
      <c r="A1738" s="1">
        <v>45202</v>
      </c>
      <c r="B1738">
        <v>39</v>
      </c>
      <c r="C1738">
        <v>73</v>
      </c>
    </row>
    <row r="1739" spans="1:3" x14ac:dyDescent="0.3">
      <c r="A1739" s="1">
        <v>45203</v>
      </c>
      <c r="B1739">
        <v>53</v>
      </c>
      <c r="C1739">
        <v>71</v>
      </c>
    </row>
    <row r="1740" spans="1:3" x14ac:dyDescent="0.3">
      <c r="A1740" s="1">
        <v>45204</v>
      </c>
      <c r="B1740">
        <v>38</v>
      </c>
      <c r="C1740">
        <v>63</v>
      </c>
    </row>
    <row r="1741" spans="1:3" x14ac:dyDescent="0.3">
      <c r="A1741" s="1">
        <v>45205</v>
      </c>
      <c r="B1741">
        <v>38</v>
      </c>
      <c r="C1741">
        <v>74</v>
      </c>
    </row>
    <row r="1742" spans="1:3" x14ac:dyDescent="0.3">
      <c r="A1742" s="1">
        <v>45206</v>
      </c>
      <c r="B1742">
        <v>41</v>
      </c>
      <c r="C1742">
        <v>46</v>
      </c>
    </row>
    <row r="1743" spans="1:3" x14ac:dyDescent="0.3">
      <c r="A1743" s="1">
        <v>45207</v>
      </c>
      <c r="B1743">
        <v>36</v>
      </c>
      <c r="C1743">
        <v>78</v>
      </c>
    </row>
    <row r="1744" spans="1:3" x14ac:dyDescent="0.3">
      <c r="A1744" s="1">
        <v>45208</v>
      </c>
      <c r="B1744">
        <v>44</v>
      </c>
      <c r="C1744">
        <v>61</v>
      </c>
    </row>
    <row r="1745" spans="1:3" x14ac:dyDescent="0.3">
      <c r="A1745" s="1">
        <v>45209</v>
      </c>
      <c r="B1745">
        <v>45</v>
      </c>
      <c r="C1745">
        <v>83</v>
      </c>
    </row>
    <row r="1746" spans="1:3" x14ac:dyDescent="0.3">
      <c r="A1746" s="1">
        <v>45210</v>
      </c>
      <c r="B1746">
        <v>42</v>
      </c>
      <c r="C1746">
        <v>63</v>
      </c>
    </row>
    <row r="1747" spans="1:3" x14ac:dyDescent="0.3">
      <c r="A1747" s="1">
        <v>45211</v>
      </c>
      <c r="B1747">
        <v>51</v>
      </c>
      <c r="C1747">
        <v>67</v>
      </c>
    </row>
    <row r="1748" spans="1:3" x14ac:dyDescent="0.3">
      <c r="A1748" s="1">
        <v>45212</v>
      </c>
      <c r="B1748">
        <v>48</v>
      </c>
      <c r="C1748">
        <v>65</v>
      </c>
    </row>
    <row r="1749" spans="1:3" x14ac:dyDescent="0.3">
      <c r="A1749" s="1">
        <v>45213</v>
      </c>
      <c r="B1749">
        <v>49</v>
      </c>
      <c r="C1749">
        <v>64</v>
      </c>
    </row>
    <row r="1750" spans="1:3" x14ac:dyDescent="0.3">
      <c r="A1750" s="1">
        <v>45214</v>
      </c>
      <c r="B1750">
        <v>35</v>
      </c>
      <c r="C1750">
        <v>59</v>
      </c>
    </row>
    <row r="1751" spans="1:3" x14ac:dyDescent="0.3">
      <c r="A1751" s="1">
        <v>45215</v>
      </c>
      <c r="B1751">
        <v>41</v>
      </c>
      <c r="C1751">
        <v>60</v>
      </c>
    </row>
    <row r="1752" spans="1:3" x14ac:dyDescent="0.3">
      <c r="A1752" s="1">
        <v>45216</v>
      </c>
      <c r="B1752">
        <v>37</v>
      </c>
      <c r="C1752">
        <v>63</v>
      </c>
    </row>
    <row r="1753" spans="1:3" x14ac:dyDescent="0.3">
      <c r="A1753" s="1">
        <v>45217</v>
      </c>
      <c r="B1753">
        <v>34</v>
      </c>
      <c r="C1753">
        <v>54</v>
      </c>
    </row>
    <row r="1754" spans="1:3" x14ac:dyDescent="0.3">
      <c r="A1754" s="1">
        <v>45218</v>
      </c>
      <c r="B1754">
        <v>44</v>
      </c>
      <c r="C1754">
        <v>65</v>
      </c>
    </row>
    <row r="1755" spans="1:3" x14ac:dyDescent="0.3">
      <c r="A1755" s="1">
        <v>45219</v>
      </c>
      <c r="B1755">
        <v>42</v>
      </c>
      <c r="C1755">
        <v>64</v>
      </c>
    </row>
    <row r="1756" spans="1:3" x14ac:dyDescent="0.3">
      <c r="A1756" s="1">
        <v>45220</v>
      </c>
      <c r="B1756">
        <v>38</v>
      </c>
      <c r="C1756">
        <v>52</v>
      </c>
    </row>
    <row r="1757" spans="1:3" x14ac:dyDescent="0.3">
      <c r="A1757" s="1">
        <v>45221</v>
      </c>
      <c r="B1757">
        <v>34</v>
      </c>
      <c r="C1757">
        <v>34</v>
      </c>
    </row>
    <row r="1758" spans="1:3" x14ac:dyDescent="0.3">
      <c r="A1758" s="1">
        <v>45222</v>
      </c>
      <c r="B1758">
        <v>32</v>
      </c>
      <c r="C1758">
        <v>54</v>
      </c>
    </row>
    <row r="1759" spans="1:3" x14ac:dyDescent="0.3">
      <c r="A1759" s="1">
        <v>45223</v>
      </c>
      <c r="B1759">
        <v>41</v>
      </c>
      <c r="C1759">
        <v>62</v>
      </c>
    </row>
    <row r="1760" spans="1:3" x14ac:dyDescent="0.3">
      <c r="A1760" s="1">
        <v>45224</v>
      </c>
      <c r="B1760">
        <v>42</v>
      </c>
      <c r="C1760">
        <v>56</v>
      </c>
    </row>
    <row r="1761" spans="1:3" x14ac:dyDescent="0.3">
      <c r="A1761" s="1">
        <v>45225</v>
      </c>
      <c r="B1761">
        <v>25</v>
      </c>
      <c r="C1761">
        <v>62</v>
      </c>
    </row>
    <row r="1762" spans="1:3" x14ac:dyDescent="0.3">
      <c r="A1762" s="1">
        <v>45226</v>
      </c>
      <c r="B1762">
        <v>42</v>
      </c>
      <c r="C1762">
        <v>47</v>
      </c>
    </row>
    <row r="1763" spans="1:3" x14ac:dyDescent="0.3">
      <c r="A1763" s="1">
        <v>45227</v>
      </c>
      <c r="B1763">
        <v>29</v>
      </c>
      <c r="C1763">
        <v>42</v>
      </c>
    </row>
    <row r="1764" spans="1:3" x14ac:dyDescent="0.3">
      <c r="A1764" s="1">
        <v>45228</v>
      </c>
      <c r="B1764">
        <v>39</v>
      </c>
      <c r="C1764">
        <v>75</v>
      </c>
    </row>
    <row r="1765" spans="1:3" x14ac:dyDescent="0.3">
      <c r="A1765" s="1">
        <v>45229</v>
      </c>
      <c r="B1765">
        <v>42</v>
      </c>
      <c r="C1765">
        <v>78</v>
      </c>
    </row>
    <row r="1766" spans="1:3" x14ac:dyDescent="0.3">
      <c r="A1766" s="1">
        <v>45230</v>
      </c>
      <c r="B1766">
        <v>38</v>
      </c>
      <c r="C1766">
        <v>57</v>
      </c>
    </row>
    <row r="1767" spans="1:3" x14ac:dyDescent="0.3">
      <c r="A1767" s="1">
        <v>45231</v>
      </c>
      <c r="B1767">
        <v>29</v>
      </c>
      <c r="C1767">
        <v>69</v>
      </c>
    </row>
    <row r="1768" spans="1:3" x14ac:dyDescent="0.3">
      <c r="A1768" s="1">
        <v>45232</v>
      </c>
      <c r="B1768">
        <v>40</v>
      </c>
      <c r="C1768">
        <v>64</v>
      </c>
    </row>
    <row r="1769" spans="1:3" x14ac:dyDescent="0.3">
      <c r="A1769" s="1">
        <v>45233</v>
      </c>
      <c r="B1769">
        <v>39</v>
      </c>
      <c r="C1769">
        <v>71</v>
      </c>
    </row>
    <row r="1770" spans="1:3" x14ac:dyDescent="0.3">
      <c r="A1770" s="1">
        <v>45234</v>
      </c>
      <c r="B1770">
        <v>45</v>
      </c>
      <c r="C1770">
        <v>42</v>
      </c>
    </row>
    <row r="1771" spans="1:3" x14ac:dyDescent="0.3">
      <c r="A1771" s="1">
        <v>45235</v>
      </c>
      <c r="B1771">
        <v>23</v>
      </c>
      <c r="C1771">
        <v>45</v>
      </c>
    </row>
    <row r="1772" spans="1:3" x14ac:dyDescent="0.3">
      <c r="A1772" s="1">
        <v>45236</v>
      </c>
      <c r="B1772">
        <v>33</v>
      </c>
      <c r="C1772">
        <v>59</v>
      </c>
    </row>
    <row r="1773" spans="1:3" x14ac:dyDescent="0.3">
      <c r="A1773" s="1">
        <v>45237</v>
      </c>
      <c r="B1773">
        <v>34</v>
      </c>
      <c r="C1773">
        <v>40</v>
      </c>
    </row>
    <row r="1774" spans="1:3" x14ac:dyDescent="0.3">
      <c r="A1774" s="1">
        <v>45238</v>
      </c>
      <c r="B1774">
        <v>29</v>
      </c>
      <c r="C1774">
        <v>45</v>
      </c>
    </row>
    <row r="1775" spans="1:3" x14ac:dyDescent="0.3">
      <c r="A1775" s="1">
        <v>45239</v>
      </c>
      <c r="B1775">
        <v>46</v>
      </c>
      <c r="C1775">
        <v>65</v>
      </c>
    </row>
    <row r="1776" spans="1:3" x14ac:dyDescent="0.3">
      <c r="A1776" s="1">
        <v>45240</v>
      </c>
      <c r="B1776">
        <v>50</v>
      </c>
      <c r="C1776">
        <v>63</v>
      </c>
    </row>
    <row r="1777" spans="1:3" x14ac:dyDescent="0.3">
      <c r="A1777" s="1">
        <v>45241</v>
      </c>
      <c r="B1777">
        <v>33</v>
      </c>
      <c r="C1777">
        <v>72</v>
      </c>
    </row>
    <row r="1778" spans="1:3" x14ac:dyDescent="0.3">
      <c r="A1778" s="1">
        <v>45242</v>
      </c>
      <c r="B1778">
        <v>44</v>
      </c>
      <c r="C1778">
        <v>60</v>
      </c>
    </row>
    <row r="1779" spans="1:3" x14ac:dyDescent="0.3">
      <c r="A1779" s="1">
        <v>45243</v>
      </c>
      <c r="B1779">
        <v>42</v>
      </c>
      <c r="C1779">
        <v>74</v>
      </c>
    </row>
    <row r="1780" spans="1:3" x14ac:dyDescent="0.3">
      <c r="A1780" s="1">
        <v>45244</v>
      </c>
      <c r="B1780">
        <v>33</v>
      </c>
      <c r="C1780">
        <v>55</v>
      </c>
    </row>
    <row r="1781" spans="1:3" x14ac:dyDescent="0.3">
      <c r="A1781" s="1">
        <v>45245</v>
      </c>
      <c r="B1781">
        <v>30</v>
      </c>
      <c r="C1781">
        <v>50</v>
      </c>
    </row>
    <row r="1782" spans="1:3" x14ac:dyDescent="0.3">
      <c r="A1782" s="1">
        <v>45246</v>
      </c>
      <c r="B1782">
        <v>32</v>
      </c>
      <c r="C1782">
        <v>39</v>
      </c>
    </row>
    <row r="1783" spans="1:3" x14ac:dyDescent="0.3">
      <c r="A1783" s="1">
        <v>45247</v>
      </c>
      <c r="B1783">
        <v>31</v>
      </c>
      <c r="C1783">
        <v>47</v>
      </c>
    </row>
    <row r="1784" spans="1:3" x14ac:dyDescent="0.3">
      <c r="A1784" s="1">
        <v>45248</v>
      </c>
      <c r="B1784">
        <v>31</v>
      </c>
      <c r="C1784">
        <v>69</v>
      </c>
    </row>
    <row r="1785" spans="1:3" x14ac:dyDescent="0.3">
      <c r="A1785" s="1">
        <v>45249</v>
      </c>
      <c r="B1785">
        <v>39</v>
      </c>
      <c r="C1785">
        <v>44</v>
      </c>
    </row>
    <row r="1786" spans="1:3" x14ac:dyDescent="0.3">
      <c r="A1786" s="1">
        <v>45250</v>
      </c>
      <c r="B1786">
        <v>25</v>
      </c>
      <c r="C1786">
        <v>59</v>
      </c>
    </row>
    <row r="1787" spans="1:3" x14ac:dyDescent="0.3">
      <c r="A1787" s="1">
        <v>45251</v>
      </c>
      <c r="B1787">
        <v>27</v>
      </c>
      <c r="C1787">
        <v>50</v>
      </c>
    </row>
    <row r="1788" spans="1:3" x14ac:dyDescent="0.3">
      <c r="A1788" s="1">
        <v>45252</v>
      </c>
      <c r="B1788">
        <v>29</v>
      </c>
      <c r="C1788">
        <v>44</v>
      </c>
    </row>
    <row r="1789" spans="1:3" x14ac:dyDescent="0.3">
      <c r="A1789" s="1">
        <v>45253</v>
      </c>
      <c r="B1789">
        <v>31</v>
      </c>
      <c r="C1789">
        <v>49</v>
      </c>
    </row>
    <row r="1790" spans="1:3" x14ac:dyDescent="0.3">
      <c r="A1790" s="1">
        <v>45254</v>
      </c>
      <c r="B1790">
        <v>40</v>
      </c>
      <c r="C1790">
        <v>58</v>
      </c>
    </row>
    <row r="1791" spans="1:3" x14ac:dyDescent="0.3">
      <c r="A1791" s="1">
        <v>45255</v>
      </c>
      <c r="B1791">
        <v>23</v>
      </c>
      <c r="C1791">
        <v>44</v>
      </c>
    </row>
    <row r="1792" spans="1:3" x14ac:dyDescent="0.3">
      <c r="A1792" s="1">
        <v>45256</v>
      </c>
      <c r="B1792">
        <v>22</v>
      </c>
      <c r="C1792">
        <v>47</v>
      </c>
    </row>
    <row r="1793" spans="1:3" x14ac:dyDescent="0.3">
      <c r="A1793" s="1">
        <v>45257</v>
      </c>
      <c r="B1793">
        <v>33</v>
      </c>
      <c r="C1793">
        <v>55</v>
      </c>
    </row>
    <row r="1794" spans="1:3" x14ac:dyDescent="0.3">
      <c r="A1794" s="1">
        <v>45258</v>
      </c>
      <c r="B1794">
        <v>31</v>
      </c>
      <c r="C1794">
        <v>51</v>
      </c>
    </row>
    <row r="1795" spans="1:3" x14ac:dyDescent="0.3">
      <c r="A1795" s="1">
        <v>45259</v>
      </c>
      <c r="B1795">
        <v>37</v>
      </c>
      <c r="C1795">
        <v>57</v>
      </c>
    </row>
    <row r="1796" spans="1:3" x14ac:dyDescent="0.3">
      <c r="A1796" s="1">
        <v>45260</v>
      </c>
      <c r="B1796">
        <v>27</v>
      </c>
      <c r="C1796">
        <v>50</v>
      </c>
    </row>
    <row r="1797" spans="1:3" x14ac:dyDescent="0.3">
      <c r="A1797" s="1">
        <v>45261</v>
      </c>
      <c r="B1797">
        <v>27</v>
      </c>
      <c r="C1797">
        <v>41</v>
      </c>
    </row>
    <row r="1798" spans="1:3" x14ac:dyDescent="0.3">
      <c r="A1798" s="1">
        <v>45262</v>
      </c>
      <c r="B1798">
        <v>35</v>
      </c>
      <c r="C1798">
        <v>45</v>
      </c>
    </row>
    <row r="1799" spans="1:3" x14ac:dyDescent="0.3">
      <c r="A1799" s="1">
        <v>45263</v>
      </c>
      <c r="B1799">
        <v>41</v>
      </c>
      <c r="C1799">
        <v>68</v>
      </c>
    </row>
    <row r="1800" spans="1:3" x14ac:dyDescent="0.3">
      <c r="A1800" s="1">
        <v>45264</v>
      </c>
      <c r="B1800">
        <v>34</v>
      </c>
      <c r="C1800">
        <v>52</v>
      </c>
    </row>
    <row r="1801" spans="1:3" x14ac:dyDescent="0.3">
      <c r="A1801" s="1">
        <v>45265</v>
      </c>
      <c r="B1801">
        <v>33</v>
      </c>
      <c r="C1801">
        <v>61</v>
      </c>
    </row>
    <row r="1802" spans="1:3" x14ac:dyDescent="0.3">
      <c r="A1802" s="1">
        <v>45266</v>
      </c>
      <c r="B1802">
        <v>33</v>
      </c>
      <c r="C1802">
        <v>56</v>
      </c>
    </row>
    <row r="1803" spans="1:3" x14ac:dyDescent="0.3">
      <c r="A1803" s="1">
        <v>45267</v>
      </c>
      <c r="B1803">
        <v>35</v>
      </c>
      <c r="C1803">
        <v>47</v>
      </c>
    </row>
    <row r="1804" spans="1:3" x14ac:dyDescent="0.3">
      <c r="A1804" s="1">
        <v>45268</v>
      </c>
      <c r="B1804">
        <v>32</v>
      </c>
      <c r="C1804">
        <v>48</v>
      </c>
    </row>
    <row r="1805" spans="1:3" x14ac:dyDescent="0.3">
      <c r="A1805" s="1">
        <v>45269</v>
      </c>
      <c r="B1805">
        <v>31</v>
      </c>
      <c r="C1805">
        <v>55</v>
      </c>
    </row>
    <row r="1806" spans="1:3" x14ac:dyDescent="0.3">
      <c r="A1806" s="1">
        <v>45270</v>
      </c>
      <c r="B1806">
        <v>28</v>
      </c>
      <c r="C1806">
        <v>52</v>
      </c>
    </row>
    <row r="1807" spans="1:3" x14ac:dyDescent="0.3">
      <c r="A1807" s="1">
        <v>45271</v>
      </c>
      <c r="B1807">
        <v>33</v>
      </c>
      <c r="C1807">
        <v>51</v>
      </c>
    </row>
    <row r="1808" spans="1:3" x14ac:dyDescent="0.3">
      <c r="A1808" s="1">
        <v>45272</v>
      </c>
      <c r="B1808">
        <v>34</v>
      </c>
      <c r="C1808">
        <v>53</v>
      </c>
    </row>
    <row r="1809" spans="1:3" x14ac:dyDescent="0.3">
      <c r="A1809" s="1">
        <v>45273</v>
      </c>
      <c r="B1809">
        <v>38</v>
      </c>
      <c r="C1809">
        <v>48</v>
      </c>
    </row>
    <row r="1810" spans="1:3" x14ac:dyDescent="0.3">
      <c r="A1810" s="1">
        <v>45274</v>
      </c>
      <c r="B1810">
        <v>36</v>
      </c>
      <c r="C1810">
        <v>41</v>
      </c>
    </row>
    <row r="1811" spans="1:3" x14ac:dyDescent="0.3">
      <c r="A1811" s="1">
        <v>45275</v>
      </c>
      <c r="B1811">
        <v>27</v>
      </c>
      <c r="C1811">
        <v>51</v>
      </c>
    </row>
    <row r="1812" spans="1:3" x14ac:dyDescent="0.3">
      <c r="A1812" s="1">
        <v>45276</v>
      </c>
      <c r="B1812">
        <v>33</v>
      </c>
      <c r="C1812">
        <v>49</v>
      </c>
    </row>
    <row r="1813" spans="1:3" x14ac:dyDescent="0.3">
      <c r="A1813" s="1">
        <v>45277</v>
      </c>
      <c r="B1813">
        <v>35</v>
      </c>
      <c r="C1813">
        <v>43</v>
      </c>
    </row>
    <row r="1814" spans="1:3" x14ac:dyDescent="0.3">
      <c r="A1814" s="1">
        <v>45278</v>
      </c>
      <c r="B1814">
        <v>23</v>
      </c>
      <c r="C1814">
        <v>39</v>
      </c>
    </row>
    <row r="1815" spans="1:3" x14ac:dyDescent="0.3">
      <c r="A1815" s="1">
        <v>45279</v>
      </c>
      <c r="B1815">
        <v>28</v>
      </c>
      <c r="C1815">
        <v>50</v>
      </c>
    </row>
    <row r="1816" spans="1:3" x14ac:dyDescent="0.3">
      <c r="A1816" s="1">
        <v>45280</v>
      </c>
      <c r="B1816">
        <v>35</v>
      </c>
      <c r="C1816">
        <v>52</v>
      </c>
    </row>
    <row r="1817" spans="1:3" x14ac:dyDescent="0.3">
      <c r="A1817" s="1">
        <v>45281</v>
      </c>
      <c r="B1817">
        <v>36</v>
      </c>
      <c r="C1817">
        <v>56</v>
      </c>
    </row>
    <row r="1818" spans="1:3" x14ac:dyDescent="0.3">
      <c r="A1818" s="1">
        <v>45282</v>
      </c>
      <c r="B1818">
        <v>35</v>
      </c>
      <c r="C1818">
        <v>59</v>
      </c>
    </row>
    <row r="1819" spans="1:3" x14ac:dyDescent="0.3">
      <c r="A1819" s="1">
        <v>45283</v>
      </c>
      <c r="B1819">
        <v>27</v>
      </c>
      <c r="C1819">
        <v>61</v>
      </c>
    </row>
    <row r="1820" spans="1:3" x14ac:dyDescent="0.3">
      <c r="A1820" s="1">
        <v>45284</v>
      </c>
      <c r="B1820">
        <v>37</v>
      </c>
      <c r="C1820">
        <v>41</v>
      </c>
    </row>
    <row r="1821" spans="1:3" x14ac:dyDescent="0.3">
      <c r="A1821" s="1">
        <v>45285</v>
      </c>
      <c r="B1821">
        <v>37</v>
      </c>
      <c r="C1821">
        <v>57</v>
      </c>
    </row>
    <row r="1822" spans="1:3" x14ac:dyDescent="0.3">
      <c r="A1822" s="1">
        <v>45286</v>
      </c>
      <c r="B1822">
        <v>33</v>
      </c>
      <c r="C1822">
        <v>68</v>
      </c>
    </row>
    <row r="1823" spans="1:3" x14ac:dyDescent="0.3">
      <c r="A1823" s="1">
        <v>45287</v>
      </c>
      <c r="B1823">
        <v>34</v>
      </c>
      <c r="C1823">
        <v>52</v>
      </c>
    </row>
    <row r="1824" spans="1:3" x14ac:dyDescent="0.3">
      <c r="A1824" s="1">
        <v>45288</v>
      </c>
      <c r="B1824">
        <v>34</v>
      </c>
      <c r="C1824">
        <v>61</v>
      </c>
    </row>
    <row r="1825" spans="1:3" x14ac:dyDescent="0.3">
      <c r="A1825" s="1">
        <v>45289</v>
      </c>
      <c r="B1825">
        <v>45</v>
      </c>
      <c r="C1825">
        <v>57</v>
      </c>
    </row>
    <row r="1826" spans="1:3" x14ac:dyDescent="0.3">
      <c r="A1826" s="1">
        <v>45290</v>
      </c>
      <c r="B1826">
        <v>34</v>
      </c>
      <c r="C1826">
        <v>55</v>
      </c>
    </row>
    <row r="1827" spans="1:3" x14ac:dyDescent="0.3">
      <c r="A1827" s="1">
        <v>45291</v>
      </c>
      <c r="B1827">
        <v>25</v>
      </c>
      <c r="C1827">
        <v>45</v>
      </c>
    </row>
    <row r="1828" spans="1:3" x14ac:dyDescent="0.3">
      <c r="A1828" s="1">
        <v>45292</v>
      </c>
      <c r="B1828">
        <v>23</v>
      </c>
      <c r="C1828">
        <v>49</v>
      </c>
    </row>
    <row r="1829" spans="1:3" x14ac:dyDescent="0.3">
      <c r="A1829" s="1">
        <v>45293</v>
      </c>
      <c r="B1829">
        <v>31</v>
      </c>
      <c r="C1829">
        <v>58</v>
      </c>
    </row>
    <row r="1830" spans="1:3" x14ac:dyDescent="0.3">
      <c r="A1830" s="1">
        <v>45294</v>
      </c>
      <c r="B1830">
        <v>38</v>
      </c>
      <c r="C1830">
        <v>48</v>
      </c>
    </row>
    <row r="1831" spans="1:3" x14ac:dyDescent="0.3">
      <c r="A1831" s="1">
        <v>45295</v>
      </c>
      <c r="B1831">
        <v>38</v>
      </c>
      <c r="C1831">
        <v>57</v>
      </c>
    </row>
    <row r="1832" spans="1:3" x14ac:dyDescent="0.3">
      <c r="A1832" s="1">
        <v>45296</v>
      </c>
      <c r="B1832">
        <v>35</v>
      </c>
      <c r="C1832">
        <v>57</v>
      </c>
    </row>
    <row r="1833" spans="1:3" x14ac:dyDescent="0.3">
      <c r="A1833" s="1">
        <v>45297</v>
      </c>
      <c r="B1833">
        <v>26</v>
      </c>
      <c r="C1833">
        <v>50</v>
      </c>
    </row>
    <row r="1834" spans="1:3" x14ac:dyDescent="0.3">
      <c r="A1834" s="1">
        <v>45298</v>
      </c>
      <c r="B1834">
        <v>25</v>
      </c>
      <c r="C1834">
        <v>49</v>
      </c>
    </row>
    <row r="1835" spans="1:3" x14ac:dyDescent="0.3">
      <c r="A1835" s="1">
        <v>45299</v>
      </c>
      <c r="B1835">
        <v>26</v>
      </c>
      <c r="C1835">
        <v>49</v>
      </c>
    </row>
    <row r="1836" spans="1:3" x14ac:dyDescent="0.3">
      <c r="A1836" s="1">
        <v>45300</v>
      </c>
      <c r="B1836">
        <v>22</v>
      </c>
      <c r="C1836">
        <v>50</v>
      </c>
    </row>
    <row r="1837" spans="1:3" x14ac:dyDescent="0.3">
      <c r="A1837" s="1">
        <v>45301</v>
      </c>
      <c r="B1837">
        <v>38</v>
      </c>
      <c r="C1837">
        <v>42</v>
      </c>
    </row>
    <row r="1838" spans="1:3" x14ac:dyDescent="0.3">
      <c r="A1838" s="1">
        <v>45302</v>
      </c>
      <c r="B1838">
        <v>24</v>
      </c>
      <c r="C1838">
        <v>61</v>
      </c>
    </row>
    <row r="1839" spans="1:3" x14ac:dyDescent="0.3">
      <c r="A1839" s="1">
        <v>45303</v>
      </c>
      <c r="B1839">
        <v>31</v>
      </c>
      <c r="C1839">
        <v>57</v>
      </c>
    </row>
    <row r="1840" spans="1:3" x14ac:dyDescent="0.3">
      <c r="A1840" s="1">
        <v>45304</v>
      </c>
      <c r="B1840">
        <v>26</v>
      </c>
      <c r="C1840">
        <v>50</v>
      </c>
    </row>
    <row r="1841" spans="1:3" x14ac:dyDescent="0.3">
      <c r="A1841" s="1">
        <v>45305</v>
      </c>
      <c r="B1841">
        <v>39</v>
      </c>
      <c r="C1841">
        <v>57</v>
      </c>
    </row>
    <row r="1842" spans="1:3" x14ac:dyDescent="0.3">
      <c r="A1842" s="1">
        <v>45306</v>
      </c>
      <c r="B1842">
        <v>38</v>
      </c>
      <c r="C1842">
        <v>74</v>
      </c>
    </row>
    <row r="1843" spans="1:3" x14ac:dyDescent="0.3">
      <c r="A1843" s="1">
        <v>45307</v>
      </c>
      <c r="B1843">
        <v>35</v>
      </c>
      <c r="C1843">
        <v>63</v>
      </c>
    </row>
    <row r="1844" spans="1:3" x14ac:dyDescent="0.3">
      <c r="A1844" s="1">
        <v>45308</v>
      </c>
      <c r="B1844">
        <v>41</v>
      </c>
      <c r="C1844">
        <v>53</v>
      </c>
    </row>
    <row r="1845" spans="1:3" x14ac:dyDescent="0.3">
      <c r="A1845" s="1">
        <v>45309</v>
      </c>
      <c r="B1845">
        <v>23</v>
      </c>
      <c r="C1845">
        <v>48</v>
      </c>
    </row>
    <row r="1846" spans="1:3" x14ac:dyDescent="0.3">
      <c r="A1846" s="1">
        <v>45310</v>
      </c>
      <c r="B1846">
        <v>29</v>
      </c>
      <c r="C1846">
        <v>42</v>
      </c>
    </row>
    <row r="1847" spans="1:3" x14ac:dyDescent="0.3">
      <c r="A1847" s="1">
        <v>45311</v>
      </c>
      <c r="B1847">
        <v>44</v>
      </c>
      <c r="C1847">
        <v>53</v>
      </c>
    </row>
    <row r="1848" spans="1:3" x14ac:dyDescent="0.3">
      <c r="A1848" s="1">
        <v>45312</v>
      </c>
      <c r="B1848">
        <v>28</v>
      </c>
      <c r="C1848">
        <v>49</v>
      </c>
    </row>
    <row r="1849" spans="1:3" x14ac:dyDescent="0.3">
      <c r="A1849" s="1">
        <v>45313</v>
      </c>
      <c r="B1849">
        <v>42</v>
      </c>
      <c r="C1849">
        <v>54</v>
      </c>
    </row>
    <row r="1850" spans="1:3" x14ac:dyDescent="0.3">
      <c r="A1850" s="1">
        <v>45314</v>
      </c>
      <c r="B1850">
        <v>50</v>
      </c>
      <c r="C1850">
        <v>49</v>
      </c>
    </row>
    <row r="1851" spans="1:3" x14ac:dyDescent="0.3">
      <c r="A1851" s="1">
        <v>45315</v>
      </c>
      <c r="B1851">
        <v>29</v>
      </c>
      <c r="C1851">
        <v>54</v>
      </c>
    </row>
    <row r="1852" spans="1:3" x14ac:dyDescent="0.3">
      <c r="A1852" s="1">
        <v>45316</v>
      </c>
      <c r="B1852">
        <v>26</v>
      </c>
      <c r="C1852">
        <v>55</v>
      </c>
    </row>
    <row r="1853" spans="1:3" x14ac:dyDescent="0.3">
      <c r="A1853" s="1">
        <v>45317</v>
      </c>
      <c r="B1853">
        <v>37</v>
      </c>
      <c r="C1853">
        <v>57</v>
      </c>
    </row>
    <row r="1854" spans="1:3" x14ac:dyDescent="0.3">
      <c r="A1854" s="1">
        <v>45318</v>
      </c>
      <c r="B1854">
        <v>35</v>
      </c>
      <c r="C1854">
        <v>42</v>
      </c>
    </row>
    <row r="1855" spans="1:3" x14ac:dyDescent="0.3">
      <c r="A1855" s="1">
        <v>45319</v>
      </c>
      <c r="B1855">
        <v>42</v>
      </c>
      <c r="C1855">
        <v>46</v>
      </c>
    </row>
    <row r="1856" spans="1:3" x14ac:dyDescent="0.3">
      <c r="A1856" s="1">
        <v>45320</v>
      </c>
      <c r="B1856">
        <v>34</v>
      </c>
      <c r="C1856">
        <v>41</v>
      </c>
    </row>
    <row r="1857" spans="1:3" x14ac:dyDescent="0.3">
      <c r="A1857" s="1">
        <v>45321</v>
      </c>
      <c r="B1857">
        <v>28</v>
      </c>
      <c r="C1857">
        <v>50</v>
      </c>
    </row>
    <row r="1858" spans="1:3" x14ac:dyDescent="0.3">
      <c r="A1858" s="1">
        <v>45322</v>
      </c>
      <c r="B1858">
        <v>23</v>
      </c>
      <c r="C1858">
        <v>63</v>
      </c>
    </row>
    <row r="1859" spans="1:3" x14ac:dyDescent="0.3">
      <c r="A1859" s="1">
        <v>45323</v>
      </c>
      <c r="B1859">
        <v>40</v>
      </c>
      <c r="C1859">
        <v>51</v>
      </c>
    </row>
    <row r="1860" spans="1:3" x14ac:dyDescent="0.3">
      <c r="A1860" s="1">
        <v>45324</v>
      </c>
      <c r="B1860">
        <v>36</v>
      </c>
      <c r="C1860">
        <v>49</v>
      </c>
    </row>
    <row r="1861" spans="1:3" x14ac:dyDescent="0.3">
      <c r="A1861" s="1">
        <v>45325</v>
      </c>
      <c r="B1861">
        <v>30</v>
      </c>
      <c r="C1861">
        <v>39</v>
      </c>
    </row>
    <row r="1862" spans="1:3" x14ac:dyDescent="0.3">
      <c r="A1862" s="1">
        <v>45326</v>
      </c>
      <c r="B1862">
        <v>34</v>
      </c>
      <c r="C1862">
        <v>42</v>
      </c>
    </row>
    <row r="1863" spans="1:3" x14ac:dyDescent="0.3">
      <c r="A1863" s="1">
        <v>45327</v>
      </c>
      <c r="B1863">
        <v>23</v>
      </c>
      <c r="C1863">
        <v>48</v>
      </c>
    </row>
    <row r="1864" spans="1:3" x14ac:dyDescent="0.3">
      <c r="A1864" s="1">
        <v>45328</v>
      </c>
      <c r="B1864">
        <v>37</v>
      </c>
      <c r="C1864">
        <v>38</v>
      </c>
    </row>
    <row r="1865" spans="1:3" x14ac:dyDescent="0.3">
      <c r="A1865" s="1">
        <v>45329</v>
      </c>
      <c r="B1865">
        <v>41</v>
      </c>
      <c r="C1865">
        <v>54</v>
      </c>
    </row>
    <row r="1866" spans="1:3" x14ac:dyDescent="0.3">
      <c r="A1866" s="1">
        <v>45330</v>
      </c>
      <c r="B1866">
        <v>28</v>
      </c>
      <c r="C1866">
        <v>67</v>
      </c>
    </row>
    <row r="1867" spans="1:3" x14ac:dyDescent="0.3">
      <c r="A1867" s="1">
        <v>45331</v>
      </c>
      <c r="B1867">
        <v>40</v>
      </c>
      <c r="C1867">
        <v>43</v>
      </c>
    </row>
    <row r="1868" spans="1:3" x14ac:dyDescent="0.3">
      <c r="A1868" s="1">
        <v>45332</v>
      </c>
      <c r="B1868">
        <v>34</v>
      </c>
      <c r="C1868">
        <v>48</v>
      </c>
    </row>
    <row r="1869" spans="1:3" x14ac:dyDescent="0.3">
      <c r="A1869" s="1">
        <v>45333</v>
      </c>
      <c r="B1869">
        <v>36</v>
      </c>
      <c r="C1869">
        <v>60</v>
      </c>
    </row>
    <row r="1870" spans="1:3" x14ac:dyDescent="0.3">
      <c r="A1870" s="1">
        <v>45334</v>
      </c>
      <c r="B1870">
        <v>27</v>
      </c>
      <c r="C1870">
        <v>52</v>
      </c>
    </row>
    <row r="1871" spans="1:3" x14ac:dyDescent="0.3">
      <c r="A1871" s="1">
        <v>45335</v>
      </c>
      <c r="B1871">
        <v>27</v>
      </c>
      <c r="C1871">
        <v>39</v>
      </c>
    </row>
    <row r="1872" spans="1:3" x14ac:dyDescent="0.3">
      <c r="A1872" s="1">
        <v>45336</v>
      </c>
      <c r="B1872">
        <v>31</v>
      </c>
      <c r="C1872">
        <v>55</v>
      </c>
    </row>
    <row r="1873" spans="1:3" x14ac:dyDescent="0.3">
      <c r="A1873" s="1">
        <v>45337</v>
      </c>
      <c r="B1873">
        <v>42</v>
      </c>
      <c r="C1873">
        <v>65</v>
      </c>
    </row>
    <row r="1874" spans="1:3" x14ac:dyDescent="0.3">
      <c r="A1874" s="1">
        <v>45338</v>
      </c>
      <c r="B1874">
        <v>38</v>
      </c>
      <c r="C1874">
        <v>65</v>
      </c>
    </row>
    <row r="1875" spans="1:3" x14ac:dyDescent="0.3">
      <c r="A1875" s="1">
        <v>45339</v>
      </c>
      <c r="B1875">
        <v>40</v>
      </c>
      <c r="C1875">
        <v>62</v>
      </c>
    </row>
    <row r="1876" spans="1:3" x14ac:dyDescent="0.3">
      <c r="A1876" s="1">
        <v>45340</v>
      </c>
      <c r="B1876">
        <v>32</v>
      </c>
      <c r="C1876">
        <v>39</v>
      </c>
    </row>
    <row r="1877" spans="1:3" x14ac:dyDescent="0.3">
      <c r="A1877" s="1">
        <v>45341</v>
      </c>
      <c r="B1877">
        <v>36</v>
      </c>
      <c r="C1877">
        <v>56</v>
      </c>
    </row>
    <row r="1878" spans="1:3" x14ac:dyDescent="0.3">
      <c r="A1878" s="1">
        <v>45342</v>
      </c>
      <c r="B1878">
        <v>29</v>
      </c>
      <c r="C1878">
        <v>49</v>
      </c>
    </row>
    <row r="1879" spans="1:3" x14ac:dyDescent="0.3">
      <c r="A1879" s="1">
        <v>45343</v>
      </c>
      <c r="B1879">
        <v>38</v>
      </c>
      <c r="C1879">
        <v>51</v>
      </c>
    </row>
    <row r="1880" spans="1:3" x14ac:dyDescent="0.3">
      <c r="A1880" s="1">
        <v>45344</v>
      </c>
      <c r="B1880">
        <v>27</v>
      </c>
      <c r="C1880">
        <v>52</v>
      </c>
    </row>
    <row r="1881" spans="1:3" x14ac:dyDescent="0.3">
      <c r="A1881" s="1">
        <v>45345</v>
      </c>
      <c r="B1881">
        <v>43</v>
      </c>
      <c r="C1881">
        <v>47</v>
      </c>
    </row>
    <row r="1882" spans="1:3" x14ac:dyDescent="0.3">
      <c r="A1882" s="1">
        <v>45346</v>
      </c>
      <c r="B1882">
        <v>37</v>
      </c>
      <c r="C1882">
        <v>63</v>
      </c>
    </row>
    <row r="1883" spans="1:3" x14ac:dyDescent="0.3">
      <c r="A1883" s="1">
        <v>45347</v>
      </c>
      <c r="B1883">
        <v>35</v>
      </c>
      <c r="C1883">
        <v>57</v>
      </c>
    </row>
    <row r="1884" spans="1:3" x14ac:dyDescent="0.3">
      <c r="A1884" s="1">
        <v>45348</v>
      </c>
      <c r="B1884">
        <v>39</v>
      </c>
      <c r="C1884">
        <v>56</v>
      </c>
    </row>
    <row r="1885" spans="1:3" x14ac:dyDescent="0.3">
      <c r="A1885" s="1">
        <v>45349</v>
      </c>
      <c r="B1885">
        <v>27</v>
      </c>
      <c r="C1885">
        <v>46</v>
      </c>
    </row>
    <row r="1886" spans="1:3" x14ac:dyDescent="0.3">
      <c r="A1886" s="1">
        <v>45350</v>
      </c>
      <c r="B1886">
        <v>45</v>
      </c>
      <c r="C1886">
        <v>54</v>
      </c>
    </row>
    <row r="1887" spans="1:3" x14ac:dyDescent="0.3">
      <c r="A1887" s="1">
        <v>45351</v>
      </c>
      <c r="B1887">
        <v>31</v>
      </c>
      <c r="C1887">
        <v>42</v>
      </c>
    </row>
    <row r="1888" spans="1:3" x14ac:dyDescent="0.3">
      <c r="A1888" s="1">
        <v>45352</v>
      </c>
      <c r="B1888">
        <v>35</v>
      </c>
      <c r="C1888">
        <v>44</v>
      </c>
    </row>
    <row r="1889" spans="1:3" x14ac:dyDescent="0.3">
      <c r="A1889" s="1">
        <v>45353</v>
      </c>
      <c r="B1889">
        <v>32</v>
      </c>
      <c r="C1889">
        <v>37</v>
      </c>
    </row>
    <row r="1890" spans="1:3" x14ac:dyDescent="0.3">
      <c r="A1890" s="1">
        <v>45354</v>
      </c>
      <c r="B1890">
        <v>40</v>
      </c>
      <c r="C1890">
        <v>65</v>
      </c>
    </row>
    <row r="1891" spans="1:3" x14ac:dyDescent="0.3">
      <c r="A1891" s="1">
        <v>45355</v>
      </c>
      <c r="B1891">
        <v>36</v>
      </c>
      <c r="C1891">
        <v>69</v>
      </c>
    </row>
    <row r="1892" spans="1:3" x14ac:dyDescent="0.3">
      <c r="A1892" s="1">
        <v>45356</v>
      </c>
      <c r="B1892">
        <v>30</v>
      </c>
      <c r="C1892">
        <v>56</v>
      </c>
    </row>
    <row r="1893" spans="1:3" x14ac:dyDescent="0.3">
      <c r="A1893" s="1">
        <v>45357</v>
      </c>
      <c r="B1893">
        <v>26</v>
      </c>
      <c r="C1893">
        <v>50</v>
      </c>
    </row>
    <row r="1894" spans="1:3" x14ac:dyDescent="0.3">
      <c r="A1894" s="1">
        <v>45358</v>
      </c>
      <c r="B1894">
        <v>46</v>
      </c>
      <c r="C1894">
        <v>56</v>
      </c>
    </row>
    <row r="1895" spans="1:3" x14ac:dyDescent="0.3">
      <c r="A1895" s="1">
        <v>45359</v>
      </c>
      <c r="B1895">
        <v>39</v>
      </c>
      <c r="C1895">
        <v>70</v>
      </c>
    </row>
    <row r="1896" spans="1:3" x14ac:dyDescent="0.3">
      <c r="A1896" s="1">
        <v>45360</v>
      </c>
      <c r="B1896">
        <v>36</v>
      </c>
      <c r="C1896">
        <v>50</v>
      </c>
    </row>
    <row r="1897" spans="1:3" x14ac:dyDescent="0.3">
      <c r="A1897" s="1">
        <v>45361</v>
      </c>
      <c r="B1897">
        <v>33</v>
      </c>
      <c r="C1897">
        <v>52</v>
      </c>
    </row>
    <row r="1898" spans="1:3" x14ac:dyDescent="0.3">
      <c r="A1898" s="1">
        <v>45362</v>
      </c>
      <c r="B1898">
        <v>43</v>
      </c>
      <c r="C1898">
        <v>64</v>
      </c>
    </row>
    <row r="1899" spans="1:3" x14ac:dyDescent="0.3">
      <c r="A1899" s="1">
        <v>45363</v>
      </c>
      <c r="B1899">
        <v>49</v>
      </c>
      <c r="C1899">
        <v>73</v>
      </c>
    </row>
    <row r="1900" spans="1:3" x14ac:dyDescent="0.3">
      <c r="A1900" s="1">
        <v>45364</v>
      </c>
      <c r="B1900">
        <v>38</v>
      </c>
      <c r="C1900">
        <v>60</v>
      </c>
    </row>
    <row r="1901" spans="1:3" x14ac:dyDescent="0.3">
      <c r="A1901" s="1">
        <v>45365</v>
      </c>
      <c r="B1901">
        <v>51</v>
      </c>
      <c r="C1901">
        <v>72</v>
      </c>
    </row>
    <row r="1902" spans="1:3" x14ac:dyDescent="0.3">
      <c r="A1902" s="1">
        <v>45366</v>
      </c>
      <c r="B1902">
        <v>43</v>
      </c>
      <c r="C1902">
        <v>65</v>
      </c>
    </row>
    <row r="1903" spans="1:3" x14ac:dyDescent="0.3">
      <c r="A1903" s="1">
        <v>45367</v>
      </c>
      <c r="B1903">
        <v>48</v>
      </c>
      <c r="C1903">
        <v>73</v>
      </c>
    </row>
    <row r="1904" spans="1:3" x14ac:dyDescent="0.3">
      <c r="A1904" s="1">
        <v>45368</v>
      </c>
      <c r="B1904">
        <v>36</v>
      </c>
      <c r="C1904">
        <v>62</v>
      </c>
    </row>
    <row r="1905" spans="1:3" x14ac:dyDescent="0.3">
      <c r="A1905" s="1">
        <v>45369</v>
      </c>
      <c r="B1905">
        <v>53</v>
      </c>
      <c r="C1905">
        <v>64</v>
      </c>
    </row>
    <row r="1906" spans="1:3" x14ac:dyDescent="0.3">
      <c r="A1906" s="1">
        <v>45370</v>
      </c>
      <c r="B1906">
        <v>57</v>
      </c>
      <c r="C1906">
        <v>54</v>
      </c>
    </row>
    <row r="1907" spans="1:3" x14ac:dyDescent="0.3">
      <c r="A1907" s="1">
        <v>45371</v>
      </c>
      <c r="B1907">
        <v>49</v>
      </c>
      <c r="C1907">
        <v>79</v>
      </c>
    </row>
    <row r="1908" spans="1:3" x14ac:dyDescent="0.3">
      <c r="A1908" s="1">
        <v>45372</v>
      </c>
      <c r="B1908">
        <v>46</v>
      </c>
      <c r="C1908">
        <v>72</v>
      </c>
    </row>
    <row r="1909" spans="1:3" x14ac:dyDescent="0.3">
      <c r="A1909" s="1">
        <v>45373</v>
      </c>
      <c r="B1909">
        <v>43</v>
      </c>
      <c r="C1909">
        <v>57</v>
      </c>
    </row>
    <row r="1910" spans="1:3" x14ac:dyDescent="0.3">
      <c r="A1910" s="1">
        <v>45374</v>
      </c>
      <c r="B1910">
        <v>50</v>
      </c>
      <c r="C1910">
        <v>55</v>
      </c>
    </row>
    <row r="1911" spans="1:3" x14ac:dyDescent="0.3">
      <c r="A1911" s="1">
        <v>45375</v>
      </c>
      <c r="B1911">
        <v>39</v>
      </c>
      <c r="C1911">
        <v>56</v>
      </c>
    </row>
    <row r="1912" spans="1:3" x14ac:dyDescent="0.3">
      <c r="A1912" s="1">
        <v>45376</v>
      </c>
      <c r="B1912">
        <v>42</v>
      </c>
      <c r="C1912">
        <v>63</v>
      </c>
    </row>
    <row r="1913" spans="1:3" x14ac:dyDescent="0.3">
      <c r="A1913" s="1">
        <v>45377</v>
      </c>
      <c r="B1913">
        <v>36</v>
      </c>
      <c r="C1913">
        <v>57</v>
      </c>
    </row>
    <row r="1914" spans="1:3" x14ac:dyDescent="0.3">
      <c r="A1914" s="1">
        <v>45378</v>
      </c>
      <c r="B1914">
        <v>39</v>
      </c>
      <c r="C1914">
        <v>61</v>
      </c>
    </row>
    <row r="1915" spans="1:3" x14ac:dyDescent="0.3">
      <c r="A1915" s="1">
        <v>45379</v>
      </c>
      <c r="B1915">
        <v>36</v>
      </c>
      <c r="C1915">
        <v>59</v>
      </c>
    </row>
    <row r="1916" spans="1:3" x14ac:dyDescent="0.3">
      <c r="A1916" s="1">
        <v>45380</v>
      </c>
      <c r="B1916">
        <v>32</v>
      </c>
      <c r="C1916">
        <v>65</v>
      </c>
    </row>
    <row r="1917" spans="1:3" x14ac:dyDescent="0.3">
      <c r="A1917" s="1">
        <v>45381</v>
      </c>
      <c r="B1917">
        <v>47</v>
      </c>
      <c r="C1917">
        <v>59</v>
      </c>
    </row>
    <row r="1918" spans="1:3" x14ac:dyDescent="0.3">
      <c r="A1918" s="1">
        <v>45382</v>
      </c>
      <c r="B1918">
        <v>32</v>
      </c>
      <c r="C1918">
        <v>64</v>
      </c>
    </row>
    <row r="1919" spans="1:3" x14ac:dyDescent="0.3">
      <c r="A1919" s="1">
        <v>45383</v>
      </c>
      <c r="B1919">
        <v>38</v>
      </c>
      <c r="C1919">
        <v>65</v>
      </c>
    </row>
    <row r="1920" spans="1:3" x14ac:dyDescent="0.3">
      <c r="A1920" s="1">
        <v>45384</v>
      </c>
      <c r="B1920">
        <v>56</v>
      </c>
      <c r="C1920">
        <v>67</v>
      </c>
    </row>
    <row r="1921" spans="1:3" x14ac:dyDescent="0.3">
      <c r="A1921" s="1">
        <v>45385</v>
      </c>
      <c r="B1921">
        <v>52</v>
      </c>
      <c r="C1921">
        <v>54</v>
      </c>
    </row>
    <row r="1922" spans="1:3" x14ac:dyDescent="0.3">
      <c r="A1922" s="1">
        <v>45386</v>
      </c>
      <c r="B1922">
        <v>43</v>
      </c>
      <c r="C1922">
        <v>73</v>
      </c>
    </row>
    <row r="1923" spans="1:3" x14ac:dyDescent="0.3">
      <c r="A1923" s="1">
        <v>45387</v>
      </c>
      <c r="B1923">
        <v>45</v>
      </c>
      <c r="C1923">
        <v>66</v>
      </c>
    </row>
    <row r="1924" spans="1:3" x14ac:dyDescent="0.3">
      <c r="A1924" s="1">
        <v>45388</v>
      </c>
      <c r="B1924">
        <v>54</v>
      </c>
      <c r="C1924">
        <v>77</v>
      </c>
    </row>
    <row r="1925" spans="1:3" x14ac:dyDescent="0.3">
      <c r="A1925" s="1">
        <v>45389</v>
      </c>
      <c r="B1925">
        <v>45</v>
      </c>
      <c r="C1925">
        <v>56</v>
      </c>
    </row>
    <row r="1926" spans="1:3" x14ac:dyDescent="0.3">
      <c r="A1926" s="1">
        <v>45390</v>
      </c>
      <c r="B1926">
        <v>43</v>
      </c>
      <c r="C1926">
        <v>67</v>
      </c>
    </row>
    <row r="1927" spans="1:3" x14ac:dyDescent="0.3">
      <c r="A1927" s="1">
        <v>45391</v>
      </c>
      <c r="B1927">
        <v>47</v>
      </c>
      <c r="C1927">
        <v>65</v>
      </c>
    </row>
    <row r="1928" spans="1:3" x14ac:dyDescent="0.3">
      <c r="A1928" s="1">
        <v>45392</v>
      </c>
      <c r="B1928">
        <v>39</v>
      </c>
      <c r="C1928">
        <v>69</v>
      </c>
    </row>
    <row r="1929" spans="1:3" x14ac:dyDescent="0.3">
      <c r="A1929" s="1">
        <v>45393</v>
      </c>
      <c r="B1929">
        <v>43</v>
      </c>
      <c r="C1929">
        <v>59</v>
      </c>
    </row>
    <row r="1930" spans="1:3" x14ac:dyDescent="0.3">
      <c r="A1930" s="1">
        <v>45394</v>
      </c>
      <c r="B1930">
        <v>50</v>
      </c>
      <c r="C1930">
        <v>58</v>
      </c>
    </row>
    <row r="1931" spans="1:3" x14ac:dyDescent="0.3">
      <c r="A1931" s="1">
        <v>45395</v>
      </c>
      <c r="B1931">
        <v>38</v>
      </c>
      <c r="C1931">
        <v>73</v>
      </c>
    </row>
    <row r="1932" spans="1:3" x14ac:dyDescent="0.3">
      <c r="A1932" s="1">
        <v>45396</v>
      </c>
      <c r="B1932">
        <v>33</v>
      </c>
      <c r="C1932">
        <v>67</v>
      </c>
    </row>
    <row r="1933" spans="1:3" x14ac:dyDescent="0.3">
      <c r="A1933" s="1">
        <v>45397</v>
      </c>
      <c r="B1933">
        <v>42</v>
      </c>
      <c r="C1933">
        <v>62</v>
      </c>
    </row>
    <row r="1934" spans="1:3" x14ac:dyDescent="0.3">
      <c r="A1934" s="1">
        <v>45398</v>
      </c>
      <c r="B1934">
        <v>33</v>
      </c>
      <c r="C1934">
        <v>49</v>
      </c>
    </row>
    <row r="1935" spans="1:3" x14ac:dyDescent="0.3">
      <c r="A1935" s="1">
        <v>45399</v>
      </c>
      <c r="B1935">
        <v>30</v>
      </c>
      <c r="C1935">
        <v>49</v>
      </c>
    </row>
    <row r="1936" spans="1:3" x14ac:dyDescent="0.3">
      <c r="A1936" s="1">
        <v>45400</v>
      </c>
      <c r="B1936">
        <v>30</v>
      </c>
      <c r="C1936">
        <v>55</v>
      </c>
    </row>
    <row r="1937" spans="1:3" x14ac:dyDescent="0.3">
      <c r="A1937" s="1">
        <v>45401</v>
      </c>
      <c r="B1937">
        <v>38</v>
      </c>
      <c r="C1937">
        <v>73</v>
      </c>
    </row>
    <row r="1938" spans="1:3" x14ac:dyDescent="0.3">
      <c r="A1938" s="1">
        <v>45402</v>
      </c>
      <c r="B1938">
        <v>46</v>
      </c>
      <c r="C1938">
        <v>65</v>
      </c>
    </row>
    <row r="1939" spans="1:3" x14ac:dyDescent="0.3">
      <c r="A1939" s="1">
        <v>45403</v>
      </c>
      <c r="B1939">
        <v>36</v>
      </c>
      <c r="C1939">
        <v>74</v>
      </c>
    </row>
    <row r="1940" spans="1:3" x14ac:dyDescent="0.3">
      <c r="A1940" s="1">
        <v>45404</v>
      </c>
      <c r="B1940">
        <v>37</v>
      </c>
      <c r="C1940">
        <v>65</v>
      </c>
    </row>
    <row r="1941" spans="1:3" x14ac:dyDescent="0.3">
      <c r="A1941" s="1">
        <v>45405</v>
      </c>
      <c r="B1941">
        <v>50</v>
      </c>
      <c r="C1941">
        <v>70</v>
      </c>
    </row>
    <row r="1942" spans="1:3" x14ac:dyDescent="0.3">
      <c r="A1942" s="1">
        <v>45406</v>
      </c>
      <c r="B1942">
        <v>46</v>
      </c>
      <c r="C1942">
        <v>56</v>
      </c>
    </row>
    <row r="1943" spans="1:3" x14ac:dyDescent="0.3">
      <c r="A1943" s="1">
        <v>45407</v>
      </c>
      <c r="B1943">
        <v>40</v>
      </c>
      <c r="C1943">
        <v>54</v>
      </c>
    </row>
    <row r="1944" spans="1:3" x14ac:dyDescent="0.3">
      <c r="A1944" s="1">
        <v>45408</v>
      </c>
      <c r="B1944">
        <v>46</v>
      </c>
      <c r="C1944">
        <v>57</v>
      </c>
    </row>
    <row r="1945" spans="1:3" x14ac:dyDescent="0.3">
      <c r="A1945" s="1">
        <v>45409</v>
      </c>
      <c r="B1945">
        <v>42</v>
      </c>
      <c r="C1945">
        <v>70</v>
      </c>
    </row>
    <row r="1946" spans="1:3" x14ac:dyDescent="0.3">
      <c r="A1946" s="1">
        <v>45410</v>
      </c>
      <c r="B1946">
        <v>32</v>
      </c>
      <c r="C1946">
        <v>58</v>
      </c>
    </row>
    <row r="1947" spans="1:3" x14ac:dyDescent="0.3">
      <c r="A1947" s="1">
        <v>45411</v>
      </c>
      <c r="B1947">
        <v>38</v>
      </c>
      <c r="C1947">
        <v>59</v>
      </c>
    </row>
    <row r="1948" spans="1:3" x14ac:dyDescent="0.3">
      <c r="A1948" s="1">
        <v>45412</v>
      </c>
      <c r="B1948">
        <v>49</v>
      </c>
      <c r="C1948">
        <v>72</v>
      </c>
    </row>
    <row r="1949" spans="1:3" x14ac:dyDescent="0.3">
      <c r="A1949" s="1">
        <v>45413</v>
      </c>
      <c r="B1949">
        <v>44</v>
      </c>
      <c r="C1949">
        <v>66</v>
      </c>
    </row>
    <row r="1950" spans="1:3" x14ac:dyDescent="0.3">
      <c r="A1950" s="1">
        <v>45414</v>
      </c>
      <c r="B1950">
        <v>31</v>
      </c>
      <c r="C1950">
        <v>45</v>
      </c>
    </row>
    <row r="1951" spans="1:3" x14ac:dyDescent="0.3">
      <c r="A1951" s="1">
        <v>45415</v>
      </c>
      <c r="B1951">
        <v>35</v>
      </c>
      <c r="C1951">
        <v>53</v>
      </c>
    </row>
    <row r="1952" spans="1:3" x14ac:dyDescent="0.3">
      <c r="A1952" s="1">
        <v>45416</v>
      </c>
      <c r="B1952">
        <v>44</v>
      </c>
      <c r="C1952">
        <v>87</v>
      </c>
    </row>
    <row r="1953" spans="1:3" x14ac:dyDescent="0.3">
      <c r="A1953" s="1">
        <v>45417</v>
      </c>
      <c r="B1953">
        <v>41</v>
      </c>
      <c r="C1953">
        <v>68</v>
      </c>
    </row>
    <row r="1954" spans="1:3" x14ac:dyDescent="0.3">
      <c r="A1954" s="1">
        <v>45418</v>
      </c>
      <c r="B1954">
        <v>43</v>
      </c>
      <c r="C1954">
        <v>61</v>
      </c>
    </row>
    <row r="1955" spans="1:3" x14ac:dyDescent="0.3">
      <c r="A1955" s="1">
        <v>45419</v>
      </c>
      <c r="B1955">
        <v>39</v>
      </c>
      <c r="C1955">
        <v>68</v>
      </c>
    </row>
    <row r="1956" spans="1:3" x14ac:dyDescent="0.3">
      <c r="A1956" s="1">
        <v>45420</v>
      </c>
      <c r="B1956">
        <v>50</v>
      </c>
      <c r="C1956">
        <v>54</v>
      </c>
    </row>
    <row r="1957" spans="1:3" x14ac:dyDescent="0.3">
      <c r="A1957" s="1">
        <v>45421</v>
      </c>
      <c r="B1957">
        <v>39</v>
      </c>
      <c r="C1957">
        <v>63</v>
      </c>
    </row>
    <row r="1958" spans="1:3" x14ac:dyDescent="0.3">
      <c r="A1958" s="1">
        <v>45422</v>
      </c>
      <c r="B1958">
        <v>47</v>
      </c>
      <c r="C1958">
        <v>53</v>
      </c>
    </row>
    <row r="1959" spans="1:3" x14ac:dyDescent="0.3">
      <c r="A1959" s="1">
        <v>45423</v>
      </c>
      <c r="B1959">
        <v>53</v>
      </c>
      <c r="C1959">
        <v>68</v>
      </c>
    </row>
    <row r="1960" spans="1:3" x14ac:dyDescent="0.3">
      <c r="A1960" s="1">
        <v>45424</v>
      </c>
      <c r="B1960">
        <v>41</v>
      </c>
      <c r="C1960">
        <v>66</v>
      </c>
    </row>
    <row r="1961" spans="1:3" x14ac:dyDescent="0.3">
      <c r="A1961" s="1">
        <v>45425</v>
      </c>
      <c r="B1961">
        <v>48</v>
      </c>
      <c r="C1961">
        <v>74</v>
      </c>
    </row>
    <row r="1962" spans="1:3" x14ac:dyDescent="0.3">
      <c r="A1962" s="1">
        <v>45426</v>
      </c>
      <c r="B1962">
        <v>40</v>
      </c>
      <c r="C1962">
        <v>67</v>
      </c>
    </row>
    <row r="1963" spans="1:3" x14ac:dyDescent="0.3">
      <c r="A1963" s="1">
        <v>45427</v>
      </c>
      <c r="B1963">
        <v>48</v>
      </c>
      <c r="C1963">
        <v>71</v>
      </c>
    </row>
    <row r="1964" spans="1:3" x14ac:dyDescent="0.3">
      <c r="A1964" s="1">
        <v>45428</v>
      </c>
      <c r="B1964">
        <v>43</v>
      </c>
      <c r="C1964">
        <v>64</v>
      </c>
    </row>
    <row r="1965" spans="1:3" x14ac:dyDescent="0.3">
      <c r="A1965" s="1">
        <v>45429</v>
      </c>
      <c r="B1965">
        <v>47</v>
      </c>
      <c r="C1965">
        <v>55</v>
      </c>
    </row>
    <row r="1966" spans="1:3" x14ac:dyDescent="0.3">
      <c r="A1966" s="1">
        <v>45430</v>
      </c>
      <c r="B1966">
        <v>54</v>
      </c>
      <c r="C1966">
        <v>71</v>
      </c>
    </row>
    <row r="1967" spans="1:3" x14ac:dyDescent="0.3">
      <c r="A1967" s="1">
        <v>45431</v>
      </c>
      <c r="B1967">
        <v>43</v>
      </c>
      <c r="C1967">
        <v>61</v>
      </c>
    </row>
    <row r="1968" spans="1:3" x14ac:dyDescent="0.3">
      <c r="A1968" s="1">
        <v>45432</v>
      </c>
      <c r="B1968">
        <v>43</v>
      </c>
      <c r="C1968">
        <v>60</v>
      </c>
    </row>
    <row r="1969" spans="1:3" x14ac:dyDescent="0.3">
      <c r="A1969" s="1">
        <v>45433</v>
      </c>
      <c r="B1969">
        <v>37</v>
      </c>
      <c r="C1969">
        <v>69</v>
      </c>
    </row>
    <row r="1970" spans="1:3" x14ac:dyDescent="0.3">
      <c r="A1970" s="1">
        <v>45434</v>
      </c>
      <c r="B1970">
        <v>46</v>
      </c>
      <c r="C1970">
        <v>61</v>
      </c>
    </row>
    <row r="1971" spans="1:3" x14ac:dyDescent="0.3">
      <c r="A1971" s="1">
        <v>45435</v>
      </c>
      <c r="B1971">
        <v>39</v>
      </c>
      <c r="C1971">
        <v>68</v>
      </c>
    </row>
    <row r="1972" spans="1:3" x14ac:dyDescent="0.3">
      <c r="A1972" s="1">
        <v>45436</v>
      </c>
      <c r="B1972">
        <v>50</v>
      </c>
      <c r="C1972">
        <v>72</v>
      </c>
    </row>
    <row r="1973" spans="1:3" x14ac:dyDescent="0.3">
      <c r="A1973" s="1">
        <v>45437</v>
      </c>
      <c r="B1973">
        <v>40</v>
      </c>
      <c r="C1973">
        <v>67</v>
      </c>
    </row>
    <row r="1974" spans="1:3" x14ac:dyDescent="0.3">
      <c r="A1974" s="1">
        <v>45438</v>
      </c>
      <c r="B1974">
        <v>45</v>
      </c>
      <c r="C1974">
        <v>76</v>
      </c>
    </row>
    <row r="1975" spans="1:3" x14ac:dyDescent="0.3">
      <c r="A1975" s="1">
        <v>45439</v>
      </c>
      <c r="B1975">
        <v>39</v>
      </c>
      <c r="C1975">
        <v>57</v>
      </c>
    </row>
    <row r="1976" spans="1:3" x14ac:dyDescent="0.3">
      <c r="A1976" s="1">
        <v>45440</v>
      </c>
      <c r="B1976">
        <v>45</v>
      </c>
      <c r="C1976">
        <v>76</v>
      </c>
    </row>
    <row r="1977" spans="1:3" x14ac:dyDescent="0.3">
      <c r="A1977" s="1">
        <v>45441</v>
      </c>
      <c r="B1977">
        <v>51</v>
      </c>
      <c r="C1977">
        <v>62</v>
      </c>
    </row>
    <row r="1978" spans="1:3" x14ac:dyDescent="0.3">
      <c r="A1978" s="1">
        <v>45442</v>
      </c>
      <c r="B1978">
        <v>42</v>
      </c>
      <c r="C1978">
        <v>63</v>
      </c>
    </row>
    <row r="1979" spans="1:3" x14ac:dyDescent="0.3">
      <c r="A1979" s="1">
        <v>45443</v>
      </c>
      <c r="B1979">
        <v>43</v>
      </c>
      <c r="C1979">
        <v>55</v>
      </c>
    </row>
    <row r="1980" spans="1:3" x14ac:dyDescent="0.3">
      <c r="A1980" s="1">
        <v>45444</v>
      </c>
      <c r="B1980">
        <v>38</v>
      </c>
      <c r="C1980">
        <v>66</v>
      </c>
    </row>
    <row r="1981" spans="1:3" x14ac:dyDescent="0.3">
      <c r="A1981" s="1">
        <v>45445</v>
      </c>
      <c r="B1981">
        <v>36</v>
      </c>
      <c r="C1981">
        <v>81</v>
      </c>
    </row>
    <row r="1982" spans="1:3" x14ac:dyDescent="0.3">
      <c r="A1982" s="1">
        <v>45446</v>
      </c>
      <c r="B1982">
        <v>41</v>
      </c>
      <c r="C1982">
        <v>59</v>
      </c>
    </row>
    <row r="1983" spans="1:3" x14ac:dyDescent="0.3">
      <c r="A1983" s="1">
        <v>45447</v>
      </c>
      <c r="B1983">
        <v>46</v>
      </c>
      <c r="C1983">
        <v>59</v>
      </c>
    </row>
    <row r="1984" spans="1:3" x14ac:dyDescent="0.3">
      <c r="A1984" s="1">
        <v>45448</v>
      </c>
      <c r="B1984">
        <v>51</v>
      </c>
      <c r="C1984">
        <v>59</v>
      </c>
    </row>
    <row r="1985" spans="1:3" x14ac:dyDescent="0.3">
      <c r="A1985" s="1">
        <v>45449</v>
      </c>
      <c r="B1985">
        <v>55</v>
      </c>
      <c r="C1985">
        <v>58</v>
      </c>
    </row>
    <row r="1986" spans="1:3" x14ac:dyDescent="0.3">
      <c r="A1986" s="1">
        <v>45450</v>
      </c>
      <c r="B1986">
        <v>48</v>
      </c>
      <c r="C1986">
        <v>67</v>
      </c>
    </row>
    <row r="1987" spans="1:3" x14ac:dyDescent="0.3">
      <c r="A1987" s="1">
        <v>45451</v>
      </c>
      <c r="B1987">
        <v>33</v>
      </c>
      <c r="C1987">
        <v>67</v>
      </c>
    </row>
    <row r="1988" spans="1:3" x14ac:dyDescent="0.3">
      <c r="A1988" s="1">
        <v>45452</v>
      </c>
      <c r="B1988">
        <v>37</v>
      </c>
      <c r="C1988">
        <v>76</v>
      </c>
    </row>
    <row r="1989" spans="1:3" x14ac:dyDescent="0.3">
      <c r="A1989" s="1">
        <v>45453</v>
      </c>
      <c r="B1989">
        <v>48</v>
      </c>
      <c r="C1989">
        <v>61</v>
      </c>
    </row>
    <row r="1990" spans="1:3" x14ac:dyDescent="0.3">
      <c r="A1990" s="1">
        <v>45454</v>
      </c>
      <c r="B1990">
        <v>47</v>
      </c>
      <c r="C1990">
        <v>70</v>
      </c>
    </row>
    <row r="1991" spans="1:3" x14ac:dyDescent="0.3">
      <c r="A1991" s="1">
        <v>45455</v>
      </c>
      <c r="B1991">
        <v>54</v>
      </c>
      <c r="C1991">
        <v>65</v>
      </c>
    </row>
    <row r="1992" spans="1:3" x14ac:dyDescent="0.3">
      <c r="A1992" s="1">
        <v>45456</v>
      </c>
      <c r="B1992">
        <v>62</v>
      </c>
      <c r="C1992">
        <v>55</v>
      </c>
    </row>
    <row r="1993" spans="1:3" x14ac:dyDescent="0.3">
      <c r="A1993" s="1">
        <v>45457</v>
      </c>
      <c r="B1993">
        <v>39</v>
      </c>
      <c r="C1993">
        <v>59</v>
      </c>
    </row>
    <row r="1994" spans="1:3" x14ac:dyDescent="0.3">
      <c r="A1994" s="1">
        <v>45458</v>
      </c>
      <c r="B1994">
        <v>47</v>
      </c>
      <c r="C1994">
        <v>64</v>
      </c>
    </row>
    <row r="1995" spans="1:3" x14ac:dyDescent="0.3">
      <c r="A1995" s="1">
        <v>45459</v>
      </c>
      <c r="B1995">
        <v>39</v>
      </c>
      <c r="C1995">
        <v>57</v>
      </c>
    </row>
    <row r="1996" spans="1:3" x14ac:dyDescent="0.3">
      <c r="A1996" s="1">
        <v>45460</v>
      </c>
      <c r="B1996">
        <v>34</v>
      </c>
      <c r="C1996">
        <v>69</v>
      </c>
    </row>
    <row r="1997" spans="1:3" x14ac:dyDescent="0.3">
      <c r="A1997" s="1">
        <v>45461</v>
      </c>
      <c r="B1997">
        <v>48</v>
      </c>
      <c r="C1997">
        <v>51</v>
      </c>
    </row>
    <row r="1998" spans="1:3" x14ac:dyDescent="0.3">
      <c r="A1998" s="1">
        <v>45462</v>
      </c>
      <c r="B1998">
        <v>46</v>
      </c>
      <c r="C1998">
        <v>68</v>
      </c>
    </row>
    <row r="1999" spans="1:3" x14ac:dyDescent="0.3">
      <c r="A1999" s="1">
        <v>45463</v>
      </c>
      <c r="B1999">
        <v>39</v>
      </c>
      <c r="C1999">
        <v>56</v>
      </c>
    </row>
    <row r="2000" spans="1:3" x14ac:dyDescent="0.3">
      <c r="A2000" s="1">
        <v>45464</v>
      </c>
      <c r="B2000">
        <v>31</v>
      </c>
      <c r="C2000">
        <v>53</v>
      </c>
    </row>
    <row r="2001" spans="1:3" x14ac:dyDescent="0.3">
      <c r="A2001" s="1">
        <v>45465</v>
      </c>
      <c r="B2001">
        <v>47</v>
      </c>
      <c r="C2001">
        <v>58</v>
      </c>
    </row>
    <row r="2002" spans="1:3" x14ac:dyDescent="0.3">
      <c r="A2002" s="1">
        <v>45466</v>
      </c>
      <c r="B2002">
        <v>48</v>
      </c>
      <c r="C2002">
        <v>61</v>
      </c>
    </row>
    <row r="2003" spans="1:3" x14ac:dyDescent="0.3">
      <c r="A2003" s="1">
        <v>45467</v>
      </c>
      <c r="B2003">
        <v>43</v>
      </c>
      <c r="C2003">
        <v>68</v>
      </c>
    </row>
    <row r="2004" spans="1:3" x14ac:dyDescent="0.3">
      <c r="A2004" s="1">
        <v>45468</v>
      </c>
      <c r="B2004">
        <v>44</v>
      </c>
      <c r="C2004">
        <v>66</v>
      </c>
    </row>
    <row r="2005" spans="1:3" x14ac:dyDescent="0.3">
      <c r="A2005" s="1">
        <v>45469</v>
      </c>
      <c r="B2005">
        <v>39</v>
      </c>
      <c r="C2005">
        <v>60</v>
      </c>
    </row>
    <row r="2006" spans="1:3" x14ac:dyDescent="0.3">
      <c r="A2006" s="1">
        <v>45470</v>
      </c>
      <c r="B2006">
        <v>39</v>
      </c>
      <c r="C2006">
        <v>76</v>
      </c>
    </row>
    <row r="2007" spans="1:3" x14ac:dyDescent="0.3">
      <c r="A2007" s="1">
        <v>45471</v>
      </c>
      <c r="B2007">
        <v>36</v>
      </c>
      <c r="C2007">
        <v>63</v>
      </c>
    </row>
    <row r="2008" spans="1:3" x14ac:dyDescent="0.3">
      <c r="A2008" s="1">
        <v>45472</v>
      </c>
      <c r="B2008">
        <v>46</v>
      </c>
      <c r="C2008">
        <v>45</v>
      </c>
    </row>
    <row r="2009" spans="1:3" x14ac:dyDescent="0.3">
      <c r="A2009" s="1">
        <v>45473</v>
      </c>
      <c r="B2009">
        <v>38</v>
      </c>
      <c r="C2009">
        <v>65</v>
      </c>
    </row>
    <row r="2010" spans="1:3" x14ac:dyDescent="0.3">
      <c r="A2010" s="1">
        <v>45474</v>
      </c>
      <c r="B2010">
        <v>45</v>
      </c>
      <c r="C2010">
        <v>49</v>
      </c>
    </row>
    <row r="2011" spans="1:3" x14ac:dyDescent="0.3">
      <c r="A2011" s="1">
        <v>45475</v>
      </c>
      <c r="B2011">
        <v>56</v>
      </c>
      <c r="C2011">
        <v>83</v>
      </c>
    </row>
    <row r="2012" spans="1:3" x14ac:dyDescent="0.3">
      <c r="A2012" s="1">
        <v>45476</v>
      </c>
      <c r="B2012">
        <v>44</v>
      </c>
      <c r="C2012">
        <v>57</v>
      </c>
    </row>
    <row r="2013" spans="1:3" x14ac:dyDescent="0.3">
      <c r="A2013" s="1">
        <v>45477</v>
      </c>
      <c r="B2013">
        <v>38</v>
      </c>
      <c r="C2013">
        <v>77</v>
      </c>
    </row>
    <row r="2014" spans="1:3" x14ac:dyDescent="0.3">
      <c r="A2014" s="1">
        <v>45478</v>
      </c>
      <c r="B2014">
        <v>38</v>
      </c>
      <c r="C2014">
        <v>46</v>
      </c>
    </row>
    <row r="2015" spans="1:3" x14ac:dyDescent="0.3">
      <c r="A2015" s="1">
        <v>45479</v>
      </c>
      <c r="B2015">
        <v>47</v>
      </c>
      <c r="C2015">
        <v>63</v>
      </c>
    </row>
    <row r="2016" spans="1:3" x14ac:dyDescent="0.3">
      <c r="A2016" s="1">
        <v>45480</v>
      </c>
      <c r="B2016">
        <v>37</v>
      </c>
      <c r="C2016">
        <v>70</v>
      </c>
    </row>
    <row r="2017" spans="1:3" x14ac:dyDescent="0.3">
      <c r="A2017" s="1">
        <v>45481</v>
      </c>
      <c r="B2017">
        <v>40</v>
      </c>
      <c r="C2017">
        <v>62</v>
      </c>
    </row>
    <row r="2018" spans="1:3" x14ac:dyDescent="0.3">
      <c r="A2018" s="1">
        <v>45482</v>
      </c>
      <c r="B2018">
        <v>52</v>
      </c>
      <c r="C2018">
        <v>77</v>
      </c>
    </row>
    <row r="2019" spans="1:3" x14ac:dyDescent="0.3">
      <c r="A2019" s="1">
        <v>45483</v>
      </c>
      <c r="B2019">
        <v>41</v>
      </c>
      <c r="C2019">
        <v>64</v>
      </c>
    </row>
    <row r="2020" spans="1:3" x14ac:dyDescent="0.3">
      <c r="A2020" s="1">
        <v>45484</v>
      </c>
      <c r="B2020">
        <v>54</v>
      </c>
      <c r="C2020">
        <v>70</v>
      </c>
    </row>
    <row r="2021" spans="1:3" x14ac:dyDescent="0.3">
      <c r="A2021" s="1">
        <v>45485</v>
      </c>
      <c r="B2021">
        <v>38</v>
      </c>
      <c r="C2021">
        <v>67</v>
      </c>
    </row>
    <row r="2022" spans="1:3" x14ac:dyDescent="0.3">
      <c r="A2022" s="1">
        <v>45486</v>
      </c>
      <c r="B2022">
        <v>51</v>
      </c>
      <c r="C2022">
        <v>69</v>
      </c>
    </row>
    <row r="2023" spans="1:3" x14ac:dyDescent="0.3">
      <c r="A2023" s="1">
        <v>45487</v>
      </c>
      <c r="B2023">
        <v>37</v>
      </c>
      <c r="C2023">
        <v>63</v>
      </c>
    </row>
    <row r="2024" spans="1:3" x14ac:dyDescent="0.3">
      <c r="A2024" s="1">
        <v>45488</v>
      </c>
      <c r="B2024">
        <v>34</v>
      </c>
      <c r="C2024">
        <v>70</v>
      </c>
    </row>
    <row r="2025" spans="1:3" x14ac:dyDescent="0.3">
      <c r="A2025" s="1">
        <v>45489</v>
      </c>
      <c r="B2025">
        <v>45</v>
      </c>
      <c r="C2025">
        <v>66</v>
      </c>
    </row>
    <row r="2026" spans="1:3" x14ac:dyDescent="0.3">
      <c r="A2026" s="1">
        <v>45490</v>
      </c>
      <c r="B2026">
        <v>49</v>
      </c>
      <c r="C2026">
        <v>70</v>
      </c>
    </row>
    <row r="2027" spans="1:3" x14ac:dyDescent="0.3">
      <c r="A2027" s="1">
        <v>45491</v>
      </c>
      <c r="B2027">
        <v>40</v>
      </c>
      <c r="C2027">
        <v>64</v>
      </c>
    </row>
    <row r="2028" spans="1:3" x14ac:dyDescent="0.3">
      <c r="A2028" s="1">
        <v>45492</v>
      </c>
      <c r="B2028">
        <v>38</v>
      </c>
      <c r="C2028">
        <v>61</v>
      </c>
    </row>
    <row r="2029" spans="1:3" x14ac:dyDescent="0.3">
      <c r="A2029" s="1">
        <v>45493</v>
      </c>
      <c r="B2029">
        <v>41</v>
      </c>
      <c r="C2029">
        <v>54</v>
      </c>
    </row>
    <row r="2030" spans="1:3" x14ac:dyDescent="0.3">
      <c r="A2030" s="1">
        <v>45494</v>
      </c>
      <c r="B2030">
        <v>42</v>
      </c>
      <c r="C2030">
        <v>63</v>
      </c>
    </row>
    <row r="2031" spans="1:3" x14ac:dyDescent="0.3">
      <c r="A2031" s="1">
        <v>45495</v>
      </c>
      <c r="B2031">
        <v>38</v>
      </c>
      <c r="C2031">
        <v>58</v>
      </c>
    </row>
    <row r="2032" spans="1:3" x14ac:dyDescent="0.3">
      <c r="A2032" s="1">
        <v>45496</v>
      </c>
      <c r="B2032">
        <v>45</v>
      </c>
      <c r="C2032">
        <v>57</v>
      </c>
    </row>
    <row r="2033" spans="1:3" x14ac:dyDescent="0.3">
      <c r="A2033" s="1">
        <v>45497</v>
      </c>
      <c r="B2033">
        <v>37</v>
      </c>
      <c r="C2033">
        <v>69</v>
      </c>
    </row>
    <row r="2034" spans="1:3" x14ac:dyDescent="0.3">
      <c r="A2034" s="1">
        <v>45498</v>
      </c>
      <c r="B2034">
        <v>41</v>
      </c>
      <c r="C2034">
        <v>69</v>
      </c>
    </row>
    <row r="2035" spans="1:3" x14ac:dyDescent="0.3">
      <c r="A2035" s="1">
        <v>45499</v>
      </c>
      <c r="B2035">
        <v>39</v>
      </c>
      <c r="C2035">
        <v>51</v>
      </c>
    </row>
    <row r="2036" spans="1:3" x14ac:dyDescent="0.3">
      <c r="A2036" s="1">
        <v>45500</v>
      </c>
      <c r="B2036">
        <v>43</v>
      </c>
      <c r="C2036">
        <v>61</v>
      </c>
    </row>
    <row r="2037" spans="1:3" x14ac:dyDescent="0.3">
      <c r="A2037" s="1">
        <v>45501</v>
      </c>
      <c r="B2037">
        <v>48</v>
      </c>
      <c r="C2037">
        <v>63</v>
      </c>
    </row>
    <row r="2038" spans="1:3" x14ac:dyDescent="0.3">
      <c r="A2038" s="1">
        <v>45502</v>
      </c>
      <c r="B2038">
        <v>43</v>
      </c>
      <c r="C2038">
        <v>69</v>
      </c>
    </row>
    <row r="2039" spans="1:3" x14ac:dyDescent="0.3">
      <c r="A2039" s="1">
        <v>45503</v>
      </c>
      <c r="B2039">
        <v>45</v>
      </c>
      <c r="C2039">
        <v>47</v>
      </c>
    </row>
    <row r="2040" spans="1:3" x14ac:dyDescent="0.3">
      <c r="A2040" s="1">
        <v>45504</v>
      </c>
      <c r="B2040">
        <v>35</v>
      </c>
      <c r="C2040">
        <v>73</v>
      </c>
    </row>
    <row r="2041" spans="1:3" x14ac:dyDescent="0.3">
      <c r="A2041" s="1">
        <v>45505</v>
      </c>
      <c r="B2041">
        <v>43</v>
      </c>
      <c r="C2041">
        <v>52</v>
      </c>
    </row>
    <row r="2042" spans="1:3" x14ac:dyDescent="0.3">
      <c r="A2042" s="1">
        <v>45506</v>
      </c>
      <c r="B2042">
        <v>38</v>
      </c>
      <c r="C2042">
        <v>60</v>
      </c>
    </row>
    <row r="2043" spans="1:3" x14ac:dyDescent="0.3">
      <c r="A2043" s="1">
        <v>45507</v>
      </c>
      <c r="B2043">
        <v>46</v>
      </c>
      <c r="C2043">
        <v>66</v>
      </c>
    </row>
    <row r="2044" spans="1:3" x14ac:dyDescent="0.3">
      <c r="A2044" s="1">
        <v>45508</v>
      </c>
      <c r="B2044">
        <v>38</v>
      </c>
      <c r="C2044">
        <v>61</v>
      </c>
    </row>
    <row r="2045" spans="1:3" x14ac:dyDescent="0.3">
      <c r="A2045" s="1">
        <v>45509</v>
      </c>
      <c r="B2045">
        <v>47</v>
      </c>
      <c r="C2045">
        <v>55</v>
      </c>
    </row>
    <row r="2046" spans="1:3" x14ac:dyDescent="0.3">
      <c r="A2046" s="1">
        <v>45510</v>
      </c>
      <c r="B2046">
        <v>44</v>
      </c>
      <c r="C2046">
        <v>66</v>
      </c>
    </row>
    <row r="2047" spans="1:3" x14ac:dyDescent="0.3">
      <c r="A2047" s="1">
        <v>45511</v>
      </c>
      <c r="B2047">
        <v>34</v>
      </c>
      <c r="C2047">
        <v>53</v>
      </c>
    </row>
    <row r="2048" spans="1:3" x14ac:dyDescent="0.3">
      <c r="A2048" s="1">
        <v>45512</v>
      </c>
      <c r="B2048">
        <v>33</v>
      </c>
      <c r="C2048">
        <v>66</v>
      </c>
    </row>
    <row r="2049" spans="1:3" x14ac:dyDescent="0.3">
      <c r="A2049" s="1">
        <v>45513</v>
      </c>
      <c r="B2049">
        <v>42</v>
      </c>
      <c r="C2049">
        <v>65</v>
      </c>
    </row>
    <row r="2050" spans="1:3" x14ac:dyDescent="0.3">
      <c r="A2050" s="1">
        <v>45514</v>
      </c>
      <c r="B2050">
        <v>40</v>
      </c>
      <c r="C2050">
        <v>76</v>
      </c>
    </row>
    <row r="2051" spans="1:3" x14ac:dyDescent="0.3">
      <c r="A2051" s="1">
        <v>45515</v>
      </c>
      <c r="B2051">
        <v>48</v>
      </c>
      <c r="C2051">
        <v>56</v>
      </c>
    </row>
    <row r="2052" spans="1:3" x14ac:dyDescent="0.3">
      <c r="A2052" s="1">
        <v>45516</v>
      </c>
      <c r="B2052">
        <v>41</v>
      </c>
      <c r="C2052">
        <v>73</v>
      </c>
    </row>
    <row r="2053" spans="1:3" x14ac:dyDescent="0.3">
      <c r="A2053" s="1">
        <v>45517</v>
      </c>
      <c r="B2053">
        <v>38</v>
      </c>
      <c r="C2053">
        <v>57</v>
      </c>
    </row>
    <row r="2054" spans="1:3" x14ac:dyDescent="0.3">
      <c r="A2054" s="1">
        <v>45518</v>
      </c>
      <c r="B2054">
        <v>38</v>
      </c>
      <c r="C2054">
        <v>56</v>
      </c>
    </row>
    <row r="2055" spans="1:3" x14ac:dyDescent="0.3">
      <c r="A2055" s="1">
        <v>45519</v>
      </c>
      <c r="B2055">
        <v>26</v>
      </c>
      <c r="C2055">
        <v>52</v>
      </c>
    </row>
    <row r="2056" spans="1:3" x14ac:dyDescent="0.3">
      <c r="A2056" s="1">
        <v>45520</v>
      </c>
      <c r="B2056">
        <v>41</v>
      </c>
      <c r="C2056">
        <v>52</v>
      </c>
    </row>
    <row r="2057" spans="1:3" x14ac:dyDescent="0.3">
      <c r="A2057" s="1">
        <v>45521</v>
      </c>
      <c r="B2057">
        <v>23</v>
      </c>
      <c r="C2057">
        <v>49</v>
      </c>
    </row>
    <row r="2058" spans="1:3" x14ac:dyDescent="0.3">
      <c r="A2058" s="1">
        <v>45522</v>
      </c>
      <c r="B2058">
        <v>23</v>
      </c>
      <c r="C2058">
        <v>54</v>
      </c>
    </row>
    <row r="2059" spans="1:3" x14ac:dyDescent="0.3">
      <c r="A2059" s="1">
        <v>45523</v>
      </c>
      <c r="B2059">
        <v>47</v>
      </c>
      <c r="C2059">
        <v>45</v>
      </c>
    </row>
    <row r="2060" spans="1:3" x14ac:dyDescent="0.3">
      <c r="A2060" s="1">
        <v>45524</v>
      </c>
      <c r="B2060">
        <v>24</v>
      </c>
      <c r="C2060">
        <v>47</v>
      </c>
    </row>
    <row r="2061" spans="1:3" x14ac:dyDescent="0.3">
      <c r="A2061" s="1">
        <v>45525</v>
      </c>
      <c r="B2061">
        <v>37</v>
      </c>
      <c r="C2061">
        <v>57</v>
      </c>
    </row>
    <row r="2062" spans="1:3" x14ac:dyDescent="0.3">
      <c r="A2062" s="1">
        <v>45526</v>
      </c>
      <c r="B2062">
        <v>45</v>
      </c>
      <c r="C2062">
        <v>54</v>
      </c>
    </row>
    <row r="2063" spans="1:3" x14ac:dyDescent="0.3">
      <c r="A2063" s="1">
        <v>45527</v>
      </c>
      <c r="B2063">
        <v>57</v>
      </c>
      <c r="C2063">
        <v>50</v>
      </c>
    </row>
    <row r="2064" spans="1:3" x14ac:dyDescent="0.3">
      <c r="A2064" s="1">
        <v>45528</v>
      </c>
      <c r="B2064">
        <v>44</v>
      </c>
      <c r="C2064">
        <v>78</v>
      </c>
    </row>
    <row r="2065" spans="1:3" x14ac:dyDescent="0.3">
      <c r="A2065" s="1">
        <v>45529</v>
      </c>
      <c r="B2065">
        <v>42</v>
      </c>
      <c r="C2065">
        <v>58</v>
      </c>
    </row>
    <row r="2066" spans="1:3" x14ac:dyDescent="0.3">
      <c r="A2066" s="1">
        <v>45530</v>
      </c>
      <c r="B2066">
        <v>53</v>
      </c>
      <c r="C2066">
        <v>73</v>
      </c>
    </row>
    <row r="2067" spans="1:3" x14ac:dyDescent="0.3">
      <c r="A2067" s="1">
        <v>45531</v>
      </c>
      <c r="B2067">
        <v>45</v>
      </c>
      <c r="C2067">
        <v>82</v>
      </c>
    </row>
    <row r="2068" spans="1:3" x14ac:dyDescent="0.3">
      <c r="A2068" s="1">
        <v>45532</v>
      </c>
      <c r="B2068">
        <v>47</v>
      </c>
      <c r="C2068">
        <v>75</v>
      </c>
    </row>
    <row r="2069" spans="1:3" x14ac:dyDescent="0.3">
      <c r="A2069" s="1">
        <v>45533</v>
      </c>
      <c r="B2069">
        <v>47</v>
      </c>
      <c r="C2069">
        <v>66</v>
      </c>
    </row>
    <row r="2070" spans="1:3" x14ac:dyDescent="0.3">
      <c r="A2070" s="1">
        <v>45534</v>
      </c>
      <c r="B2070">
        <v>36</v>
      </c>
      <c r="C2070">
        <v>66</v>
      </c>
    </row>
    <row r="2071" spans="1:3" x14ac:dyDescent="0.3">
      <c r="A2071" s="1">
        <v>45535</v>
      </c>
      <c r="B2071">
        <v>31</v>
      </c>
      <c r="C2071">
        <v>53</v>
      </c>
    </row>
    <row r="2072" spans="1:3" x14ac:dyDescent="0.3">
      <c r="A2072" s="1">
        <v>45536</v>
      </c>
      <c r="B2072">
        <v>45</v>
      </c>
      <c r="C2072">
        <v>55</v>
      </c>
    </row>
    <row r="2073" spans="1:3" x14ac:dyDescent="0.3">
      <c r="A2073" s="1">
        <v>45537</v>
      </c>
      <c r="B2073">
        <v>39</v>
      </c>
      <c r="C2073">
        <v>60</v>
      </c>
    </row>
    <row r="2074" spans="1:3" x14ac:dyDescent="0.3">
      <c r="A2074" s="1">
        <v>45538</v>
      </c>
      <c r="B2074">
        <v>48</v>
      </c>
      <c r="C2074">
        <v>87</v>
      </c>
    </row>
    <row r="2075" spans="1:3" x14ac:dyDescent="0.3">
      <c r="A2075" s="1">
        <v>45539</v>
      </c>
      <c r="B2075">
        <v>44</v>
      </c>
      <c r="C2075">
        <v>69</v>
      </c>
    </row>
    <row r="2076" spans="1:3" x14ac:dyDescent="0.3">
      <c r="A2076" s="1">
        <v>45540</v>
      </c>
      <c r="B2076">
        <v>37</v>
      </c>
      <c r="C2076">
        <v>68</v>
      </c>
    </row>
    <row r="2077" spans="1:3" x14ac:dyDescent="0.3">
      <c r="A2077" s="1">
        <v>45541</v>
      </c>
      <c r="B2077">
        <v>48</v>
      </c>
      <c r="C2077">
        <v>59</v>
      </c>
    </row>
    <row r="2078" spans="1:3" x14ac:dyDescent="0.3">
      <c r="A2078" s="1">
        <v>45542</v>
      </c>
      <c r="B2078">
        <v>42</v>
      </c>
      <c r="C2078">
        <v>70</v>
      </c>
    </row>
    <row r="2079" spans="1:3" x14ac:dyDescent="0.3">
      <c r="A2079" s="1">
        <v>45543</v>
      </c>
      <c r="B2079">
        <v>45</v>
      </c>
      <c r="C2079">
        <v>52</v>
      </c>
    </row>
    <row r="2080" spans="1:3" x14ac:dyDescent="0.3">
      <c r="A2080" s="1">
        <v>45544</v>
      </c>
      <c r="B2080">
        <v>43</v>
      </c>
      <c r="C2080">
        <v>73</v>
      </c>
    </row>
    <row r="2081" spans="1:3" x14ac:dyDescent="0.3">
      <c r="A2081" s="1">
        <v>45545</v>
      </c>
      <c r="B2081">
        <v>47</v>
      </c>
      <c r="C2081">
        <v>68</v>
      </c>
    </row>
    <row r="2082" spans="1:3" x14ac:dyDescent="0.3">
      <c r="A2082" s="1">
        <v>45546</v>
      </c>
      <c r="B2082">
        <v>39</v>
      </c>
      <c r="C2082">
        <v>63</v>
      </c>
    </row>
    <row r="2083" spans="1:3" x14ac:dyDescent="0.3">
      <c r="A2083" s="1">
        <v>45547</v>
      </c>
      <c r="B2083">
        <v>51</v>
      </c>
      <c r="C2083">
        <v>67</v>
      </c>
    </row>
    <row r="2084" spans="1:3" x14ac:dyDescent="0.3">
      <c r="A2084" s="1">
        <v>45548</v>
      </c>
      <c r="B2084">
        <v>48</v>
      </c>
      <c r="C2084">
        <v>68</v>
      </c>
    </row>
    <row r="2085" spans="1:3" x14ac:dyDescent="0.3">
      <c r="A2085" s="1">
        <v>45549</v>
      </c>
      <c r="B2085">
        <v>47</v>
      </c>
      <c r="C2085">
        <v>67</v>
      </c>
    </row>
    <row r="2086" spans="1:3" x14ac:dyDescent="0.3">
      <c r="A2086" s="1">
        <v>45550</v>
      </c>
      <c r="B2086">
        <v>57</v>
      </c>
      <c r="C2086">
        <v>60</v>
      </c>
    </row>
    <row r="2087" spans="1:3" x14ac:dyDescent="0.3">
      <c r="A2087" s="1">
        <v>45551</v>
      </c>
      <c r="B2087">
        <v>44</v>
      </c>
      <c r="C2087">
        <v>57</v>
      </c>
    </row>
    <row r="2088" spans="1:3" x14ac:dyDescent="0.3">
      <c r="A2088" s="1">
        <v>45552</v>
      </c>
      <c r="B2088">
        <v>44</v>
      </c>
      <c r="C2088">
        <v>55</v>
      </c>
    </row>
    <row r="2089" spans="1:3" x14ac:dyDescent="0.3">
      <c r="A2089" s="1">
        <v>45553</v>
      </c>
      <c r="B2089">
        <v>49</v>
      </c>
      <c r="C2089">
        <v>73</v>
      </c>
    </row>
    <row r="2090" spans="1:3" x14ac:dyDescent="0.3">
      <c r="A2090" s="1">
        <v>45554</v>
      </c>
      <c r="B2090">
        <v>34</v>
      </c>
      <c r="C2090">
        <v>65</v>
      </c>
    </row>
    <row r="2091" spans="1:3" x14ac:dyDescent="0.3">
      <c r="A2091" s="1">
        <v>45555</v>
      </c>
      <c r="B2091">
        <v>48</v>
      </c>
      <c r="C2091">
        <v>60</v>
      </c>
    </row>
    <row r="2092" spans="1:3" x14ac:dyDescent="0.3">
      <c r="A2092" s="1">
        <v>45556</v>
      </c>
      <c r="B2092">
        <v>49</v>
      </c>
      <c r="C2092">
        <v>65</v>
      </c>
    </row>
    <row r="2093" spans="1:3" x14ac:dyDescent="0.3">
      <c r="A2093" s="1">
        <v>45557</v>
      </c>
      <c r="B2093">
        <v>47</v>
      </c>
      <c r="C2093">
        <v>59</v>
      </c>
    </row>
    <row r="2094" spans="1:3" x14ac:dyDescent="0.3">
      <c r="A2094" s="1">
        <v>45558</v>
      </c>
      <c r="B2094">
        <v>46</v>
      </c>
      <c r="C2094">
        <v>78</v>
      </c>
    </row>
    <row r="2095" spans="1:3" x14ac:dyDescent="0.3">
      <c r="A2095" s="1">
        <v>45559</v>
      </c>
      <c r="B2095">
        <v>48</v>
      </c>
      <c r="C2095">
        <v>67</v>
      </c>
    </row>
    <row r="2096" spans="1:3" x14ac:dyDescent="0.3">
      <c r="A2096" s="1">
        <v>45560</v>
      </c>
      <c r="B2096">
        <v>40</v>
      </c>
      <c r="C2096">
        <v>62</v>
      </c>
    </row>
    <row r="2097" spans="1:3" x14ac:dyDescent="0.3">
      <c r="A2097" s="1">
        <v>45561</v>
      </c>
      <c r="B2097">
        <v>43</v>
      </c>
      <c r="C2097">
        <v>55</v>
      </c>
    </row>
    <row r="2098" spans="1:3" x14ac:dyDescent="0.3">
      <c r="A2098" s="1">
        <v>45562</v>
      </c>
      <c r="B2098">
        <v>56</v>
      </c>
      <c r="C2098">
        <v>59</v>
      </c>
    </row>
    <row r="2099" spans="1:3" x14ac:dyDescent="0.3">
      <c r="A2099" s="1">
        <v>45563</v>
      </c>
      <c r="B2099">
        <v>53</v>
      </c>
      <c r="C2099">
        <v>68</v>
      </c>
    </row>
    <row r="2100" spans="1:3" x14ac:dyDescent="0.3">
      <c r="A2100" s="1">
        <v>45564</v>
      </c>
      <c r="B2100">
        <v>37</v>
      </c>
      <c r="C2100">
        <v>49</v>
      </c>
    </row>
    <row r="2101" spans="1:3" x14ac:dyDescent="0.3">
      <c r="A2101" s="1">
        <v>45565</v>
      </c>
      <c r="B2101">
        <v>41</v>
      </c>
      <c r="C2101">
        <v>45</v>
      </c>
    </row>
    <row r="2102" spans="1:3" x14ac:dyDescent="0.3">
      <c r="A2102" s="1">
        <v>45566</v>
      </c>
      <c r="B2102">
        <v>37</v>
      </c>
      <c r="C2102">
        <v>58</v>
      </c>
    </row>
    <row r="2103" spans="1:3" x14ac:dyDescent="0.3">
      <c r="A2103" s="1">
        <v>45567</v>
      </c>
      <c r="B2103">
        <v>58</v>
      </c>
      <c r="C2103">
        <v>76</v>
      </c>
    </row>
    <row r="2104" spans="1:3" x14ac:dyDescent="0.3">
      <c r="A2104" s="1">
        <v>45568</v>
      </c>
      <c r="B2104">
        <v>43</v>
      </c>
      <c r="C2104">
        <v>47</v>
      </c>
    </row>
    <row r="2105" spans="1:3" x14ac:dyDescent="0.3">
      <c r="A2105" s="1">
        <v>45569</v>
      </c>
      <c r="B2105">
        <v>45</v>
      </c>
      <c r="C2105">
        <v>65</v>
      </c>
    </row>
    <row r="2106" spans="1:3" x14ac:dyDescent="0.3">
      <c r="A2106" s="1">
        <v>45570</v>
      </c>
      <c r="B2106">
        <v>40</v>
      </c>
      <c r="C2106">
        <v>68</v>
      </c>
    </row>
    <row r="2107" spans="1:3" x14ac:dyDescent="0.3">
      <c r="A2107" s="1">
        <v>45571</v>
      </c>
      <c r="B2107">
        <v>47</v>
      </c>
      <c r="C2107">
        <v>56</v>
      </c>
    </row>
    <row r="2108" spans="1:3" x14ac:dyDescent="0.3">
      <c r="A2108" s="1">
        <v>45572</v>
      </c>
      <c r="B2108">
        <v>41</v>
      </c>
      <c r="C2108">
        <v>59</v>
      </c>
    </row>
    <row r="2109" spans="1:3" x14ac:dyDescent="0.3">
      <c r="A2109" s="1">
        <v>45573</v>
      </c>
      <c r="B2109">
        <v>45</v>
      </c>
      <c r="C2109">
        <v>63</v>
      </c>
    </row>
    <row r="2110" spans="1:3" x14ac:dyDescent="0.3">
      <c r="A2110" s="1">
        <v>45574</v>
      </c>
      <c r="B2110">
        <v>54</v>
      </c>
      <c r="C2110">
        <v>60</v>
      </c>
    </row>
    <row r="2111" spans="1:3" x14ac:dyDescent="0.3">
      <c r="A2111" s="1">
        <v>45575</v>
      </c>
      <c r="B2111">
        <v>49</v>
      </c>
      <c r="C2111">
        <v>64</v>
      </c>
    </row>
    <row r="2112" spans="1:3" x14ac:dyDescent="0.3">
      <c r="A2112" s="1">
        <v>45576</v>
      </c>
      <c r="B2112">
        <v>38</v>
      </c>
      <c r="C2112">
        <v>65</v>
      </c>
    </row>
    <row r="2113" spans="1:3" x14ac:dyDescent="0.3">
      <c r="A2113" s="1">
        <v>45577</v>
      </c>
      <c r="B2113">
        <v>51</v>
      </c>
      <c r="C2113">
        <v>70</v>
      </c>
    </row>
    <row r="2114" spans="1:3" x14ac:dyDescent="0.3">
      <c r="A2114" s="1">
        <v>45578</v>
      </c>
      <c r="B2114">
        <v>48</v>
      </c>
      <c r="C2114">
        <v>69</v>
      </c>
    </row>
    <row r="2115" spans="1:3" x14ac:dyDescent="0.3">
      <c r="A2115" s="1">
        <v>45579</v>
      </c>
      <c r="B2115">
        <v>38</v>
      </c>
      <c r="C2115">
        <v>52</v>
      </c>
    </row>
    <row r="2116" spans="1:3" x14ac:dyDescent="0.3">
      <c r="A2116" s="1">
        <v>45580</v>
      </c>
      <c r="B2116">
        <v>36</v>
      </c>
      <c r="C2116">
        <v>59</v>
      </c>
    </row>
    <row r="2117" spans="1:3" x14ac:dyDescent="0.3">
      <c r="A2117" s="1">
        <v>45581</v>
      </c>
      <c r="B2117">
        <v>31</v>
      </c>
      <c r="C2117">
        <v>52</v>
      </c>
    </row>
    <row r="2118" spans="1:3" x14ac:dyDescent="0.3">
      <c r="A2118" s="1">
        <v>45582</v>
      </c>
      <c r="B2118">
        <v>49</v>
      </c>
      <c r="C2118">
        <v>60</v>
      </c>
    </row>
    <row r="2119" spans="1:3" x14ac:dyDescent="0.3">
      <c r="A2119" s="1">
        <v>45583</v>
      </c>
      <c r="B2119">
        <v>42</v>
      </c>
      <c r="C2119">
        <v>63</v>
      </c>
    </row>
    <row r="2120" spans="1:3" x14ac:dyDescent="0.3">
      <c r="A2120" s="1">
        <v>45584</v>
      </c>
      <c r="B2120">
        <v>46</v>
      </c>
      <c r="C2120">
        <v>68</v>
      </c>
    </row>
    <row r="2121" spans="1:3" x14ac:dyDescent="0.3">
      <c r="A2121" s="1">
        <v>45585</v>
      </c>
      <c r="B2121">
        <v>50</v>
      </c>
      <c r="C2121">
        <v>46</v>
      </c>
    </row>
    <row r="2122" spans="1:3" x14ac:dyDescent="0.3">
      <c r="A2122" s="1">
        <v>45586</v>
      </c>
      <c r="B2122">
        <v>36</v>
      </c>
      <c r="C2122">
        <v>55</v>
      </c>
    </row>
    <row r="2123" spans="1:3" x14ac:dyDescent="0.3">
      <c r="A2123" s="1">
        <v>45587</v>
      </c>
      <c r="B2123">
        <v>39</v>
      </c>
      <c r="C2123">
        <v>50</v>
      </c>
    </row>
    <row r="2124" spans="1:3" x14ac:dyDescent="0.3">
      <c r="A2124" s="1">
        <v>45588</v>
      </c>
      <c r="B2124">
        <v>40</v>
      </c>
      <c r="C2124">
        <v>37</v>
      </c>
    </row>
    <row r="2125" spans="1:3" x14ac:dyDescent="0.3">
      <c r="A2125" s="1">
        <v>45589</v>
      </c>
      <c r="B2125">
        <v>50</v>
      </c>
      <c r="C2125">
        <v>58</v>
      </c>
    </row>
    <row r="2126" spans="1:3" x14ac:dyDescent="0.3">
      <c r="A2126" s="1">
        <v>45590</v>
      </c>
      <c r="B2126">
        <v>47</v>
      </c>
      <c r="C2126">
        <v>60</v>
      </c>
    </row>
    <row r="2127" spans="1:3" x14ac:dyDescent="0.3">
      <c r="A2127" s="1">
        <v>45591</v>
      </c>
      <c r="B2127">
        <v>49</v>
      </c>
      <c r="C2127">
        <v>51</v>
      </c>
    </row>
    <row r="2128" spans="1:3" x14ac:dyDescent="0.3">
      <c r="A2128" s="1">
        <v>45592</v>
      </c>
      <c r="B2128">
        <v>43</v>
      </c>
      <c r="C2128">
        <v>56</v>
      </c>
    </row>
    <row r="2129" spans="1:3" x14ac:dyDescent="0.3">
      <c r="A2129" s="1">
        <v>45593</v>
      </c>
      <c r="B2129">
        <v>29</v>
      </c>
      <c r="C2129">
        <v>45</v>
      </c>
    </row>
    <row r="2130" spans="1:3" x14ac:dyDescent="0.3">
      <c r="A2130" s="1">
        <v>45594</v>
      </c>
      <c r="B2130">
        <v>35</v>
      </c>
      <c r="C2130">
        <v>36</v>
      </c>
    </row>
    <row r="2131" spans="1:3" x14ac:dyDescent="0.3">
      <c r="A2131" s="1">
        <v>45595</v>
      </c>
      <c r="B2131">
        <v>31</v>
      </c>
      <c r="C2131">
        <v>48</v>
      </c>
    </row>
    <row r="2132" spans="1:3" x14ac:dyDescent="0.3">
      <c r="A2132" s="1">
        <v>45596</v>
      </c>
      <c r="B2132">
        <v>42</v>
      </c>
      <c r="C2132">
        <v>39</v>
      </c>
    </row>
    <row r="2133" spans="1:3" x14ac:dyDescent="0.3">
      <c r="A2133" s="1">
        <v>45597</v>
      </c>
      <c r="B2133">
        <v>39</v>
      </c>
      <c r="C2133">
        <v>59</v>
      </c>
    </row>
    <row r="2134" spans="1:3" x14ac:dyDescent="0.3">
      <c r="A2134" s="1">
        <v>45598</v>
      </c>
      <c r="B2134">
        <v>42</v>
      </c>
      <c r="C2134">
        <v>64</v>
      </c>
    </row>
    <row r="2135" spans="1:3" x14ac:dyDescent="0.3">
      <c r="A2135" s="1">
        <v>45599</v>
      </c>
      <c r="B2135">
        <v>39</v>
      </c>
      <c r="C2135">
        <v>65</v>
      </c>
    </row>
    <row r="2136" spans="1:3" x14ac:dyDescent="0.3">
      <c r="A2136" s="1">
        <v>45600</v>
      </c>
      <c r="B2136">
        <v>56</v>
      </c>
      <c r="C2136">
        <v>67</v>
      </c>
    </row>
    <row r="2137" spans="1:3" x14ac:dyDescent="0.3">
      <c r="A2137" s="1">
        <v>45601</v>
      </c>
      <c r="B2137">
        <v>52</v>
      </c>
      <c r="C2137">
        <v>68</v>
      </c>
    </row>
    <row r="2138" spans="1:3" x14ac:dyDescent="0.3">
      <c r="A2138" s="1">
        <v>45602</v>
      </c>
      <c r="B2138">
        <v>43</v>
      </c>
      <c r="C2138">
        <v>48</v>
      </c>
    </row>
    <row r="2139" spans="1:3" x14ac:dyDescent="0.3">
      <c r="A2139" s="1">
        <v>45603</v>
      </c>
      <c r="B2139">
        <v>49</v>
      </c>
      <c r="C2139">
        <v>66</v>
      </c>
    </row>
    <row r="2140" spans="1:3" x14ac:dyDescent="0.3">
      <c r="A2140" s="1">
        <v>45604</v>
      </c>
      <c r="B2140">
        <v>50</v>
      </c>
      <c r="C2140">
        <v>62</v>
      </c>
    </row>
    <row r="2141" spans="1:3" x14ac:dyDescent="0.3">
      <c r="A2141" s="1">
        <v>45605</v>
      </c>
      <c r="B2141">
        <v>37</v>
      </c>
      <c r="C2141">
        <v>62</v>
      </c>
    </row>
    <row r="2142" spans="1:3" x14ac:dyDescent="0.3">
      <c r="A2142" s="1">
        <v>45606</v>
      </c>
      <c r="B2142">
        <v>50</v>
      </c>
      <c r="C2142">
        <v>63</v>
      </c>
    </row>
    <row r="2143" spans="1:3" x14ac:dyDescent="0.3">
      <c r="A2143" s="1">
        <v>45607</v>
      </c>
      <c r="B2143">
        <v>50</v>
      </c>
      <c r="C2143">
        <v>64</v>
      </c>
    </row>
    <row r="2144" spans="1:3" x14ac:dyDescent="0.3">
      <c r="A2144" s="1">
        <v>45608</v>
      </c>
      <c r="B2144">
        <v>40</v>
      </c>
      <c r="C2144">
        <v>47</v>
      </c>
    </row>
    <row r="2145" spans="1:3" x14ac:dyDescent="0.3">
      <c r="A2145" s="1">
        <v>45609</v>
      </c>
      <c r="B2145">
        <v>43</v>
      </c>
      <c r="C2145">
        <v>53</v>
      </c>
    </row>
    <row r="2146" spans="1:3" x14ac:dyDescent="0.3">
      <c r="A2146" s="1">
        <v>45610</v>
      </c>
      <c r="B2146">
        <v>35</v>
      </c>
      <c r="C2146">
        <v>47</v>
      </c>
    </row>
    <row r="2147" spans="1:3" x14ac:dyDescent="0.3">
      <c r="A2147" s="1">
        <v>45611</v>
      </c>
      <c r="B2147">
        <v>37</v>
      </c>
      <c r="C2147">
        <v>51</v>
      </c>
    </row>
    <row r="2148" spans="1:3" x14ac:dyDescent="0.3">
      <c r="A2148" s="1">
        <v>45612</v>
      </c>
      <c r="B2148">
        <v>43</v>
      </c>
      <c r="C2148">
        <v>40</v>
      </c>
    </row>
    <row r="2149" spans="1:3" x14ac:dyDescent="0.3">
      <c r="A2149" s="1">
        <v>45613</v>
      </c>
      <c r="B2149">
        <v>40</v>
      </c>
      <c r="C2149">
        <v>43</v>
      </c>
    </row>
    <row r="2150" spans="1:3" x14ac:dyDescent="0.3">
      <c r="A2150" s="1">
        <v>45614</v>
      </c>
      <c r="B2150">
        <v>39</v>
      </c>
      <c r="C2150">
        <v>60</v>
      </c>
    </row>
    <row r="2151" spans="1:3" x14ac:dyDescent="0.3">
      <c r="A2151" s="1">
        <v>45615</v>
      </c>
      <c r="B2151">
        <v>43</v>
      </c>
      <c r="C2151">
        <v>50</v>
      </c>
    </row>
    <row r="2152" spans="1:3" x14ac:dyDescent="0.3">
      <c r="A2152" s="1">
        <v>45616</v>
      </c>
      <c r="B2152">
        <v>32</v>
      </c>
      <c r="C2152">
        <v>50</v>
      </c>
    </row>
    <row r="2153" spans="1:3" x14ac:dyDescent="0.3">
      <c r="A2153" s="1">
        <v>45617</v>
      </c>
      <c r="B2153">
        <v>42</v>
      </c>
      <c r="C2153">
        <v>55</v>
      </c>
    </row>
    <row r="2154" spans="1:3" x14ac:dyDescent="0.3">
      <c r="A2154" s="1">
        <v>45618</v>
      </c>
      <c r="B2154">
        <v>44</v>
      </c>
      <c r="C2154">
        <v>40</v>
      </c>
    </row>
    <row r="2155" spans="1:3" x14ac:dyDescent="0.3">
      <c r="A2155" s="1">
        <v>45619</v>
      </c>
      <c r="B2155">
        <v>32</v>
      </c>
      <c r="C2155">
        <v>50</v>
      </c>
    </row>
    <row r="2156" spans="1:3" x14ac:dyDescent="0.3">
      <c r="A2156" s="1">
        <v>45620</v>
      </c>
      <c r="B2156">
        <v>34</v>
      </c>
      <c r="C2156">
        <v>50</v>
      </c>
    </row>
    <row r="2157" spans="1:3" x14ac:dyDescent="0.3">
      <c r="A2157" s="1">
        <v>45621</v>
      </c>
      <c r="B2157">
        <v>29</v>
      </c>
      <c r="C2157">
        <v>39</v>
      </c>
    </row>
    <row r="2158" spans="1:3" x14ac:dyDescent="0.3">
      <c r="A2158" s="1">
        <v>45622</v>
      </c>
      <c r="B2158">
        <v>31</v>
      </c>
      <c r="C2158">
        <v>44</v>
      </c>
    </row>
    <row r="2159" spans="1:3" x14ac:dyDescent="0.3">
      <c r="A2159" s="1">
        <v>45623</v>
      </c>
      <c r="B2159">
        <v>34</v>
      </c>
      <c r="C2159">
        <v>57</v>
      </c>
    </row>
    <row r="2160" spans="1:3" x14ac:dyDescent="0.3">
      <c r="A2160" s="1">
        <v>45624</v>
      </c>
      <c r="B2160">
        <v>35</v>
      </c>
      <c r="C2160">
        <v>53</v>
      </c>
    </row>
    <row r="2161" spans="1:3" x14ac:dyDescent="0.3">
      <c r="A2161" s="1">
        <v>45625</v>
      </c>
      <c r="B2161">
        <v>31</v>
      </c>
      <c r="C2161">
        <v>45</v>
      </c>
    </row>
    <row r="2162" spans="1:3" x14ac:dyDescent="0.3">
      <c r="A2162" s="1">
        <v>45626</v>
      </c>
      <c r="B2162">
        <v>47</v>
      </c>
      <c r="C2162">
        <v>53</v>
      </c>
    </row>
    <row r="2163" spans="1:3" x14ac:dyDescent="0.3">
      <c r="A2163" s="1">
        <v>45627</v>
      </c>
      <c r="B2163">
        <v>30</v>
      </c>
      <c r="C2163">
        <v>38</v>
      </c>
    </row>
    <row r="2164" spans="1:3" x14ac:dyDescent="0.3">
      <c r="A2164" s="1">
        <v>45628</v>
      </c>
      <c r="B2164">
        <v>25</v>
      </c>
      <c r="C2164">
        <v>50</v>
      </c>
    </row>
    <row r="2165" spans="1:3" x14ac:dyDescent="0.3">
      <c r="A2165" s="1">
        <v>45629</v>
      </c>
      <c r="B2165">
        <v>37</v>
      </c>
      <c r="C2165">
        <v>41</v>
      </c>
    </row>
    <row r="2166" spans="1:3" x14ac:dyDescent="0.3">
      <c r="A2166" s="1">
        <v>45630</v>
      </c>
      <c r="B2166">
        <v>36</v>
      </c>
      <c r="C2166">
        <v>46</v>
      </c>
    </row>
    <row r="2167" spans="1:3" x14ac:dyDescent="0.3">
      <c r="A2167" s="1">
        <v>45631</v>
      </c>
      <c r="B2167">
        <v>41</v>
      </c>
      <c r="C2167">
        <v>55</v>
      </c>
    </row>
    <row r="2168" spans="1:3" x14ac:dyDescent="0.3">
      <c r="A2168" s="1">
        <v>45632</v>
      </c>
      <c r="B2168">
        <v>38</v>
      </c>
      <c r="C2168">
        <v>51</v>
      </c>
    </row>
    <row r="2169" spans="1:3" x14ac:dyDescent="0.3">
      <c r="A2169" s="1">
        <v>45633</v>
      </c>
      <c r="B2169">
        <v>27</v>
      </c>
      <c r="C2169">
        <v>51</v>
      </c>
    </row>
    <row r="2170" spans="1:3" x14ac:dyDescent="0.3">
      <c r="A2170" s="1">
        <v>45634</v>
      </c>
      <c r="B2170">
        <v>33</v>
      </c>
      <c r="C2170">
        <v>49</v>
      </c>
    </row>
    <row r="2171" spans="1:3" x14ac:dyDescent="0.3">
      <c r="A2171" s="1">
        <v>45635</v>
      </c>
      <c r="B2171">
        <v>44</v>
      </c>
      <c r="C2171">
        <v>45</v>
      </c>
    </row>
    <row r="2172" spans="1:3" x14ac:dyDescent="0.3">
      <c r="A2172" s="1">
        <v>45636</v>
      </c>
      <c r="B2172">
        <v>30</v>
      </c>
      <c r="C2172">
        <v>50</v>
      </c>
    </row>
    <row r="2173" spans="1:3" x14ac:dyDescent="0.3">
      <c r="A2173" s="1">
        <v>45637</v>
      </c>
      <c r="B2173">
        <v>49</v>
      </c>
      <c r="C2173">
        <v>49</v>
      </c>
    </row>
    <row r="2174" spans="1:3" x14ac:dyDescent="0.3">
      <c r="A2174" s="1">
        <v>45638</v>
      </c>
      <c r="B2174">
        <v>34</v>
      </c>
      <c r="C2174">
        <v>52</v>
      </c>
    </row>
    <row r="2175" spans="1:3" x14ac:dyDescent="0.3">
      <c r="A2175" s="1">
        <v>45639</v>
      </c>
      <c r="B2175">
        <v>42</v>
      </c>
      <c r="C2175">
        <v>58</v>
      </c>
    </row>
    <row r="2176" spans="1:3" x14ac:dyDescent="0.3">
      <c r="A2176" s="1">
        <v>45640</v>
      </c>
      <c r="B2176">
        <v>42</v>
      </c>
      <c r="C2176">
        <v>51</v>
      </c>
    </row>
    <row r="2177" spans="1:3" x14ac:dyDescent="0.3">
      <c r="A2177" s="1">
        <v>45641</v>
      </c>
      <c r="B2177">
        <v>33</v>
      </c>
      <c r="C2177">
        <v>49</v>
      </c>
    </row>
    <row r="2178" spans="1:3" x14ac:dyDescent="0.3">
      <c r="A2178" s="1">
        <v>45642</v>
      </c>
      <c r="B2178">
        <v>26</v>
      </c>
      <c r="C2178">
        <v>44</v>
      </c>
    </row>
    <row r="2179" spans="1:3" x14ac:dyDescent="0.3">
      <c r="A2179" s="1">
        <v>45643</v>
      </c>
      <c r="B2179">
        <v>40</v>
      </c>
      <c r="C2179">
        <v>42</v>
      </c>
    </row>
    <row r="2180" spans="1:3" x14ac:dyDescent="0.3">
      <c r="A2180" s="1">
        <v>45644</v>
      </c>
      <c r="B2180">
        <v>38</v>
      </c>
      <c r="C2180">
        <v>56</v>
      </c>
    </row>
    <row r="2181" spans="1:3" x14ac:dyDescent="0.3">
      <c r="A2181" s="1">
        <v>45645</v>
      </c>
      <c r="B2181">
        <v>34</v>
      </c>
      <c r="C2181">
        <v>49</v>
      </c>
    </row>
    <row r="2182" spans="1:3" x14ac:dyDescent="0.3">
      <c r="A2182" s="1">
        <v>45646</v>
      </c>
      <c r="B2182">
        <v>26</v>
      </c>
      <c r="C2182">
        <v>51</v>
      </c>
    </row>
    <row r="2183" spans="1:3" x14ac:dyDescent="0.3">
      <c r="A2183" s="1">
        <v>45647</v>
      </c>
      <c r="B2183">
        <v>34</v>
      </c>
      <c r="C2183">
        <v>49</v>
      </c>
    </row>
    <row r="2184" spans="1:3" x14ac:dyDescent="0.3">
      <c r="A2184" s="1">
        <v>45648</v>
      </c>
      <c r="B2184">
        <v>38</v>
      </c>
      <c r="C2184">
        <v>47</v>
      </c>
    </row>
    <row r="2185" spans="1:3" x14ac:dyDescent="0.3">
      <c r="A2185" s="1">
        <v>45649</v>
      </c>
      <c r="B2185">
        <v>27</v>
      </c>
      <c r="C2185">
        <v>40</v>
      </c>
    </row>
    <row r="2186" spans="1:3" x14ac:dyDescent="0.3">
      <c r="A2186" s="1">
        <v>45650</v>
      </c>
      <c r="B2186">
        <v>42</v>
      </c>
      <c r="C2186">
        <v>58</v>
      </c>
    </row>
    <row r="2187" spans="1:3" x14ac:dyDescent="0.3">
      <c r="A2187" s="1">
        <v>45651</v>
      </c>
      <c r="B2187">
        <v>44</v>
      </c>
      <c r="C2187">
        <v>55</v>
      </c>
    </row>
    <row r="2188" spans="1:3" x14ac:dyDescent="0.3">
      <c r="A2188" s="1">
        <v>45652</v>
      </c>
      <c r="B2188">
        <v>33</v>
      </c>
      <c r="C2188">
        <v>52</v>
      </c>
    </row>
    <row r="2189" spans="1:3" x14ac:dyDescent="0.3">
      <c r="A2189" s="1">
        <v>45653</v>
      </c>
      <c r="B2189">
        <v>38</v>
      </c>
      <c r="C2189">
        <v>48</v>
      </c>
    </row>
    <row r="2190" spans="1:3" x14ac:dyDescent="0.3">
      <c r="A2190" s="1">
        <v>45654</v>
      </c>
      <c r="B2190">
        <v>32</v>
      </c>
      <c r="C2190">
        <v>42</v>
      </c>
    </row>
    <row r="2191" spans="1:3" x14ac:dyDescent="0.3">
      <c r="A2191" s="1">
        <v>45655</v>
      </c>
      <c r="B2191">
        <v>26</v>
      </c>
      <c r="C2191">
        <v>48</v>
      </c>
    </row>
    <row r="2192" spans="1:3" x14ac:dyDescent="0.3">
      <c r="A2192" s="1">
        <v>45656</v>
      </c>
      <c r="B2192">
        <v>42</v>
      </c>
      <c r="C2192">
        <v>48</v>
      </c>
    </row>
    <row r="2193" spans="1:3" x14ac:dyDescent="0.3">
      <c r="A2193" s="1">
        <v>45657</v>
      </c>
      <c r="B2193">
        <v>40</v>
      </c>
      <c r="C2193">
        <v>47</v>
      </c>
    </row>
    <row r="2194" spans="1:3" x14ac:dyDescent="0.3">
      <c r="A2194" s="1">
        <v>45658</v>
      </c>
      <c r="B2194">
        <v>38</v>
      </c>
      <c r="C2194">
        <v>50</v>
      </c>
    </row>
    <row r="2195" spans="1:3" x14ac:dyDescent="0.3">
      <c r="A2195" s="1">
        <v>45659</v>
      </c>
      <c r="B2195">
        <v>31</v>
      </c>
      <c r="C2195">
        <v>44</v>
      </c>
    </row>
    <row r="2196" spans="1:3" x14ac:dyDescent="0.3">
      <c r="A2196" s="1">
        <v>45660</v>
      </c>
      <c r="B2196">
        <v>33</v>
      </c>
      <c r="C2196">
        <v>49</v>
      </c>
    </row>
    <row r="2197" spans="1:3" x14ac:dyDescent="0.3">
      <c r="A2197" s="1">
        <v>45661</v>
      </c>
      <c r="B2197">
        <v>42</v>
      </c>
      <c r="C2197">
        <v>50</v>
      </c>
    </row>
    <row r="2198" spans="1:3" x14ac:dyDescent="0.3">
      <c r="A2198" s="1">
        <v>45662</v>
      </c>
      <c r="B2198">
        <v>21</v>
      </c>
      <c r="C2198">
        <v>39</v>
      </c>
    </row>
    <row r="2199" spans="1:3" x14ac:dyDescent="0.3">
      <c r="A2199" s="1">
        <v>45663</v>
      </c>
      <c r="B2199">
        <v>35</v>
      </c>
      <c r="C2199">
        <v>35</v>
      </c>
    </row>
    <row r="2200" spans="1:3" x14ac:dyDescent="0.3">
      <c r="A2200" s="1">
        <v>45664</v>
      </c>
      <c r="B2200">
        <v>36</v>
      </c>
      <c r="C2200">
        <v>43</v>
      </c>
    </row>
    <row r="2201" spans="1:3" x14ac:dyDescent="0.3">
      <c r="A2201" s="1">
        <v>45665</v>
      </c>
      <c r="B2201">
        <v>43</v>
      </c>
      <c r="C2201">
        <v>39</v>
      </c>
    </row>
    <row r="2202" spans="1:3" x14ac:dyDescent="0.3">
      <c r="A2202" s="1">
        <v>45666</v>
      </c>
      <c r="B2202">
        <v>35</v>
      </c>
      <c r="C2202">
        <v>44</v>
      </c>
    </row>
    <row r="2203" spans="1:3" x14ac:dyDescent="0.3">
      <c r="A2203" s="1">
        <v>45667</v>
      </c>
      <c r="B2203">
        <v>36</v>
      </c>
      <c r="C2203">
        <v>55</v>
      </c>
    </row>
    <row r="2204" spans="1:3" x14ac:dyDescent="0.3">
      <c r="A2204" s="1">
        <v>45668</v>
      </c>
      <c r="B2204">
        <v>30</v>
      </c>
      <c r="C2204">
        <v>64</v>
      </c>
    </row>
    <row r="2205" spans="1:3" x14ac:dyDescent="0.3">
      <c r="A2205" s="1">
        <v>45669</v>
      </c>
      <c r="B2205">
        <v>44</v>
      </c>
      <c r="C2205">
        <v>61</v>
      </c>
    </row>
    <row r="2206" spans="1:3" x14ac:dyDescent="0.3">
      <c r="A2206" s="1">
        <v>45670</v>
      </c>
      <c r="B2206">
        <v>27</v>
      </c>
      <c r="C2206">
        <v>39</v>
      </c>
    </row>
    <row r="2207" spans="1:3" x14ac:dyDescent="0.3">
      <c r="A2207" s="1">
        <v>45671</v>
      </c>
      <c r="B2207">
        <v>46</v>
      </c>
      <c r="C2207">
        <v>41</v>
      </c>
    </row>
    <row r="2208" spans="1:3" x14ac:dyDescent="0.3">
      <c r="A2208" s="1">
        <v>45672</v>
      </c>
      <c r="B2208">
        <v>40</v>
      </c>
      <c r="C2208">
        <v>44</v>
      </c>
    </row>
    <row r="2209" spans="1:3" x14ac:dyDescent="0.3">
      <c r="A2209" s="1">
        <v>45673</v>
      </c>
      <c r="B2209">
        <v>41</v>
      </c>
      <c r="C2209">
        <v>61</v>
      </c>
    </row>
    <row r="2210" spans="1:3" x14ac:dyDescent="0.3">
      <c r="A2210" s="1">
        <v>45674</v>
      </c>
      <c r="B2210">
        <v>37</v>
      </c>
      <c r="C2210">
        <v>54</v>
      </c>
    </row>
    <row r="2211" spans="1:3" x14ac:dyDescent="0.3">
      <c r="A2211" s="1">
        <v>45675</v>
      </c>
      <c r="B2211">
        <v>35</v>
      </c>
      <c r="C2211">
        <v>53</v>
      </c>
    </row>
    <row r="2212" spans="1:3" x14ac:dyDescent="0.3">
      <c r="A2212" s="1">
        <v>45676</v>
      </c>
      <c r="B2212">
        <v>34</v>
      </c>
      <c r="C2212">
        <v>43</v>
      </c>
    </row>
    <row r="2213" spans="1:3" x14ac:dyDescent="0.3">
      <c r="A2213" s="1">
        <v>45677</v>
      </c>
      <c r="B2213">
        <v>35</v>
      </c>
      <c r="C2213">
        <v>55</v>
      </c>
    </row>
    <row r="2214" spans="1:3" x14ac:dyDescent="0.3">
      <c r="A2214" s="1">
        <v>45678</v>
      </c>
      <c r="B2214">
        <v>36</v>
      </c>
      <c r="C2214">
        <v>56</v>
      </c>
    </row>
    <row r="2215" spans="1:3" x14ac:dyDescent="0.3">
      <c r="A2215" s="1">
        <v>45679</v>
      </c>
      <c r="B2215">
        <v>32</v>
      </c>
      <c r="C2215">
        <v>48</v>
      </c>
    </row>
    <row r="2216" spans="1:3" x14ac:dyDescent="0.3">
      <c r="A2216" s="1">
        <v>45680</v>
      </c>
      <c r="B2216">
        <v>24</v>
      </c>
      <c r="C2216">
        <v>43</v>
      </c>
    </row>
    <row r="2217" spans="1:3" x14ac:dyDescent="0.3">
      <c r="A2217" s="1">
        <v>45681</v>
      </c>
      <c r="B2217">
        <v>37</v>
      </c>
      <c r="C2217">
        <v>43</v>
      </c>
    </row>
    <row r="2218" spans="1:3" x14ac:dyDescent="0.3">
      <c r="A2218" s="1">
        <v>45682</v>
      </c>
      <c r="B2218">
        <v>39</v>
      </c>
      <c r="C2218">
        <v>63</v>
      </c>
    </row>
    <row r="2219" spans="1:3" x14ac:dyDescent="0.3">
      <c r="A2219" s="1">
        <v>45683</v>
      </c>
      <c r="B2219">
        <v>31</v>
      </c>
      <c r="C2219">
        <v>67</v>
      </c>
    </row>
    <row r="2220" spans="1:3" x14ac:dyDescent="0.3">
      <c r="A2220" s="1">
        <v>45684</v>
      </c>
      <c r="B2220">
        <v>34</v>
      </c>
      <c r="C2220">
        <v>55</v>
      </c>
    </row>
    <row r="2221" spans="1:3" x14ac:dyDescent="0.3">
      <c r="A2221" s="1">
        <v>45685</v>
      </c>
      <c r="B2221">
        <v>37</v>
      </c>
      <c r="C2221">
        <v>40</v>
      </c>
    </row>
    <row r="2222" spans="1:3" x14ac:dyDescent="0.3">
      <c r="A2222" s="1">
        <v>45686</v>
      </c>
      <c r="B2222">
        <v>36</v>
      </c>
      <c r="C2222">
        <v>57</v>
      </c>
    </row>
    <row r="2223" spans="1:3" x14ac:dyDescent="0.3">
      <c r="A2223" s="1">
        <v>45687</v>
      </c>
      <c r="B2223">
        <v>48</v>
      </c>
      <c r="C2223">
        <v>52</v>
      </c>
    </row>
    <row r="2224" spans="1:3" x14ac:dyDescent="0.3">
      <c r="A2224" s="1">
        <v>45688</v>
      </c>
      <c r="B2224">
        <v>35</v>
      </c>
      <c r="C2224">
        <v>50</v>
      </c>
    </row>
    <row r="2225" spans="1:3" x14ac:dyDescent="0.3">
      <c r="A2225" s="1">
        <v>45689</v>
      </c>
      <c r="B2225">
        <v>30</v>
      </c>
      <c r="C2225">
        <v>38</v>
      </c>
    </row>
    <row r="2226" spans="1:3" x14ac:dyDescent="0.3">
      <c r="A2226" s="1">
        <v>45690</v>
      </c>
      <c r="B2226">
        <v>20</v>
      </c>
      <c r="C2226">
        <v>49</v>
      </c>
    </row>
    <row r="2227" spans="1:3" x14ac:dyDescent="0.3">
      <c r="A2227" s="1">
        <v>45691</v>
      </c>
      <c r="B2227">
        <v>40</v>
      </c>
      <c r="C2227">
        <v>53</v>
      </c>
    </row>
    <row r="2228" spans="1:3" x14ac:dyDescent="0.3">
      <c r="A2228" s="1">
        <v>45692</v>
      </c>
      <c r="B2228">
        <v>33</v>
      </c>
      <c r="C2228">
        <v>51</v>
      </c>
    </row>
    <row r="2229" spans="1:3" x14ac:dyDescent="0.3">
      <c r="A2229" s="1">
        <v>45693</v>
      </c>
      <c r="B2229">
        <v>37</v>
      </c>
      <c r="C2229">
        <v>44</v>
      </c>
    </row>
    <row r="2230" spans="1:3" x14ac:dyDescent="0.3">
      <c r="A2230" s="1">
        <v>45694</v>
      </c>
      <c r="B2230">
        <v>46</v>
      </c>
      <c r="C2230">
        <v>38</v>
      </c>
    </row>
    <row r="2231" spans="1:3" x14ac:dyDescent="0.3">
      <c r="A2231" s="1">
        <v>45695</v>
      </c>
      <c r="B2231">
        <v>26</v>
      </c>
      <c r="C2231">
        <v>37</v>
      </c>
    </row>
    <row r="2232" spans="1:3" x14ac:dyDescent="0.3">
      <c r="A2232" s="1">
        <v>45696</v>
      </c>
      <c r="B2232">
        <v>27</v>
      </c>
      <c r="C2232">
        <v>38</v>
      </c>
    </row>
    <row r="2233" spans="1:3" x14ac:dyDescent="0.3">
      <c r="A2233" s="1">
        <v>45697</v>
      </c>
      <c r="B2233">
        <v>29</v>
      </c>
      <c r="C2233">
        <v>56</v>
      </c>
    </row>
    <row r="2234" spans="1:3" x14ac:dyDescent="0.3">
      <c r="A2234" s="1">
        <v>45698</v>
      </c>
      <c r="B2234">
        <v>27</v>
      </c>
      <c r="C2234">
        <v>57</v>
      </c>
    </row>
    <row r="2235" spans="1:3" x14ac:dyDescent="0.3">
      <c r="A2235" s="1">
        <v>45699</v>
      </c>
      <c r="B2235">
        <v>48</v>
      </c>
      <c r="C2235">
        <v>64</v>
      </c>
    </row>
    <row r="2236" spans="1:3" x14ac:dyDescent="0.3">
      <c r="A2236" s="1">
        <v>45700</v>
      </c>
      <c r="B2236">
        <v>51</v>
      </c>
      <c r="C2236">
        <v>63</v>
      </c>
    </row>
    <row r="2237" spans="1:3" x14ac:dyDescent="0.3">
      <c r="A2237" s="1">
        <v>45701</v>
      </c>
      <c r="B2237">
        <v>62</v>
      </c>
      <c r="C2237">
        <v>65</v>
      </c>
    </row>
    <row r="2238" spans="1:3" x14ac:dyDescent="0.3">
      <c r="A2238" s="1">
        <v>45702</v>
      </c>
      <c r="B2238">
        <v>35</v>
      </c>
      <c r="C2238">
        <v>58</v>
      </c>
    </row>
    <row r="2239" spans="1:3" x14ac:dyDescent="0.3">
      <c r="A2239" s="1">
        <v>45703</v>
      </c>
      <c r="B2239">
        <v>35</v>
      </c>
      <c r="C2239">
        <v>47</v>
      </c>
    </row>
    <row r="2240" spans="1:3" x14ac:dyDescent="0.3">
      <c r="A2240" s="1">
        <v>45704</v>
      </c>
      <c r="B2240">
        <v>32</v>
      </c>
      <c r="C2240">
        <v>45</v>
      </c>
    </row>
    <row r="2241" spans="1:3" x14ac:dyDescent="0.3">
      <c r="A2241" s="1">
        <v>45705</v>
      </c>
      <c r="B2241">
        <v>34</v>
      </c>
      <c r="C2241">
        <v>48</v>
      </c>
    </row>
    <row r="2242" spans="1:3" x14ac:dyDescent="0.3">
      <c r="A2242" s="1">
        <v>45706</v>
      </c>
      <c r="B2242">
        <v>53</v>
      </c>
      <c r="C2242">
        <v>42</v>
      </c>
    </row>
    <row r="2243" spans="1:3" x14ac:dyDescent="0.3">
      <c r="A2243" s="1">
        <v>45707</v>
      </c>
      <c r="B2243">
        <v>35</v>
      </c>
      <c r="C2243">
        <v>54</v>
      </c>
    </row>
    <row r="2244" spans="1:3" x14ac:dyDescent="0.3">
      <c r="A2244" s="1">
        <v>45708</v>
      </c>
      <c r="B2244">
        <v>29</v>
      </c>
      <c r="C2244">
        <v>47</v>
      </c>
    </row>
    <row r="2245" spans="1:3" x14ac:dyDescent="0.3">
      <c r="A2245" s="1">
        <v>45709</v>
      </c>
      <c r="B2245">
        <v>53</v>
      </c>
      <c r="C2245">
        <v>57</v>
      </c>
    </row>
    <row r="2246" spans="1:3" x14ac:dyDescent="0.3">
      <c r="A2246" s="1">
        <v>45710</v>
      </c>
      <c r="B2246">
        <v>50</v>
      </c>
      <c r="C2246">
        <v>72</v>
      </c>
    </row>
    <row r="2247" spans="1:3" x14ac:dyDescent="0.3">
      <c r="A2247" s="1">
        <v>45711</v>
      </c>
      <c r="B2247">
        <v>34</v>
      </c>
      <c r="C2247">
        <v>44</v>
      </c>
    </row>
    <row r="2248" spans="1:3" x14ac:dyDescent="0.3">
      <c r="A2248" s="1">
        <v>45712</v>
      </c>
      <c r="B2248">
        <v>34</v>
      </c>
      <c r="C2248">
        <v>43</v>
      </c>
    </row>
    <row r="2249" spans="1:3" x14ac:dyDescent="0.3">
      <c r="A2249" s="1">
        <v>45713</v>
      </c>
      <c r="B2249">
        <v>30</v>
      </c>
      <c r="C2249">
        <v>45</v>
      </c>
    </row>
    <row r="2250" spans="1:3" x14ac:dyDescent="0.3">
      <c r="A2250" s="1">
        <v>45714</v>
      </c>
      <c r="B2250">
        <v>18</v>
      </c>
      <c r="C2250">
        <v>26</v>
      </c>
    </row>
    <row r="2251" spans="1:3" x14ac:dyDescent="0.3">
      <c r="A2251" s="1">
        <v>45715</v>
      </c>
      <c r="B2251">
        <v>31</v>
      </c>
      <c r="C2251">
        <v>42</v>
      </c>
    </row>
    <row r="2252" spans="1:3" x14ac:dyDescent="0.3">
      <c r="A2252" s="1">
        <v>45716</v>
      </c>
      <c r="B2252">
        <v>26</v>
      </c>
      <c r="C2252">
        <v>41</v>
      </c>
    </row>
    <row r="2253" spans="1:3" x14ac:dyDescent="0.3">
      <c r="A2253" s="1">
        <v>45717</v>
      </c>
      <c r="B2253">
        <v>34</v>
      </c>
      <c r="C2253">
        <v>47</v>
      </c>
    </row>
    <row r="2254" spans="1:3" x14ac:dyDescent="0.3">
      <c r="A2254" s="1">
        <v>45718</v>
      </c>
      <c r="B2254">
        <v>28</v>
      </c>
      <c r="C2254">
        <v>38</v>
      </c>
    </row>
    <row r="2255" spans="1:3" x14ac:dyDescent="0.3">
      <c r="A2255" s="1">
        <v>45719</v>
      </c>
      <c r="B2255">
        <v>25</v>
      </c>
      <c r="C2255">
        <v>63</v>
      </c>
    </row>
    <row r="2256" spans="1:3" x14ac:dyDescent="0.3">
      <c r="A2256" s="1">
        <v>45720</v>
      </c>
      <c r="B2256">
        <v>33</v>
      </c>
      <c r="C2256">
        <v>43</v>
      </c>
    </row>
    <row r="2257" spans="1:3" x14ac:dyDescent="0.3">
      <c r="A2257" s="1">
        <v>45721</v>
      </c>
      <c r="B2257">
        <v>42</v>
      </c>
      <c r="C2257">
        <v>58</v>
      </c>
    </row>
    <row r="2258" spans="1:3" x14ac:dyDescent="0.3">
      <c r="A2258" s="1">
        <v>45722</v>
      </c>
      <c r="B2258">
        <v>44</v>
      </c>
      <c r="C2258">
        <v>70</v>
      </c>
    </row>
    <row r="2259" spans="1:3" x14ac:dyDescent="0.3">
      <c r="A2259" s="1">
        <v>45723</v>
      </c>
      <c r="B2259">
        <v>31</v>
      </c>
      <c r="C2259">
        <v>67</v>
      </c>
    </row>
    <row r="2260" spans="1:3" x14ac:dyDescent="0.3">
      <c r="A2260" s="1">
        <v>45724</v>
      </c>
      <c r="B2260">
        <v>42</v>
      </c>
      <c r="C2260">
        <v>74</v>
      </c>
    </row>
    <row r="2261" spans="1:3" x14ac:dyDescent="0.3">
      <c r="A2261" s="1">
        <v>45725</v>
      </c>
      <c r="B2261">
        <v>32</v>
      </c>
      <c r="C2261">
        <v>53</v>
      </c>
    </row>
    <row r="2262" spans="1:3" x14ac:dyDescent="0.3">
      <c r="A2262" s="1">
        <v>45726</v>
      </c>
      <c r="B2262">
        <v>43</v>
      </c>
      <c r="C2262">
        <v>53</v>
      </c>
    </row>
    <row r="2263" spans="1:3" x14ac:dyDescent="0.3">
      <c r="A2263" s="1">
        <v>45727</v>
      </c>
      <c r="B2263">
        <v>53</v>
      </c>
      <c r="C2263">
        <v>65</v>
      </c>
    </row>
    <row r="2264" spans="1:3" x14ac:dyDescent="0.3">
      <c r="A2264" s="1">
        <v>45728</v>
      </c>
      <c r="B2264">
        <v>38</v>
      </c>
      <c r="C2264">
        <v>59</v>
      </c>
    </row>
    <row r="2265" spans="1:3" x14ac:dyDescent="0.3">
      <c r="A2265" s="1">
        <v>45729</v>
      </c>
      <c r="B2265">
        <v>43</v>
      </c>
      <c r="C2265">
        <v>52</v>
      </c>
    </row>
    <row r="2266" spans="1:3" x14ac:dyDescent="0.3">
      <c r="A2266" s="1">
        <v>45730</v>
      </c>
      <c r="B2266">
        <v>53</v>
      </c>
      <c r="C2266">
        <v>61</v>
      </c>
    </row>
    <row r="2267" spans="1:3" x14ac:dyDescent="0.3">
      <c r="A2267" s="1">
        <v>45731</v>
      </c>
      <c r="B2267">
        <v>40</v>
      </c>
      <c r="C2267">
        <v>49</v>
      </c>
    </row>
    <row r="2268" spans="1:3" x14ac:dyDescent="0.3">
      <c r="A2268" s="1">
        <v>45732</v>
      </c>
      <c r="B2268">
        <v>53</v>
      </c>
      <c r="C2268">
        <v>68</v>
      </c>
    </row>
    <row r="2269" spans="1:3" x14ac:dyDescent="0.3">
      <c r="A2269" s="1">
        <v>45733</v>
      </c>
      <c r="B2269">
        <v>35</v>
      </c>
      <c r="C2269">
        <v>41</v>
      </c>
    </row>
    <row r="2270" spans="1:3" x14ac:dyDescent="0.3">
      <c r="A2270" s="1">
        <v>45734</v>
      </c>
      <c r="B2270">
        <v>47</v>
      </c>
      <c r="C2270">
        <v>52</v>
      </c>
    </row>
    <row r="2271" spans="1:3" x14ac:dyDescent="0.3">
      <c r="A2271" s="1">
        <v>45735</v>
      </c>
      <c r="B2271">
        <v>46</v>
      </c>
      <c r="C2271">
        <v>50</v>
      </c>
    </row>
    <row r="2272" spans="1:3" x14ac:dyDescent="0.3">
      <c r="A2272" s="1">
        <v>45736</v>
      </c>
      <c r="B2272">
        <v>41</v>
      </c>
      <c r="C2272">
        <v>81</v>
      </c>
    </row>
    <row r="2273" spans="1:3" x14ac:dyDescent="0.3">
      <c r="A2273" s="1">
        <v>45737</v>
      </c>
      <c r="B2273">
        <v>45</v>
      </c>
      <c r="C2273">
        <v>56</v>
      </c>
    </row>
    <row r="2274" spans="1:3" x14ac:dyDescent="0.3">
      <c r="A2274" s="1">
        <v>45738</v>
      </c>
      <c r="B2274">
        <v>33</v>
      </c>
      <c r="C2274">
        <v>60</v>
      </c>
    </row>
    <row r="2275" spans="1:3" x14ac:dyDescent="0.3">
      <c r="A2275" s="1">
        <v>45739</v>
      </c>
      <c r="B2275">
        <v>52</v>
      </c>
      <c r="C2275">
        <v>59</v>
      </c>
    </row>
    <row r="2276" spans="1:3" x14ac:dyDescent="0.3">
      <c r="A2276" s="1">
        <v>45740</v>
      </c>
      <c r="B2276">
        <v>35</v>
      </c>
      <c r="C2276">
        <v>50</v>
      </c>
    </row>
    <row r="2277" spans="1:3" x14ac:dyDescent="0.3">
      <c r="A2277" s="1">
        <v>45741</v>
      </c>
      <c r="B2277">
        <v>23</v>
      </c>
      <c r="C2277">
        <v>43</v>
      </c>
    </row>
    <row r="2278" spans="1:3" x14ac:dyDescent="0.3">
      <c r="A2278" s="1">
        <v>45742</v>
      </c>
      <c r="B2278">
        <v>32</v>
      </c>
      <c r="C2278">
        <v>30</v>
      </c>
    </row>
    <row r="2279" spans="1:3" x14ac:dyDescent="0.3">
      <c r="A2279" s="1">
        <v>45743</v>
      </c>
      <c r="B2279">
        <v>41</v>
      </c>
      <c r="C2279">
        <v>47</v>
      </c>
    </row>
    <row r="2280" spans="1:3" x14ac:dyDescent="0.3">
      <c r="A2280" s="1">
        <v>45744</v>
      </c>
      <c r="B2280">
        <v>49</v>
      </c>
      <c r="C2280">
        <v>68</v>
      </c>
    </row>
    <row r="2281" spans="1:3" x14ac:dyDescent="0.3">
      <c r="A2281" s="1">
        <v>45745</v>
      </c>
      <c r="B2281">
        <v>42</v>
      </c>
      <c r="C2281">
        <v>69</v>
      </c>
    </row>
    <row r="2282" spans="1:3" x14ac:dyDescent="0.3">
      <c r="A2282" s="1">
        <v>45746</v>
      </c>
      <c r="B2282">
        <v>42</v>
      </c>
      <c r="C2282">
        <v>80</v>
      </c>
    </row>
    <row r="2283" spans="1:3" x14ac:dyDescent="0.3">
      <c r="A2283" s="1">
        <v>45747</v>
      </c>
      <c r="B2283">
        <v>48</v>
      </c>
      <c r="C2283">
        <v>60</v>
      </c>
    </row>
    <row r="2284" spans="1:3" x14ac:dyDescent="0.3">
      <c r="A2284" s="1">
        <v>45748</v>
      </c>
      <c r="B2284">
        <v>61</v>
      </c>
      <c r="C2284">
        <v>63</v>
      </c>
    </row>
    <row r="2285" spans="1:3" x14ac:dyDescent="0.3">
      <c r="A2285" s="1">
        <v>45749</v>
      </c>
      <c r="B2285">
        <v>56</v>
      </c>
      <c r="C2285">
        <v>66</v>
      </c>
    </row>
    <row r="2286" spans="1:3" x14ac:dyDescent="0.3">
      <c r="A2286" s="1">
        <v>45750</v>
      </c>
      <c r="B2286">
        <v>39</v>
      </c>
      <c r="C2286">
        <v>79</v>
      </c>
    </row>
    <row r="2287" spans="1:3" x14ac:dyDescent="0.3">
      <c r="A2287" s="1">
        <v>45751</v>
      </c>
      <c r="B2287">
        <v>48</v>
      </c>
      <c r="C2287">
        <v>56</v>
      </c>
    </row>
    <row r="2288" spans="1:3" x14ac:dyDescent="0.3">
      <c r="A2288" s="1">
        <v>45752</v>
      </c>
      <c r="B2288">
        <v>57</v>
      </c>
      <c r="C2288">
        <v>67</v>
      </c>
    </row>
    <row r="2289" spans="1:3" x14ac:dyDescent="0.3">
      <c r="A2289" s="1">
        <v>45753</v>
      </c>
      <c r="B2289">
        <v>45</v>
      </c>
      <c r="C2289">
        <v>67</v>
      </c>
    </row>
    <row r="2290" spans="1:3" x14ac:dyDescent="0.3">
      <c r="A2290" s="1">
        <v>45754</v>
      </c>
      <c r="B2290">
        <v>39</v>
      </c>
      <c r="C2290">
        <v>54</v>
      </c>
    </row>
    <row r="2291" spans="1:3" x14ac:dyDescent="0.3">
      <c r="A2291" s="1">
        <v>45755</v>
      </c>
      <c r="B2291">
        <v>39</v>
      </c>
      <c r="C2291">
        <v>66</v>
      </c>
    </row>
    <row r="2292" spans="1:3" x14ac:dyDescent="0.3">
      <c r="A2292" s="1">
        <v>45756</v>
      </c>
      <c r="B2292">
        <v>60</v>
      </c>
      <c r="C2292">
        <v>59</v>
      </c>
    </row>
    <row r="2293" spans="1:3" x14ac:dyDescent="0.3">
      <c r="A2293" s="1">
        <v>45757</v>
      </c>
      <c r="B2293">
        <v>44</v>
      </c>
      <c r="C2293">
        <v>55</v>
      </c>
    </row>
    <row r="2294" spans="1:3" x14ac:dyDescent="0.3">
      <c r="A2294" s="1">
        <v>45758</v>
      </c>
      <c r="B2294">
        <v>53</v>
      </c>
      <c r="C2294">
        <v>54</v>
      </c>
    </row>
    <row r="2295" spans="1:3" x14ac:dyDescent="0.3">
      <c r="A2295" s="1">
        <v>45759</v>
      </c>
      <c r="B2295">
        <v>48</v>
      </c>
      <c r="C2295">
        <v>53</v>
      </c>
    </row>
    <row r="2296" spans="1:3" x14ac:dyDescent="0.3">
      <c r="A2296" s="1">
        <v>45760</v>
      </c>
      <c r="B2296">
        <v>44</v>
      </c>
      <c r="C2296">
        <v>64</v>
      </c>
    </row>
    <row r="2297" spans="1:3" x14ac:dyDescent="0.3">
      <c r="A2297" s="1">
        <v>45761</v>
      </c>
      <c r="B2297">
        <v>54</v>
      </c>
      <c r="C2297">
        <v>65</v>
      </c>
    </row>
    <row r="2298" spans="1:3" x14ac:dyDescent="0.3">
      <c r="A2298" s="1">
        <v>45762</v>
      </c>
      <c r="B2298">
        <v>45</v>
      </c>
      <c r="C2298">
        <v>72</v>
      </c>
    </row>
    <row r="2299" spans="1:3" x14ac:dyDescent="0.3">
      <c r="A2299" s="1">
        <v>45763</v>
      </c>
      <c r="B2299">
        <v>46</v>
      </c>
      <c r="C2299">
        <v>64</v>
      </c>
    </row>
    <row r="2300" spans="1:3" x14ac:dyDescent="0.3">
      <c r="A2300" s="1">
        <v>45764</v>
      </c>
      <c r="B2300">
        <v>34</v>
      </c>
      <c r="C2300">
        <v>47</v>
      </c>
    </row>
    <row r="2301" spans="1:3" x14ac:dyDescent="0.3">
      <c r="A2301" s="1">
        <v>45765</v>
      </c>
      <c r="B2301">
        <v>37</v>
      </c>
      <c r="C2301">
        <v>31</v>
      </c>
    </row>
    <row r="2302" spans="1:3" x14ac:dyDescent="0.3">
      <c r="A2302" s="1">
        <v>45766</v>
      </c>
      <c r="B2302">
        <v>34</v>
      </c>
      <c r="C2302">
        <v>51</v>
      </c>
    </row>
    <row r="2303" spans="1:3" x14ac:dyDescent="0.3">
      <c r="A2303" s="1">
        <v>45767</v>
      </c>
      <c r="B2303">
        <v>33</v>
      </c>
      <c r="C2303">
        <v>53</v>
      </c>
    </row>
    <row r="2304" spans="1:3" x14ac:dyDescent="0.3">
      <c r="A2304" s="1">
        <v>45768</v>
      </c>
      <c r="B2304">
        <v>51</v>
      </c>
      <c r="C2304">
        <v>59</v>
      </c>
    </row>
    <row r="2305" spans="1:3" x14ac:dyDescent="0.3">
      <c r="A2305" s="1">
        <v>45769</v>
      </c>
      <c r="B2305">
        <v>61</v>
      </c>
      <c r="C2305">
        <v>63</v>
      </c>
    </row>
    <row r="2306" spans="1:3" x14ac:dyDescent="0.3">
      <c r="A2306" s="1">
        <v>45770</v>
      </c>
      <c r="B2306">
        <v>46</v>
      </c>
      <c r="C2306">
        <v>65</v>
      </c>
    </row>
    <row r="2307" spans="1:3" x14ac:dyDescent="0.3">
      <c r="A2307" s="1">
        <v>45771</v>
      </c>
      <c r="B2307">
        <v>56</v>
      </c>
      <c r="C2307">
        <v>66</v>
      </c>
    </row>
    <row r="2308" spans="1:3" x14ac:dyDescent="0.3">
      <c r="A2308" s="1">
        <v>45772</v>
      </c>
      <c r="B2308">
        <v>44</v>
      </c>
      <c r="C2308">
        <v>69</v>
      </c>
    </row>
    <row r="2309" spans="1:3" x14ac:dyDescent="0.3">
      <c r="A2309" s="1">
        <v>45773</v>
      </c>
      <c r="B2309">
        <v>49</v>
      </c>
      <c r="C2309">
        <v>70</v>
      </c>
    </row>
    <row r="2310" spans="1:3" x14ac:dyDescent="0.3">
      <c r="A2310" s="1">
        <v>45774</v>
      </c>
      <c r="B2310">
        <v>44</v>
      </c>
      <c r="C2310">
        <v>63</v>
      </c>
    </row>
    <row r="2311" spans="1:3" x14ac:dyDescent="0.3">
      <c r="A2311" s="1">
        <v>45775</v>
      </c>
      <c r="B2311">
        <v>45</v>
      </c>
      <c r="C2311">
        <v>53</v>
      </c>
    </row>
    <row r="2312" spans="1:3" x14ac:dyDescent="0.3">
      <c r="A2312" s="1">
        <v>45776</v>
      </c>
      <c r="B2312">
        <v>48</v>
      </c>
      <c r="C2312">
        <v>48</v>
      </c>
    </row>
    <row r="2313" spans="1:3" x14ac:dyDescent="0.3">
      <c r="A2313" s="1">
        <v>45777</v>
      </c>
      <c r="B2313">
        <v>52</v>
      </c>
      <c r="C2313">
        <v>71</v>
      </c>
    </row>
    <row r="2314" spans="1:3" x14ac:dyDescent="0.3">
      <c r="A2314" s="1">
        <v>45778</v>
      </c>
      <c r="B2314">
        <v>39</v>
      </c>
      <c r="C2314">
        <v>60</v>
      </c>
    </row>
    <row r="2315" spans="1:3" x14ac:dyDescent="0.3">
      <c r="A2315" s="1">
        <v>45779</v>
      </c>
      <c r="B2315">
        <v>36</v>
      </c>
      <c r="C2315">
        <v>59</v>
      </c>
    </row>
    <row r="2316" spans="1:3" x14ac:dyDescent="0.3">
      <c r="A2316" s="1">
        <v>45780</v>
      </c>
      <c r="B2316">
        <v>46</v>
      </c>
      <c r="C2316">
        <v>53</v>
      </c>
    </row>
    <row r="2317" spans="1:3" x14ac:dyDescent="0.3">
      <c r="A2317" s="1">
        <v>45781</v>
      </c>
      <c r="B2317">
        <v>33</v>
      </c>
      <c r="C2317">
        <v>58</v>
      </c>
    </row>
    <row r="2318" spans="1:3" x14ac:dyDescent="0.3">
      <c r="A2318" s="1">
        <v>45782</v>
      </c>
      <c r="B2318">
        <v>37</v>
      </c>
      <c r="C2318">
        <v>67</v>
      </c>
    </row>
    <row r="2319" spans="1:3" x14ac:dyDescent="0.3">
      <c r="A2319" s="1">
        <v>45783</v>
      </c>
      <c r="B2319">
        <v>58</v>
      </c>
      <c r="C2319">
        <v>58</v>
      </c>
    </row>
    <row r="2320" spans="1:3" x14ac:dyDescent="0.3">
      <c r="A2320" s="1">
        <v>45784</v>
      </c>
      <c r="B2320">
        <v>34</v>
      </c>
      <c r="C2320">
        <v>42</v>
      </c>
    </row>
    <row r="2321" spans="1:3" x14ac:dyDescent="0.3">
      <c r="A2321" s="1">
        <v>45785</v>
      </c>
      <c r="B2321">
        <v>39</v>
      </c>
      <c r="C2321">
        <v>45</v>
      </c>
    </row>
    <row r="2322" spans="1:3" x14ac:dyDescent="0.3">
      <c r="A2322" s="1">
        <v>45786</v>
      </c>
      <c r="B2322">
        <v>47</v>
      </c>
      <c r="C2322">
        <v>57</v>
      </c>
    </row>
    <row r="2323" spans="1:3" x14ac:dyDescent="0.3">
      <c r="A2323" s="1">
        <v>45787</v>
      </c>
      <c r="B2323">
        <v>43</v>
      </c>
      <c r="C2323">
        <v>73</v>
      </c>
    </row>
    <row r="2324" spans="1:3" x14ac:dyDescent="0.3">
      <c r="A2324" s="1">
        <v>45788</v>
      </c>
      <c r="B2324">
        <v>31</v>
      </c>
      <c r="C2324">
        <v>62</v>
      </c>
    </row>
    <row r="2325" spans="1:3" x14ac:dyDescent="0.3">
      <c r="A2325" s="1">
        <v>45789</v>
      </c>
      <c r="B2325">
        <v>47</v>
      </c>
      <c r="C2325">
        <v>66</v>
      </c>
    </row>
    <row r="2326" spans="1:3" x14ac:dyDescent="0.3">
      <c r="A2326" s="1">
        <v>45790</v>
      </c>
      <c r="B2326">
        <v>45</v>
      </c>
      <c r="C2326">
        <v>66</v>
      </c>
    </row>
    <row r="2327" spans="1:3" x14ac:dyDescent="0.3">
      <c r="A2327" s="1">
        <v>45791</v>
      </c>
      <c r="B2327">
        <v>52</v>
      </c>
      <c r="C2327">
        <v>65</v>
      </c>
    </row>
    <row r="2328" spans="1:3" x14ac:dyDescent="0.3">
      <c r="A2328" s="1">
        <v>45792</v>
      </c>
      <c r="B2328">
        <v>50</v>
      </c>
      <c r="C2328">
        <v>66</v>
      </c>
    </row>
    <row r="2329" spans="1:3" x14ac:dyDescent="0.3">
      <c r="A2329" s="1">
        <v>45793</v>
      </c>
      <c r="B2329">
        <v>46</v>
      </c>
      <c r="C2329">
        <v>48</v>
      </c>
    </row>
    <row r="2330" spans="1:3" x14ac:dyDescent="0.3">
      <c r="A2330" s="1">
        <v>45794</v>
      </c>
      <c r="B2330">
        <v>50</v>
      </c>
      <c r="C2330">
        <v>50</v>
      </c>
    </row>
    <row r="2331" spans="1:3" x14ac:dyDescent="0.3">
      <c r="A2331" s="1">
        <v>45795</v>
      </c>
      <c r="B2331">
        <v>45</v>
      </c>
      <c r="C2331">
        <v>73</v>
      </c>
    </row>
    <row r="2332" spans="1:3" x14ac:dyDescent="0.3">
      <c r="A2332" s="1">
        <v>45796</v>
      </c>
      <c r="B2332">
        <v>43</v>
      </c>
      <c r="C2332">
        <v>61</v>
      </c>
    </row>
    <row r="2333" spans="1:3" x14ac:dyDescent="0.3">
      <c r="A2333" s="1">
        <v>45797</v>
      </c>
      <c r="B2333">
        <v>49</v>
      </c>
      <c r="C2333">
        <v>62</v>
      </c>
    </row>
    <row r="2334" spans="1:3" x14ac:dyDescent="0.3">
      <c r="A2334" s="1">
        <v>45798</v>
      </c>
      <c r="B2334">
        <v>51</v>
      </c>
      <c r="C2334">
        <v>58</v>
      </c>
    </row>
    <row r="2335" spans="1:3" x14ac:dyDescent="0.3">
      <c r="A2335" s="1">
        <v>45799</v>
      </c>
      <c r="B2335">
        <v>43</v>
      </c>
      <c r="C2335">
        <v>61</v>
      </c>
    </row>
    <row r="2336" spans="1:3" x14ac:dyDescent="0.3">
      <c r="A2336" s="1">
        <v>45800</v>
      </c>
      <c r="B2336">
        <v>52</v>
      </c>
      <c r="C2336">
        <v>65</v>
      </c>
    </row>
    <row r="2337" spans="1:3" x14ac:dyDescent="0.3">
      <c r="A2337" s="1">
        <v>45801</v>
      </c>
      <c r="B2337">
        <v>45</v>
      </c>
      <c r="C2337">
        <v>48</v>
      </c>
    </row>
    <row r="2338" spans="1:3" x14ac:dyDescent="0.3">
      <c r="A2338" s="1">
        <v>45802</v>
      </c>
      <c r="B2338">
        <v>47</v>
      </c>
      <c r="C2338">
        <v>59</v>
      </c>
    </row>
    <row r="2339" spans="1:3" x14ac:dyDescent="0.3">
      <c r="A2339" s="1">
        <v>45803</v>
      </c>
      <c r="B2339">
        <v>58</v>
      </c>
      <c r="C2339">
        <v>55</v>
      </c>
    </row>
    <row r="2340" spans="1:3" x14ac:dyDescent="0.3">
      <c r="A2340" s="1">
        <v>45804</v>
      </c>
      <c r="B2340">
        <v>50</v>
      </c>
      <c r="C2340">
        <v>55</v>
      </c>
    </row>
    <row r="2341" spans="1:3" x14ac:dyDescent="0.3">
      <c r="A2341" s="1">
        <v>45805</v>
      </c>
      <c r="B2341">
        <v>33</v>
      </c>
      <c r="C2341">
        <v>55</v>
      </c>
    </row>
    <row r="2342" spans="1:3" x14ac:dyDescent="0.3">
      <c r="A2342" s="1">
        <v>45806</v>
      </c>
      <c r="B2342">
        <v>44</v>
      </c>
      <c r="C2342">
        <v>74</v>
      </c>
    </row>
    <row r="2343" spans="1:3" x14ac:dyDescent="0.3">
      <c r="A2343" s="1">
        <v>45807</v>
      </c>
      <c r="B2343">
        <v>44</v>
      </c>
      <c r="C2343">
        <v>64</v>
      </c>
    </row>
    <row r="2344" spans="1:3" x14ac:dyDescent="0.3">
      <c r="A2344" s="1">
        <v>45808</v>
      </c>
      <c r="B2344">
        <v>43</v>
      </c>
      <c r="C2344">
        <v>49</v>
      </c>
    </row>
    <row r="2345" spans="1:3" x14ac:dyDescent="0.3">
      <c r="A2345" s="1">
        <v>45809</v>
      </c>
      <c r="B2345">
        <v>57</v>
      </c>
      <c r="C2345">
        <v>52</v>
      </c>
    </row>
    <row r="2346" spans="1:3" x14ac:dyDescent="0.3">
      <c r="A2346" s="1">
        <v>45810</v>
      </c>
      <c r="B2346">
        <v>49</v>
      </c>
      <c r="C2346">
        <v>67</v>
      </c>
    </row>
    <row r="2347" spans="1:3" x14ac:dyDescent="0.3">
      <c r="A2347" s="1">
        <v>45811</v>
      </c>
      <c r="B2347">
        <v>42</v>
      </c>
      <c r="C2347">
        <v>58</v>
      </c>
    </row>
    <row r="2348" spans="1:3" x14ac:dyDescent="0.3">
      <c r="A2348" s="1">
        <v>45812</v>
      </c>
      <c r="B2348">
        <v>44</v>
      </c>
      <c r="C2348">
        <v>59</v>
      </c>
    </row>
    <row r="2349" spans="1:3" x14ac:dyDescent="0.3">
      <c r="A2349" s="1">
        <v>45813</v>
      </c>
      <c r="B2349">
        <v>40</v>
      </c>
      <c r="C2349">
        <v>52</v>
      </c>
    </row>
    <row r="2350" spans="1:3" x14ac:dyDescent="0.3">
      <c r="A2350" s="1">
        <v>45814</v>
      </c>
      <c r="B2350">
        <v>36</v>
      </c>
      <c r="C2350">
        <v>47</v>
      </c>
    </row>
    <row r="2351" spans="1:3" x14ac:dyDescent="0.3">
      <c r="A2351" s="1">
        <v>45815</v>
      </c>
      <c r="B2351">
        <v>28</v>
      </c>
      <c r="C2351">
        <v>51</v>
      </c>
    </row>
    <row r="2352" spans="1:3" x14ac:dyDescent="0.3">
      <c r="A2352" s="1">
        <v>45816</v>
      </c>
      <c r="B2352">
        <v>47</v>
      </c>
      <c r="C2352">
        <v>63</v>
      </c>
    </row>
    <row r="2353" spans="1:3" x14ac:dyDescent="0.3">
      <c r="A2353" s="1">
        <v>45817</v>
      </c>
      <c r="B2353">
        <v>59</v>
      </c>
      <c r="C2353">
        <v>66</v>
      </c>
    </row>
    <row r="2354" spans="1:3" x14ac:dyDescent="0.3">
      <c r="A2354" s="1">
        <v>45818</v>
      </c>
      <c r="B2354">
        <v>57</v>
      </c>
      <c r="C2354">
        <v>60</v>
      </c>
    </row>
    <row r="2355" spans="1:3" x14ac:dyDescent="0.3">
      <c r="A2355" s="1">
        <v>45819</v>
      </c>
      <c r="B2355">
        <v>51</v>
      </c>
      <c r="C2355">
        <v>51</v>
      </c>
    </row>
    <row r="2356" spans="1:3" x14ac:dyDescent="0.3">
      <c r="A2356" s="1">
        <v>45820</v>
      </c>
      <c r="B2356">
        <v>40</v>
      </c>
      <c r="C2356">
        <v>58</v>
      </c>
    </row>
    <row r="2357" spans="1:3" x14ac:dyDescent="0.3">
      <c r="A2357" s="1">
        <v>45821</v>
      </c>
      <c r="B2357">
        <v>48</v>
      </c>
      <c r="C2357">
        <v>69</v>
      </c>
    </row>
    <row r="2358" spans="1:3" x14ac:dyDescent="0.3">
      <c r="A2358" s="1">
        <v>45822</v>
      </c>
      <c r="B2358">
        <v>49</v>
      </c>
      <c r="C2358">
        <v>62</v>
      </c>
    </row>
    <row r="2359" spans="1:3" x14ac:dyDescent="0.3">
      <c r="A2359" s="1">
        <v>45823</v>
      </c>
      <c r="B2359">
        <v>48</v>
      </c>
      <c r="C2359">
        <v>53</v>
      </c>
    </row>
    <row r="2360" spans="1:3" x14ac:dyDescent="0.3">
      <c r="A2360" s="1">
        <v>45824</v>
      </c>
      <c r="B2360">
        <v>47</v>
      </c>
      <c r="C2360">
        <v>59</v>
      </c>
    </row>
    <row r="2361" spans="1:3" x14ac:dyDescent="0.3">
      <c r="A2361" s="1">
        <v>45825</v>
      </c>
      <c r="B2361">
        <v>41</v>
      </c>
      <c r="C2361">
        <v>61</v>
      </c>
    </row>
    <row r="2362" spans="1:3" x14ac:dyDescent="0.3">
      <c r="A2362" s="1">
        <v>45826</v>
      </c>
      <c r="B2362">
        <v>54</v>
      </c>
      <c r="C2362">
        <v>64</v>
      </c>
    </row>
    <row r="2363" spans="1:3" x14ac:dyDescent="0.3">
      <c r="A2363" s="1">
        <v>45827</v>
      </c>
      <c r="B2363">
        <v>44</v>
      </c>
      <c r="C2363">
        <v>53</v>
      </c>
    </row>
    <row r="2364" spans="1:3" x14ac:dyDescent="0.3">
      <c r="A2364" s="1">
        <v>45828</v>
      </c>
      <c r="B2364">
        <v>42</v>
      </c>
      <c r="C2364">
        <v>52</v>
      </c>
    </row>
    <row r="2365" spans="1:3" x14ac:dyDescent="0.3">
      <c r="A2365" s="1">
        <v>45829</v>
      </c>
      <c r="B2365">
        <v>52</v>
      </c>
      <c r="C2365">
        <v>66</v>
      </c>
    </row>
    <row r="2366" spans="1:3" x14ac:dyDescent="0.3">
      <c r="A2366" s="1">
        <v>45830</v>
      </c>
      <c r="B2366">
        <v>40</v>
      </c>
      <c r="C2366">
        <v>58</v>
      </c>
    </row>
    <row r="2367" spans="1:3" x14ac:dyDescent="0.3">
      <c r="A2367" s="1">
        <v>45831</v>
      </c>
      <c r="B2367">
        <v>51</v>
      </c>
      <c r="C2367">
        <v>37</v>
      </c>
    </row>
    <row r="2368" spans="1:3" x14ac:dyDescent="0.3">
      <c r="A2368" s="1">
        <v>45832</v>
      </c>
      <c r="B2368">
        <v>45</v>
      </c>
      <c r="C2368">
        <v>80</v>
      </c>
    </row>
    <row r="2369" spans="1:3" x14ac:dyDescent="0.3">
      <c r="A2369" s="1">
        <v>45833</v>
      </c>
      <c r="B2369">
        <v>40</v>
      </c>
      <c r="C2369">
        <v>64</v>
      </c>
    </row>
    <row r="2370" spans="1:3" x14ac:dyDescent="0.3">
      <c r="A2370" s="1">
        <v>45834</v>
      </c>
      <c r="B2370">
        <v>48</v>
      </c>
      <c r="C2370">
        <v>61</v>
      </c>
    </row>
    <row r="2371" spans="1:3" x14ac:dyDescent="0.3">
      <c r="A2371" s="1">
        <v>45835</v>
      </c>
      <c r="B2371">
        <v>44</v>
      </c>
      <c r="C2371">
        <v>63</v>
      </c>
    </row>
    <row r="2372" spans="1:3" x14ac:dyDescent="0.3">
      <c r="A2372" s="1">
        <v>45836</v>
      </c>
      <c r="B2372">
        <v>47</v>
      </c>
      <c r="C2372">
        <v>54</v>
      </c>
    </row>
    <row r="2373" spans="1:3" x14ac:dyDescent="0.3">
      <c r="A2373" s="1">
        <v>45837</v>
      </c>
      <c r="B2373">
        <v>48</v>
      </c>
      <c r="C2373">
        <v>53</v>
      </c>
    </row>
    <row r="2374" spans="1:3" x14ac:dyDescent="0.3">
      <c r="A2374" s="1">
        <v>45838</v>
      </c>
      <c r="B2374">
        <v>38</v>
      </c>
      <c r="C2374">
        <v>47</v>
      </c>
    </row>
    <row r="2375" spans="1:3" x14ac:dyDescent="0.3">
      <c r="A2375" s="1">
        <v>45839</v>
      </c>
      <c r="B2375">
        <v>45</v>
      </c>
      <c r="C2375">
        <v>45</v>
      </c>
    </row>
    <row r="2376" spans="1:3" x14ac:dyDescent="0.3">
      <c r="A2376" s="1">
        <v>45840</v>
      </c>
      <c r="B2376">
        <v>41</v>
      </c>
      <c r="C2376">
        <v>50</v>
      </c>
    </row>
    <row r="2377" spans="1:3" x14ac:dyDescent="0.3">
      <c r="A2377" s="1">
        <v>45841</v>
      </c>
      <c r="B2377">
        <v>39</v>
      </c>
      <c r="C2377">
        <v>49</v>
      </c>
    </row>
    <row r="2378" spans="1:3" x14ac:dyDescent="0.3">
      <c r="A2378" s="1">
        <v>45842</v>
      </c>
      <c r="B2378">
        <v>34</v>
      </c>
      <c r="C2378">
        <v>61</v>
      </c>
    </row>
    <row r="2379" spans="1:3" x14ac:dyDescent="0.3">
      <c r="A2379" s="1">
        <v>45843</v>
      </c>
      <c r="B2379">
        <v>39</v>
      </c>
      <c r="C2379">
        <v>56</v>
      </c>
    </row>
    <row r="2380" spans="1:3" x14ac:dyDescent="0.3">
      <c r="A2380" s="1">
        <v>45844</v>
      </c>
      <c r="B2380">
        <v>35</v>
      </c>
      <c r="C2380">
        <v>43</v>
      </c>
    </row>
    <row r="2381" spans="1:3" x14ac:dyDescent="0.3">
      <c r="A2381" s="1">
        <v>45845</v>
      </c>
      <c r="B2381">
        <v>40</v>
      </c>
      <c r="C2381">
        <v>41</v>
      </c>
    </row>
    <row r="2382" spans="1:3" x14ac:dyDescent="0.3">
      <c r="A2382" s="1">
        <v>45846</v>
      </c>
      <c r="B2382">
        <v>43</v>
      </c>
      <c r="C2382">
        <v>46</v>
      </c>
    </row>
    <row r="2383" spans="1:3" x14ac:dyDescent="0.3">
      <c r="A2383" s="1">
        <v>45847</v>
      </c>
      <c r="B2383">
        <v>30</v>
      </c>
      <c r="C2383">
        <v>62</v>
      </c>
    </row>
    <row r="2384" spans="1:3" x14ac:dyDescent="0.3">
      <c r="A2384" s="1">
        <v>45848</v>
      </c>
      <c r="B2384">
        <v>43</v>
      </c>
      <c r="C2384">
        <v>54</v>
      </c>
    </row>
    <row r="2385" spans="1:3" x14ac:dyDescent="0.3">
      <c r="A2385" s="1">
        <v>45849</v>
      </c>
      <c r="B2385">
        <v>31</v>
      </c>
      <c r="C2385">
        <v>61</v>
      </c>
    </row>
    <row r="2386" spans="1:3" x14ac:dyDescent="0.3">
      <c r="A2386" s="1">
        <v>45850</v>
      </c>
      <c r="B2386">
        <v>44</v>
      </c>
      <c r="C2386">
        <v>61</v>
      </c>
    </row>
    <row r="2387" spans="1:3" x14ac:dyDescent="0.3">
      <c r="A2387" s="1">
        <v>45851</v>
      </c>
      <c r="B2387">
        <v>43</v>
      </c>
      <c r="C2387">
        <v>59</v>
      </c>
    </row>
    <row r="2388" spans="1:3" x14ac:dyDescent="0.3">
      <c r="A2388" s="1">
        <v>45852</v>
      </c>
      <c r="B2388">
        <v>52</v>
      </c>
      <c r="C2388">
        <v>62</v>
      </c>
    </row>
    <row r="2389" spans="1:3" x14ac:dyDescent="0.3">
      <c r="A2389" s="1">
        <v>45853</v>
      </c>
      <c r="B2389">
        <v>57</v>
      </c>
      <c r="C2389">
        <v>51</v>
      </c>
    </row>
    <row r="2390" spans="1:3" x14ac:dyDescent="0.3">
      <c r="A2390" s="1">
        <v>45854</v>
      </c>
      <c r="B2390">
        <v>50</v>
      </c>
      <c r="C2390">
        <v>61</v>
      </c>
    </row>
    <row r="2391" spans="1:3" x14ac:dyDescent="0.3">
      <c r="A2391" s="1">
        <v>45855</v>
      </c>
      <c r="B2391">
        <v>47</v>
      </c>
      <c r="C2391">
        <v>60</v>
      </c>
    </row>
    <row r="2392" spans="1:3" x14ac:dyDescent="0.3">
      <c r="A2392" s="1">
        <v>45856</v>
      </c>
      <c r="B2392">
        <v>42</v>
      </c>
      <c r="C2392">
        <v>47</v>
      </c>
    </row>
    <row r="2393" spans="1:3" x14ac:dyDescent="0.3">
      <c r="A2393" s="1">
        <v>45857</v>
      </c>
      <c r="B2393">
        <v>32</v>
      </c>
      <c r="C2393">
        <v>52</v>
      </c>
    </row>
    <row r="2394" spans="1:3" x14ac:dyDescent="0.3">
      <c r="A2394" s="1">
        <v>45858</v>
      </c>
      <c r="B2394">
        <v>43</v>
      </c>
      <c r="C2394">
        <v>63</v>
      </c>
    </row>
    <row r="2395" spans="1:3" x14ac:dyDescent="0.3">
      <c r="A2395" s="1">
        <v>45859</v>
      </c>
      <c r="B2395">
        <v>39</v>
      </c>
      <c r="C2395">
        <v>44</v>
      </c>
    </row>
    <row r="2396" spans="1:3" x14ac:dyDescent="0.3">
      <c r="A2396" s="1">
        <v>45860</v>
      </c>
      <c r="B2396">
        <v>51</v>
      </c>
      <c r="C2396">
        <v>51</v>
      </c>
    </row>
    <row r="2397" spans="1:3" x14ac:dyDescent="0.3">
      <c r="A2397" s="1">
        <v>45861</v>
      </c>
      <c r="B2397">
        <v>40</v>
      </c>
      <c r="C2397">
        <v>56</v>
      </c>
    </row>
    <row r="2398" spans="1:3" x14ac:dyDescent="0.3">
      <c r="A2398" s="1">
        <v>45862</v>
      </c>
      <c r="B2398">
        <v>40</v>
      </c>
      <c r="C2398">
        <v>44</v>
      </c>
    </row>
    <row r="2399" spans="1:3" x14ac:dyDescent="0.3">
      <c r="A2399" s="1">
        <v>45863</v>
      </c>
      <c r="B2399">
        <v>33</v>
      </c>
      <c r="C2399">
        <v>49</v>
      </c>
    </row>
    <row r="2400" spans="1:3" x14ac:dyDescent="0.3">
      <c r="A2400" s="1">
        <v>45864</v>
      </c>
      <c r="B2400">
        <v>33</v>
      </c>
      <c r="C2400">
        <v>65</v>
      </c>
    </row>
    <row r="2401" spans="1:3" x14ac:dyDescent="0.3">
      <c r="A2401" s="1">
        <v>45865</v>
      </c>
      <c r="B2401">
        <v>44</v>
      </c>
      <c r="C2401">
        <v>55</v>
      </c>
    </row>
    <row r="2402" spans="1:3" x14ac:dyDescent="0.3">
      <c r="A2402" s="1">
        <v>45866</v>
      </c>
      <c r="B2402">
        <v>40</v>
      </c>
      <c r="C2402">
        <v>60</v>
      </c>
    </row>
    <row r="2403" spans="1:3" x14ac:dyDescent="0.3">
      <c r="A2403" s="1">
        <v>45867</v>
      </c>
      <c r="B2403">
        <v>46</v>
      </c>
      <c r="C2403">
        <v>55</v>
      </c>
    </row>
    <row r="2404" spans="1:3" x14ac:dyDescent="0.3">
      <c r="A2404" s="1">
        <v>45868</v>
      </c>
      <c r="B2404">
        <v>46</v>
      </c>
      <c r="C2404">
        <v>57</v>
      </c>
    </row>
    <row r="2405" spans="1:3" x14ac:dyDescent="0.3">
      <c r="A2405" s="1">
        <v>45869</v>
      </c>
      <c r="B2405">
        <v>41</v>
      </c>
      <c r="C2405">
        <v>41</v>
      </c>
    </row>
    <row r="2406" spans="1:3" x14ac:dyDescent="0.3">
      <c r="A2406" s="1">
        <v>45870</v>
      </c>
      <c r="B2406">
        <v>28</v>
      </c>
      <c r="C2406">
        <v>51</v>
      </c>
    </row>
    <row r="2407" spans="1:3" x14ac:dyDescent="0.3">
      <c r="A2407" s="1">
        <v>45871</v>
      </c>
      <c r="B2407">
        <v>46</v>
      </c>
      <c r="C2407">
        <v>64</v>
      </c>
    </row>
    <row r="2408" spans="1:3" x14ac:dyDescent="0.3">
      <c r="A2408" s="1">
        <v>45872</v>
      </c>
      <c r="B2408">
        <v>38</v>
      </c>
      <c r="C2408">
        <v>46</v>
      </c>
    </row>
    <row r="2409" spans="1:3" x14ac:dyDescent="0.3">
      <c r="A2409" s="1">
        <v>45873</v>
      </c>
      <c r="B2409">
        <v>30</v>
      </c>
      <c r="C2409">
        <v>40</v>
      </c>
    </row>
    <row r="2410" spans="1:3" x14ac:dyDescent="0.3">
      <c r="A2410" s="1">
        <v>45874</v>
      </c>
      <c r="B2410">
        <v>56</v>
      </c>
      <c r="C2410">
        <v>56</v>
      </c>
    </row>
    <row r="2411" spans="1:3" x14ac:dyDescent="0.3">
      <c r="A2411" s="1">
        <v>45875</v>
      </c>
      <c r="B2411">
        <v>38</v>
      </c>
      <c r="C2411">
        <v>27</v>
      </c>
    </row>
    <row r="2412" spans="1:3" x14ac:dyDescent="0.3">
      <c r="A2412" s="1">
        <v>45876</v>
      </c>
      <c r="B2412">
        <v>34</v>
      </c>
      <c r="C2412">
        <v>49</v>
      </c>
    </row>
    <row r="2413" spans="1:3" x14ac:dyDescent="0.3">
      <c r="A2413" s="1">
        <v>45877</v>
      </c>
      <c r="B2413">
        <v>34</v>
      </c>
      <c r="C2413">
        <v>49</v>
      </c>
    </row>
    <row r="2414" spans="1:3" x14ac:dyDescent="0.3">
      <c r="A2414" s="1">
        <v>45878</v>
      </c>
      <c r="B2414">
        <v>38</v>
      </c>
      <c r="C2414">
        <v>51</v>
      </c>
    </row>
    <row r="2415" spans="1:3" x14ac:dyDescent="0.3">
      <c r="A2415" s="1">
        <v>45879</v>
      </c>
      <c r="B2415">
        <v>46</v>
      </c>
      <c r="C2415">
        <v>56</v>
      </c>
    </row>
    <row r="2416" spans="1:3" x14ac:dyDescent="0.3">
      <c r="A2416" s="1">
        <v>45880</v>
      </c>
      <c r="B2416">
        <v>47</v>
      </c>
      <c r="C2416">
        <v>64</v>
      </c>
    </row>
    <row r="2417" spans="1:3" x14ac:dyDescent="0.3">
      <c r="A2417" s="1">
        <v>45881</v>
      </c>
      <c r="B2417">
        <v>57</v>
      </c>
      <c r="C2417">
        <v>61</v>
      </c>
    </row>
    <row r="2418" spans="1:3" x14ac:dyDescent="0.3">
      <c r="A2418" s="1">
        <v>45882</v>
      </c>
      <c r="B2418">
        <v>48</v>
      </c>
      <c r="C2418">
        <v>69</v>
      </c>
    </row>
    <row r="2419" spans="1:3" x14ac:dyDescent="0.3">
      <c r="A2419" s="1">
        <v>45883</v>
      </c>
      <c r="B2419">
        <v>43</v>
      </c>
      <c r="C2419">
        <v>50</v>
      </c>
    </row>
    <row r="2420" spans="1:3" x14ac:dyDescent="0.3">
      <c r="A2420" s="1">
        <v>45884</v>
      </c>
      <c r="B2420">
        <v>24</v>
      </c>
      <c r="C2420">
        <v>52</v>
      </c>
    </row>
    <row r="2421" spans="1:3" x14ac:dyDescent="0.3">
      <c r="A2421" s="1">
        <v>45885</v>
      </c>
      <c r="B2421">
        <v>42</v>
      </c>
      <c r="C2421">
        <v>47</v>
      </c>
    </row>
    <row r="2422" spans="1:3" x14ac:dyDescent="0.3">
      <c r="A2422" s="1">
        <v>45886</v>
      </c>
      <c r="B2422">
        <v>57</v>
      </c>
      <c r="C2422">
        <v>74</v>
      </c>
    </row>
    <row r="2423" spans="1:3" x14ac:dyDescent="0.3">
      <c r="A2423" s="1">
        <v>45887</v>
      </c>
      <c r="B2423">
        <v>40</v>
      </c>
      <c r="C2423">
        <v>44</v>
      </c>
    </row>
    <row r="2424" spans="1:3" x14ac:dyDescent="0.3">
      <c r="A2424" s="1">
        <v>45888</v>
      </c>
      <c r="B2424">
        <v>49</v>
      </c>
      <c r="C2424">
        <v>50</v>
      </c>
    </row>
    <row r="2425" spans="1:3" x14ac:dyDescent="0.3">
      <c r="A2425" s="1">
        <v>45889</v>
      </c>
      <c r="B2425">
        <v>37</v>
      </c>
      <c r="C2425">
        <v>49</v>
      </c>
    </row>
    <row r="2426" spans="1:3" x14ac:dyDescent="0.3">
      <c r="A2426" s="1">
        <v>45890</v>
      </c>
      <c r="B2426">
        <v>34</v>
      </c>
      <c r="C2426">
        <v>52</v>
      </c>
    </row>
    <row r="2427" spans="1:3" x14ac:dyDescent="0.3">
      <c r="A2427" s="1">
        <v>45891</v>
      </c>
      <c r="B2427">
        <v>40</v>
      </c>
      <c r="C2427">
        <v>80</v>
      </c>
    </row>
    <row r="2428" spans="1:3" x14ac:dyDescent="0.3">
      <c r="A2428" s="1">
        <v>45892</v>
      </c>
      <c r="B2428">
        <v>42</v>
      </c>
      <c r="C2428">
        <v>58</v>
      </c>
    </row>
    <row r="2429" spans="1:3" x14ac:dyDescent="0.3">
      <c r="A2429" s="1">
        <v>45893</v>
      </c>
      <c r="B2429">
        <v>50</v>
      </c>
      <c r="C2429">
        <v>49</v>
      </c>
    </row>
    <row r="2430" spans="1:3" x14ac:dyDescent="0.3">
      <c r="A2430" s="1">
        <v>45894</v>
      </c>
      <c r="B2430">
        <v>41</v>
      </c>
      <c r="C2430">
        <v>55</v>
      </c>
    </row>
    <row r="2431" spans="1:3" x14ac:dyDescent="0.3">
      <c r="A2431" s="1">
        <v>45895</v>
      </c>
      <c r="B2431">
        <v>48</v>
      </c>
      <c r="C2431">
        <v>41</v>
      </c>
    </row>
    <row r="2432" spans="1:3" x14ac:dyDescent="0.3">
      <c r="A2432" s="1">
        <v>45896</v>
      </c>
      <c r="B2432">
        <v>47</v>
      </c>
      <c r="C2432">
        <v>45</v>
      </c>
    </row>
    <row r="2433" spans="1:3" x14ac:dyDescent="0.3">
      <c r="A2433" s="1">
        <v>45897</v>
      </c>
      <c r="B2433">
        <v>41</v>
      </c>
      <c r="C2433">
        <v>58</v>
      </c>
    </row>
    <row r="2434" spans="1:3" x14ac:dyDescent="0.3">
      <c r="A2434" s="1">
        <v>45898</v>
      </c>
      <c r="B2434">
        <v>47</v>
      </c>
      <c r="C2434">
        <v>47</v>
      </c>
    </row>
    <row r="2435" spans="1:3" x14ac:dyDescent="0.3">
      <c r="A2435" s="1">
        <v>45899</v>
      </c>
      <c r="B2435">
        <v>43</v>
      </c>
      <c r="C2435">
        <v>68</v>
      </c>
    </row>
    <row r="2436" spans="1:3" x14ac:dyDescent="0.3">
      <c r="A2436" s="1">
        <v>45900</v>
      </c>
      <c r="B2436">
        <v>45</v>
      </c>
      <c r="C2436">
        <v>55</v>
      </c>
    </row>
    <row r="2437" spans="1:3" x14ac:dyDescent="0.3">
      <c r="A2437" s="1">
        <v>45901</v>
      </c>
      <c r="B2437">
        <v>47</v>
      </c>
      <c r="C2437">
        <v>59</v>
      </c>
    </row>
    <row r="2438" spans="1:3" x14ac:dyDescent="0.3">
      <c r="A2438" s="1">
        <v>45902</v>
      </c>
      <c r="B2438">
        <v>34</v>
      </c>
      <c r="C2438">
        <v>42</v>
      </c>
    </row>
    <row r="2439" spans="1:3" x14ac:dyDescent="0.3">
      <c r="A2439" s="1">
        <v>45903</v>
      </c>
      <c r="B2439">
        <v>45</v>
      </c>
      <c r="C2439">
        <v>40</v>
      </c>
    </row>
    <row r="2440" spans="1:3" x14ac:dyDescent="0.3">
      <c r="A2440" s="1">
        <v>45904</v>
      </c>
      <c r="B2440">
        <v>28</v>
      </c>
      <c r="C2440">
        <v>44</v>
      </c>
    </row>
    <row r="2441" spans="1:3" x14ac:dyDescent="0.3">
      <c r="A2441" s="1">
        <v>45905</v>
      </c>
      <c r="B2441">
        <v>49</v>
      </c>
      <c r="C2441">
        <v>69</v>
      </c>
    </row>
    <row r="2442" spans="1:3" x14ac:dyDescent="0.3">
      <c r="A2442" s="1">
        <v>45906</v>
      </c>
      <c r="B2442">
        <v>40</v>
      </c>
      <c r="C2442">
        <v>58</v>
      </c>
    </row>
    <row r="2443" spans="1:3" x14ac:dyDescent="0.3">
      <c r="A2443" s="1">
        <v>45907</v>
      </c>
      <c r="B2443">
        <v>46</v>
      </c>
      <c r="C2443">
        <v>50</v>
      </c>
    </row>
    <row r="2444" spans="1:3" x14ac:dyDescent="0.3">
      <c r="A2444" s="1">
        <v>45908</v>
      </c>
      <c r="B2444">
        <v>36</v>
      </c>
      <c r="C2444">
        <v>55</v>
      </c>
    </row>
    <row r="2445" spans="1:3" x14ac:dyDescent="0.3">
      <c r="A2445" s="1">
        <v>45909</v>
      </c>
      <c r="B2445">
        <v>46</v>
      </c>
      <c r="C2445">
        <v>45</v>
      </c>
    </row>
    <row r="2446" spans="1:3" x14ac:dyDescent="0.3">
      <c r="A2446" s="1">
        <v>45910</v>
      </c>
      <c r="B2446">
        <v>39</v>
      </c>
      <c r="C2446">
        <v>39</v>
      </c>
    </row>
    <row r="2447" spans="1:3" x14ac:dyDescent="0.3">
      <c r="A2447" s="1">
        <v>45911</v>
      </c>
      <c r="B2447">
        <v>36</v>
      </c>
      <c r="C2447">
        <v>38</v>
      </c>
    </row>
    <row r="2448" spans="1:3" x14ac:dyDescent="0.3">
      <c r="A2448" s="1">
        <v>45912</v>
      </c>
      <c r="B2448">
        <v>23</v>
      </c>
      <c r="C2448">
        <v>38</v>
      </c>
    </row>
    <row r="2449" spans="1:3" x14ac:dyDescent="0.3">
      <c r="A2449" s="1">
        <v>45913</v>
      </c>
      <c r="B2449">
        <v>30</v>
      </c>
      <c r="C2449">
        <v>35</v>
      </c>
    </row>
    <row r="2450" spans="1:3" x14ac:dyDescent="0.3">
      <c r="A2450" s="1">
        <v>45914</v>
      </c>
      <c r="B2450">
        <v>24</v>
      </c>
      <c r="C2450">
        <v>39</v>
      </c>
    </row>
    <row r="2451" spans="1:3" x14ac:dyDescent="0.3">
      <c r="A2451" s="1">
        <v>45915</v>
      </c>
      <c r="B2451">
        <v>40</v>
      </c>
      <c r="C2451">
        <v>56</v>
      </c>
    </row>
    <row r="2452" spans="1:3" x14ac:dyDescent="0.3">
      <c r="A2452" s="1">
        <v>45916</v>
      </c>
      <c r="B2452">
        <v>41</v>
      </c>
      <c r="C2452">
        <v>63</v>
      </c>
    </row>
    <row r="2453" spans="1:3" x14ac:dyDescent="0.3">
      <c r="A2453" s="1">
        <v>45917</v>
      </c>
      <c r="B2453">
        <v>54</v>
      </c>
      <c r="C2453">
        <v>56</v>
      </c>
    </row>
    <row r="2454" spans="1:3" x14ac:dyDescent="0.3">
      <c r="A2454" s="1">
        <v>45918</v>
      </c>
      <c r="B2454">
        <v>50</v>
      </c>
      <c r="C2454">
        <v>58</v>
      </c>
    </row>
    <row r="2455" spans="1:3" x14ac:dyDescent="0.3">
      <c r="A2455" s="1">
        <v>45919</v>
      </c>
      <c r="B2455">
        <v>36</v>
      </c>
      <c r="C2455">
        <v>36</v>
      </c>
    </row>
    <row r="2456" spans="1:3" x14ac:dyDescent="0.3">
      <c r="A2456" s="1">
        <v>45920</v>
      </c>
      <c r="B2456">
        <v>24</v>
      </c>
      <c r="C2456">
        <v>46</v>
      </c>
    </row>
    <row r="2457" spans="1:3" x14ac:dyDescent="0.3">
      <c r="A2457" s="1">
        <v>45921</v>
      </c>
      <c r="B2457">
        <v>19</v>
      </c>
      <c r="C2457">
        <v>47</v>
      </c>
    </row>
    <row r="2458" spans="1:3" x14ac:dyDescent="0.3">
      <c r="A2458" s="1">
        <v>45922</v>
      </c>
      <c r="B2458">
        <v>24</v>
      </c>
      <c r="C2458">
        <v>32</v>
      </c>
    </row>
    <row r="2459" spans="1:3" x14ac:dyDescent="0.3">
      <c r="A2459" s="1">
        <v>45923</v>
      </c>
      <c r="B2459">
        <v>38</v>
      </c>
      <c r="C2459">
        <v>58</v>
      </c>
    </row>
    <row r="2460" spans="1:3" x14ac:dyDescent="0.3">
      <c r="A2460" s="1">
        <v>45924</v>
      </c>
      <c r="B2460">
        <v>41</v>
      </c>
      <c r="C2460">
        <v>47</v>
      </c>
    </row>
    <row r="2461" spans="1:3" x14ac:dyDescent="0.3">
      <c r="A2461" s="1">
        <v>45925</v>
      </c>
      <c r="B2461">
        <v>35</v>
      </c>
      <c r="C2461">
        <v>28</v>
      </c>
    </row>
    <row r="2462" spans="1:3" x14ac:dyDescent="0.3">
      <c r="A2462" s="1">
        <v>45926</v>
      </c>
      <c r="B2462">
        <v>36</v>
      </c>
      <c r="C2462">
        <v>41</v>
      </c>
    </row>
    <row r="2463" spans="1:3" x14ac:dyDescent="0.3">
      <c r="A2463" s="1">
        <v>45927</v>
      </c>
      <c r="B2463">
        <v>43</v>
      </c>
      <c r="C2463">
        <v>59</v>
      </c>
    </row>
    <row r="2464" spans="1:3" x14ac:dyDescent="0.3">
      <c r="A2464" s="1">
        <v>45928</v>
      </c>
      <c r="B2464">
        <v>38</v>
      </c>
      <c r="C2464">
        <v>67</v>
      </c>
    </row>
    <row r="2465" spans="1:3" x14ac:dyDescent="0.3">
      <c r="A2465" s="1">
        <v>45929</v>
      </c>
      <c r="B2465">
        <v>55</v>
      </c>
      <c r="C2465">
        <v>60</v>
      </c>
    </row>
    <row r="2466" spans="1:3" x14ac:dyDescent="0.3">
      <c r="A2466" s="1">
        <v>45930</v>
      </c>
      <c r="B2466">
        <v>41</v>
      </c>
      <c r="C2466">
        <v>46</v>
      </c>
    </row>
    <row r="2467" spans="1:3" x14ac:dyDescent="0.3">
      <c r="A2467" s="1">
        <v>45931</v>
      </c>
      <c r="B2467">
        <v>37</v>
      </c>
      <c r="C2467">
        <v>69</v>
      </c>
    </row>
    <row r="2468" spans="1:3" x14ac:dyDescent="0.3">
      <c r="A2468" s="1">
        <v>45932</v>
      </c>
      <c r="B2468">
        <v>42</v>
      </c>
      <c r="C2468">
        <v>53</v>
      </c>
    </row>
    <row r="2469" spans="1:3" x14ac:dyDescent="0.3">
      <c r="A2469" s="1">
        <v>45933</v>
      </c>
      <c r="B2469">
        <v>48</v>
      </c>
      <c r="C2469">
        <v>62</v>
      </c>
    </row>
    <row r="2470" spans="1:3" x14ac:dyDescent="0.3">
      <c r="A2470" s="1">
        <v>45934</v>
      </c>
      <c r="B2470">
        <v>47</v>
      </c>
      <c r="C2470">
        <v>64</v>
      </c>
    </row>
    <row r="2471" spans="1:3" x14ac:dyDescent="0.3">
      <c r="A2471" s="1">
        <v>45935</v>
      </c>
      <c r="B2471">
        <v>42</v>
      </c>
      <c r="C2471">
        <v>60</v>
      </c>
    </row>
    <row r="2472" spans="1:3" x14ac:dyDescent="0.3">
      <c r="A2472" s="1">
        <v>45936</v>
      </c>
      <c r="B2472">
        <v>41</v>
      </c>
      <c r="C2472">
        <v>45</v>
      </c>
    </row>
    <row r="2473" spans="1:3" x14ac:dyDescent="0.3">
      <c r="A2473" s="1">
        <v>45937</v>
      </c>
      <c r="B2473">
        <v>40</v>
      </c>
      <c r="C2473">
        <v>46</v>
      </c>
    </row>
    <row r="2474" spans="1:3" x14ac:dyDescent="0.3">
      <c r="A2474" s="1">
        <v>45938</v>
      </c>
      <c r="B2474">
        <v>23</v>
      </c>
      <c r="C2474">
        <v>24</v>
      </c>
    </row>
    <row r="2475" spans="1:3" x14ac:dyDescent="0.3">
      <c r="A2475" s="1">
        <v>45939</v>
      </c>
      <c r="B2475">
        <v>28</v>
      </c>
      <c r="C2475">
        <v>29</v>
      </c>
    </row>
    <row r="2476" spans="1:3" x14ac:dyDescent="0.3">
      <c r="A2476" s="1">
        <v>45940</v>
      </c>
      <c r="B2476">
        <v>34</v>
      </c>
      <c r="C2476">
        <v>33</v>
      </c>
    </row>
    <row r="2477" spans="1:3" x14ac:dyDescent="0.3">
      <c r="A2477" s="1">
        <v>45941</v>
      </c>
      <c r="B2477">
        <v>35</v>
      </c>
      <c r="C2477">
        <v>36</v>
      </c>
    </row>
    <row r="2478" spans="1:3" x14ac:dyDescent="0.3">
      <c r="A2478" s="1">
        <v>45942</v>
      </c>
      <c r="B2478">
        <v>21</v>
      </c>
      <c r="C2478">
        <v>29</v>
      </c>
    </row>
    <row r="2479" spans="1:3" x14ac:dyDescent="0.3">
      <c r="A2479" s="1">
        <v>45943</v>
      </c>
      <c r="B2479">
        <v>41</v>
      </c>
      <c r="C2479">
        <v>41</v>
      </c>
    </row>
    <row r="2480" spans="1:3" x14ac:dyDescent="0.3">
      <c r="A2480" s="1">
        <v>45944</v>
      </c>
      <c r="B2480">
        <v>44</v>
      </c>
      <c r="C2480">
        <v>61</v>
      </c>
    </row>
    <row r="2481" spans="1:3" x14ac:dyDescent="0.3">
      <c r="A2481" s="1">
        <v>45945</v>
      </c>
      <c r="B2481">
        <v>31</v>
      </c>
      <c r="C2481">
        <v>32</v>
      </c>
    </row>
    <row r="2482" spans="1:3" x14ac:dyDescent="0.3">
      <c r="A2482" s="1">
        <v>45946</v>
      </c>
      <c r="B2482">
        <v>25</v>
      </c>
      <c r="C2482">
        <v>31</v>
      </c>
    </row>
    <row r="2483" spans="1:3" x14ac:dyDescent="0.3">
      <c r="A2483" s="1">
        <v>45947</v>
      </c>
      <c r="B2483">
        <v>37</v>
      </c>
      <c r="C2483">
        <v>24</v>
      </c>
    </row>
    <row r="2484" spans="1:3" x14ac:dyDescent="0.3">
      <c r="A2484" s="1">
        <v>45948</v>
      </c>
      <c r="B2484">
        <v>36</v>
      </c>
      <c r="C2484">
        <v>51</v>
      </c>
    </row>
    <row r="2485" spans="1:3" x14ac:dyDescent="0.3">
      <c r="A2485" s="1">
        <v>45949</v>
      </c>
      <c r="B2485">
        <v>38</v>
      </c>
      <c r="C2485">
        <v>55</v>
      </c>
    </row>
  </sheetData>
  <sortState xmlns:xlrd2="http://schemas.microsoft.com/office/spreadsheetml/2017/richdata2" ref="P2:Q2485">
    <sortCondition ref="Q2:Q2485"/>
  </sortState>
  <conditionalFormatting sqref="G1:G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O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:Q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4495-D970-42D9-B414-CACE5D0E433D}">
  <dimension ref="C1:Q43"/>
  <sheetViews>
    <sheetView tabSelected="1" zoomScale="60" zoomScaleNormal="60" workbookViewId="0">
      <selection activeCell="C2" sqref="C2:C43"/>
    </sheetView>
  </sheetViews>
  <sheetFormatPr defaultRowHeight="14.4" x14ac:dyDescent="0.3"/>
  <cols>
    <col min="4" max="4" width="14.33203125" customWidth="1"/>
  </cols>
  <sheetData>
    <row r="1" spans="3:17" x14ac:dyDescent="0.3">
      <c r="C1" t="s">
        <v>15</v>
      </c>
      <c r="D1" t="s">
        <v>16</v>
      </c>
      <c r="E1" t="s">
        <v>17</v>
      </c>
      <c r="G1" t="s">
        <v>15</v>
      </c>
      <c r="H1" t="s">
        <v>17</v>
      </c>
      <c r="Q1" t="s">
        <v>18</v>
      </c>
    </row>
    <row r="2" spans="3:17" x14ac:dyDescent="0.3">
      <c r="C2" s="6">
        <v>44562</v>
      </c>
      <c r="D2">
        <v>4049469623.8199997</v>
      </c>
      <c r="E2" s="5">
        <f>D2/907.1847</f>
        <v>4463776.3664003592</v>
      </c>
      <c r="G2" s="2">
        <v>45323</v>
      </c>
      <c r="H2">
        <v>2837593.7901399792</v>
      </c>
      <c r="J2" t="s">
        <v>19</v>
      </c>
      <c r="K2" t="s">
        <v>20</v>
      </c>
      <c r="L2" t="s">
        <v>21</v>
      </c>
      <c r="M2" t="s">
        <v>22</v>
      </c>
      <c r="Q2" t="s">
        <v>23</v>
      </c>
    </row>
    <row r="3" spans="3:17" ht="36.9" customHeight="1" x14ac:dyDescent="0.3">
      <c r="C3" s="6">
        <v>44593</v>
      </c>
      <c r="D3">
        <v>3098052075.9700003</v>
      </c>
      <c r="E3" s="5">
        <f t="shared" ref="E3:E43" si="0">D3/907.1847</f>
        <v>3415017.9957510307</v>
      </c>
      <c r="G3" s="2">
        <v>45627</v>
      </c>
      <c r="H3">
        <v>2988681.7731163232</v>
      </c>
      <c r="J3">
        <v>2022</v>
      </c>
      <c r="K3" s="5">
        <f>SUM(E2:E7)</f>
        <v>26342478.879119102</v>
      </c>
      <c r="L3">
        <f>K6/K3</f>
        <v>0.76190511756977231</v>
      </c>
      <c r="M3">
        <f>1-L3</f>
        <v>0.23809488243022769</v>
      </c>
    </row>
    <row r="4" spans="3:17" x14ac:dyDescent="0.3">
      <c r="C4" s="6">
        <v>44621</v>
      </c>
      <c r="D4">
        <v>3355139604.1000004</v>
      </c>
      <c r="E4" s="5">
        <f t="shared" si="0"/>
        <v>3698408.4984017038</v>
      </c>
      <c r="G4" s="2">
        <v>45748</v>
      </c>
      <c r="H4">
        <v>3033215.7614210201</v>
      </c>
      <c r="J4">
        <v>2023</v>
      </c>
      <c r="K4" s="5">
        <f>SUM(E14:E19)</f>
        <v>25877543.924373947</v>
      </c>
      <c r="L4">
        <f>K6/K4</f>
        <v>0.77559406434125278</v>
      </c>
      <c r="M4">
        <f>1-L4</f>
        <v>0.22440593565874722</v>
      </c>
    </row>
    <row r="5" spans="3:17" x14ac:dyDescent="0.3">
      <c r="C5" s="6">
        <v>44652</v>
      </c>
      <c r="D5">
        <v>4208892312.0100002</v>
      </c>
      <c r="E5" s="5">
        <f t="shared" si="0"/>
        <v>4639509.8065586863</v>
      </c>
      <c r="G5" s="2">
        <v>45689</v>
      </c>
      <c r="H5">
        <v>3103271.5290833279</v>
      </c>
      <c r="J5">
        <v>2024</v>
      </c>
      <c r="K5" s="5">
        <f>SUM(E26:E31)</f>
        <v>22277169.372929238</v>
      </c>
      <c r="L5">
        <f>K6/K5</f>
        <v>0.90094343367805552</v>
      </c>
      <c r="M5">
        <f>1-L5</f>
        <v>9.9056566321944484E-2</v>
      </c>
    </row>
    <row r="6" spans="3:17" x14ac:dyDescent="0.3">
      <c r="C6" s="6">
        <v>44682</v>
      </c>
      <c r="D6">
        <v>4392386983.79</v>
      </c>
      <c r="E6" s="5">
        <f t="shared" si="0"/>
        <v>4841778.0676746424</v>
      </c>
      <c r="G6" s="2">
        <v>45809</v>
      </c>
      <c r="H6">
        <v>3135779.0554999439</v>
      </c>
      <c r="J6">
        <v>2025</v>
      </c>
      <c r="K6" s="5">
        <f>SUM(E38:E43)</f>
        <v>20070469.467474483</v>
      </c>
    </row>
    <row r="7" spans="3:17" x14ac:dyDescent="0.3">
      <c r="C7" s="6">
        <v>44713</v>
      </c>
      <c r="D7">
        <v>4793553199.5200005</v>
      </c>
      <c r="E7" s="5">
        <f t="shared" si="0"/>
        <v>5283988.1443326818</v>
      </c>
      <c r="G7" s="2">
        <v>45231</v>
      </c>
      <c r="H7">
        <v>3198569.4916151036</v>
      </c>
    </row>
    <row r="8" spans="3:17" x14ac:dyDescent="0.3">
      <c r="C8" s="6">
        <v>44743</v>
      </c>
      <c r="D8">
        <v>5230093052.96</v>
      </c>
      <c r="E8" s="5">
        <f t="shared" si="0"/>
        <v>5765190.9836662812</v>
      </c>
      <c r="G8" s="2">
        <v>45292</v>
      </c>
      <c r="H8">
        <v>3233760.9927614522</v>
      </c>
    </row>
    <row r="9" spans="3:17" x14ac:dyDescent="0.3">
      <c r="C9" s="6">
        <v>44774</v>
      </c>
      <c r="D9">
        <v>3728699105.7600002</v>
      </c>
      <c r="E9" s="5">
        <f t="shared" si="0"/>
        <v>4110187.3805411402</v>
      </c>
      <c r="G9" s="2">
        <v>45566</v>
      </c>
      <c r="H9">
        <v>3290536.2944061994</v>
      </c>
    </row>
    <row r="10" spans="3:17" x14ac:dyDescent="0.3">
      <c r="C10" s="6">
        <v>44805</v>
      </c>
      <c r="D10">
        <v>3774319704.0900002</v>
      </c>
      <c r="E10" s="5">
        <f t="shared" si="0"/>
        <v>4160475.4843087634</v>
      </c>
      <c r="G10" s="2">
        <v>45778</v>
      </c>
      <c r="H10">
        <v>3346093.4266417851</v>
      </c>
    </row>
    <row r="11" spans="3:17" x14ac:dyDescent="0.3">
      <c r="C11" s="6">
        <v>44835</v>
      </c>
      <c r="D11">
        <v>4020905773.3699999</v>
      </c>
      <c r="E11" s="5">
        <f t="shared" si="0"/>
        <v>4432290.1095774649</v>
      </c>
      <c r="G11" s="2">
        <v>44593</v>
      </c>
      <c r="H11">
        <v>3415017.9957510307</v>
      </c>
    </row>
    <row r="12" spans="3:17" x14ac:dyDescent="0.3">
      <c r="C12" s="6">
        <v>44866</v>
      </c>
      <c r="D12">
        <v>4252658271.9700003</v>
      </c>
      <c r="E12" s="5">
        <f t="shared" si="0"/>
        <v>4687753.5213832418</v>
      </c>
      <c r="G12" s="2">
        <v>45597</v>
      </c>
      <c r="H12">
        <v>3434922.2224647305</v>
      </c>
    </row>
    <row r="13" spans="3:17" x14ac:dyDescent="0.3">
      <c r="C13" s="6">
        <v>44896</v>
      </c>
      <c r="D13">
        <v>3991336586.5500002</v>
      </c>
      <c r="E13" s="5">
        <f t="shared" si="0"/>
        <v>4399695.6590537736</v>
      </c>
      <c r="G13" s="2">
        <v>45261</v>
      </c>
      <c r="H13">
        <v>3454303.7297145776</v>
      </c>
    </row>
    <row r="14" spans="3:17" x14ac:dyDescent="0.3">
      <c r="C14" s="6">
        <v>44927</v>
      </c>
      <c r="D14">
        <v>3949224515.4400001</v>
      </c>
      <c r="E14" s="5">
        <f t="shared" si="0"/>
        <v>4353275.0446959697</v>
      </c>
      <c r="G14" s="2">
        <v>45474</v>
      </c>
      <c r="H14">
        <v>3477204.4554653531</v>
      </c>
    </row>
    <row r="15" spans="3:17" x14ac:dyDescent="0.3">
      <c r="C15" s="6">
        <v>44958</v>
      </c>
      <c r="D15">
        <v>4001442163.6300001</v>
      </c>
      <c r="E15" s="5">
        <f t="shared" si="0"/>
        <v>4410835.1514636436</v>
      </c>
      <c r="G15" s="2">
        <v>45352</v>
      </c>
      <c r="H15">
        <v>3485302.7501566107</v>
      </c>
    </row>
    <row r="16" spans="3:17" x14ac:dyDescent="0.3">
      <c r="C16" s="6">
        <v>44986</v>
      </c>
      <c r="D16">
        <v>4640937822.5599995</v>
      </c>
      <c r="E16" s="5">
        <f t="shared" si="0"/>
        <v>5115758.4806710249</v>
      </c>
      <c r="G16" s="2">
        <v>45505</v>
      </c>
      <c r="H16">
        <v>3618999.5304153608</v>
      </c>
    </row>
    <row r="17" spans="3:8" x14ac:dyDescent="0.3">
      <c r="C17" s="6">
        <v>45017</v>
      </c>
      <c r="D17">
        <v>3867587841.6500001</v>
      </c>
      <c r="E17" s="5">
        <f t="shared" si="0"/>
        <v>4263286.0118231708</v>
      </c>
      <c r="G17" s="2">
        <v>45717</v>
      </c>
      <c r="H17">
        <v>3693453.0940281511</v>
      </c>
    </row>
    <row r="18" spans="3:8" x14ac:dyDescent="0.3">
      <c r="C18" s="6">
        <v>45047</v>
      </c>
      <c r="D18">
        <v>3384130692.77</v>
      </c>
      <c r="E18" s="5">
        <f t="shared" si="0"/>
        <v>3730365.7047677282</v>
      </c>
      <c r="G18" s="2">
        <v>44621</v>
      </c>
      <c r="H18">
        <v>3698408.4984017038</v>
      </c>
    </row>
    <row r="19" spans="3:8" x14ac:dyDescent="0.3">
      <c r="C19" s="6">
        <v>45078</v>
      </c>
      <c r="D19">
        <v>3632388885.7200003</v>
      </c>
      <c r="E19" s="5">
        <f t="shared" si="0"/>
        <v>4004023.530952407</v>
      </c>
      <c r="G19" s="2">
        <v>45047</v>
      </c>
      <c r="H19">
        <v>3730365.7047677282</v>
      </c>
    </row>
    <row r="20" spans="3:8" x14ac:dyDescent="0.3">
      <c r="C20" s="6">
        <v>45108</v>
      </c>
      <c r="D20">
        <v>3768178585.6900001</v>
      </c>
      <c r="E20" s="5">
        <f t="shared" si="0"/>
        <v>4153706.0597362369</v>
      </c>
      <c r="G20" s="2">
        <v>45658</v>
      </c>
      <c r="H20">
        <v>3758656.6008002562</v>
      </c>
    </row>
    <row r="21" spans="3:8" x14ac:dyDescent="0.3">
      <c r="C21" s="6">
        <v>45139</v>
      </c>
      <c r="D21">
        <v>3607366938.1500001</v>
      </c>
      <c r="E21" s="5">
        <f t="shared" si="0"/>
        <v>3976441.5539084817</v>
      </c>
      <c r="G21" s="2">
        <v>45200</v>
      </c>
      <c r="H21">
        <v>3802121.9032022916</v>
      </c>
    </row>
    <row r="22" spans="3:8" x14ac:dyDescent="0.3">
      <c r="C22" s="6">
        <v>45170</v>
      </c>
      <c r="D22">
        <v>3878448594.5</v>
      </c>
      <c r="E22" s="5">
        <f t="shared" si="0"/>
        <v>4275257.9430627525</v>
      </c>
      <c r="G22" s="2">
        <v>45536</v>
      </c>
      <c r="H22">
        <v>3965565.7920597647</v>
      </c>
    </row>
    <row r="23" spans="3:8" x14ac:dyDescent="0.3">
      <c r="C23" s="6">
        <v>45200</v>
      </c>
      <c r="D23">
        <v>3449226818.1199999</v>
      </c>
      <c r="E23" s="5">
        <f t="shared" si="0"/>
        <v>3802121.9032022916</v>
      </c>
      <c r="G23" s="2">
        <v>45139</v>
      </c>
      <c r="H23">
        <v>3976441.5539084817</v>
      </c>
    </row>
    <row r="24" spans="3:8" x14ac:dyDescent="0.3">
      <c r="C24" s="6">
        <v>45231</v>
      </c>
      <c r="D24">
        <v>2901693304.6800003</v>
      </c>
      <c r="E24" s="5">
        <f t="shared" si="0"/>
        <v>3198569.4916151036</v>
      </c>
      <c r="G24" s="2">
        <v>45078</v>
      </c>
      <c r="H24">
        <v>4004023.530952407</v>
      </c>
    </row>
    <row r="25" spans="3:8" x14ac:dyDescent="0.3">
      <c r="C25" s="6">
        <v>45261</v>
      </c>
      <c r="D25">
        <v>3133691492.75</v>
      </c>
      <c r="E25" s="5">
        <f t="shared" si="0"/>
        <v>3454303.7297145776</v>
      </c>
      <c r="G25" s="2">
        <v>45444</v>
      </c>
      <c r="H25">
        <v>4018727.8679413358</v>
      </c>
    </row>
    <row r="26" spans="3:8" x14ac:dyDescent="0.3">
      <c r="C26" s="6">
        <v>45292</v>
      </c>
      <c r="D26">
        <v>2933618496.0900002</v>
      </c>
      <c r="E26" s="5">
        <f t="shared" si="0"/>
        <v>3233760.9927614522</v>
      </c>
      <c r="G26" s="2">
        <v>44774</v>
      </c>
      <c r="H26">
        <v>4110187.3805411402</v>
      </c>
    </row>
    <row r="27" spans="3:8" x14ac:dyDescent="0.3">
      <c r="C27" s="6">
        <v>45323</v>
      </c>
      <c r="D27">
        <v>2574221671.23</v>
      </c>
      <c r="E27" s="5">
        <f t="shared" si="0"/>
        <v>2837593.7901399792</v>
      </c>
      <c r="G27" s="2">
        <v>45108</v>
      </c>
      <c r="H27">
        <v>4153706.0597362369</v>
      </c>
    </row>
    <row r="28" spans="3:8" x14ac:dyDescent="0.3">
      <c r="C28" s="6">
        <v>45352</v>
      </c>
      <c r="D28">
        <v>3161813329.8099999</v>
      </c>
      <c r="E28" s="5">
        <f t="shared" si="0"/>
        <v>3485302.7501566107</v>
      </c>
      <c r="G28" s="2">
        <v>44805</v>
      </c>
      <c r="H28">
        <v>4160475.4843087634</v>
      </c>
    </row>
    <row r="29" spans="3:8" x14ac:dyDescent="0.3">
      <c r="C29" s="6">
        <v>45383</v>
      </c>
      <c r="D29">
        <v>3994030868.23</v>
      </c>
      <c r="E29" s="5">
        <f t="shared" si="0"/>
        <v>4402665.5963554056</v>
      </c>
      <c r="G29" s="2">
        <v>45017</v>
      </c>
      <c r="H29">
        <v>4263286.0118231708</v>
      </c>
    </row>
    <row r="30" spans="3:8" x14ac:dyDescent="0.3">
      <c r="C30" s="6">
        <v>45413</v>
      </c>
      <c r="D30">
        <v>3900094413.8099999</v>
      </c>
      <c r="E30" s="5">
        <f t="shared" si="0"/>
        <v>4299118.3755744556</v>
      </c>
      <c r="G30" s="2">
        <v>45170</v>
      </c>
      <c r="H30">
        <v>4275257.9430627525</v>
      </c>
    </row>
    <row r="31" spans="3:8" x14ac:dyDescent="0.3">
      <c r="C31" s="6">
        <v>45444</v>
      </c>
      <c r="D31">
        <v>3645728435.2600002</v>
      </c>
      <c r="E31" s="5">
        <f t="shared" si="0"/>
        <v>4018727.8679413358</v>
      </c>
      <c r="G31" s="2">
        <v>45413</v>
      </c>
      <c r="H31">
        <v>4299118.3755744556</v>
      </c>
    </row>
    <row r="32" spans="3:8" x14ac:dyDescent="0.3">
      <c r="C32" s="6">
        <v>45474</v>
      </c>
      <c r="D32">
        <v>3154466680.77</v>
      </c>
      <c r="E32" s="5">
        <f t="shared" si="0"/>
        <v>3477204.4554653531</v>
      </c>
      <c r="G32" s="2">
        <v>44927</v>
      </c>
      <c r="H32">
        <v>4353275.0446959697</v>
      </c>
    </row>
    <row r="33" spans="3:8" x14ac:dyDescent="0.3">
      <c r="C33" s="6">
        <v>45505</v>
      </c>
      <c r="D33">
        <v>3283101003.3000002</v>
      </c>
      <c r="E33" s="5">
        <f t="shared" si="0"/>
        <v>3618999.5304153608</v>
      </c>
      <c r="G33" s="2">
        <v>44896</v>
      </c>
      <c r="H33">
        <v>4399695.6590537736</v>
      </c>
    </row>
    <row r="34" spans="3:8" x14ac:dyDescent="0.3">
      <c r="C34" s="6">
        <v>45536</v>
      </c>
      <c r="D34">
        <v>3597500613.4000001</v>
      </c>
      <c r="E34" s="5">
        <f t="shared" si="0"/>
        <v>3965565.7920597647</v>
      </c>
      <c r="G34" s="2">
        <v>45383</v>
      </c>
      <c r="H34">
        <v>4402665.5963554056</v>
      </c>
    </row>
    <row r="35" spans="3:8" x14ac:dyDescent="0.3">
      <c r="C35" s="6">
        <v>45566</v>
      </c>
      <c r="D35">
        <v>2985124181.0799999</v>
      </c>
      <c r="E35" s="5">
        <f t="shared" si="0"/>
        <v>3290536.2944061994</v>
      </c>
      <c r="G35" s="2">
        <v>44958</v>
      </c>
      <c r="H35">
        <v>4410835.1514636436</v>
      </c>
    </row>
    <row r="36" spans="3:8" x14ac:dyDescent="0.3">
      <c r="C36" s="6">
        <v>45597</v>
      </c>
      <c r="D36">
        <v>3116108885.9099998</v>
      </c>
      <c r="E36" s="5">
        <f t="shared" si="0"/>
        <v>3434922.2224647305</v>
      </c>
      <c r="G36" s="2">
        <v>44835</v>
      </c>
      <c r="H36">
        <v>4432290.1095774649</v>
      </c>
    </row>
    <row r="37" spans="3:8" x14ac:dyDescent="0.3">
      <c r="C37" s="6">
        <v>45627</v>
      </c>
      <c r="D37">
        <v>2711286377.7399998</v>
      </c>
      <c r="E37" s="5">
        <f t="shared" si="0"/>
        <v>2988681.7731163232</v>
      </c>
      <c r="G37" s="2">
        <v>44562</v>
      </c>
      <c r="H37">
        <v>4463776.3664003592</v>
      </c>
    </row>
    <row r="38" spans="3:8" x14ac:dyDescent="0.3">
      <c r="C38" s="6">
        <v>45658</v>
      </c>
      <c r="D38">
        <v>3409795760.8000002</v>
      </c>
      <c r="E38" s="5">
        <f t="shared" si="0"/>
        <v>3758656.6008002562</v>
      </c>
      <c r="G38" s="2">
        <v>44652</v>
      </c>
      <c r="H38">
        <v>4639509.8065586863</v>
      </c>
    </row>
    <row r="39" spans="3:8" x14ac:dyDescent="0.3">
      <c r="C39" s="6">
        <v>45689</v>
      </c>
      <c r="D39">
        <v>2815240451.1300001</v>
      </c>
      <c r="E39" s="5">
        <f t="shared" si="0"/>
        <v>3103271.5290833279</v>
      </c>
      <c r="G39" s="2">
        <v>44866</v>
      </c>
      <c r="H39">
        <v>4687753.5213832418</v>
      </c>
    </row>
    <row r="40" spans="3:8" x14ac:dyDescent="0.3">
      <c r="C40" s="6">
        <v>45717</v>
      </c>
      <c r="D40">
        <v>3350644137.0700002</v>
      </c>
      <c r="E40" s="5">
        <f t="shared" si="0"/>
        <v>3693453.0940281511</v>
      </c>
      <c r="G40" s="2">
        <v>44682</v>
      </c>
      <c r="H40">
        <v>4841778.0676746424</v>
      </c>
    </row>
    <row r="41" spans="3:8" x14ac:dyDescent="0.3">
      <c r="C41" s="6">
        <v>45748</v>
      </c>
      <c r="D41">
        <v>2751686930.5599999</v>
      </c>
      <c r="E41" s="5">
        <f t="shared" si="0"/>
        <v>3033215.7614210201</v>
      </c>
      <c r="G41" s="2">
        <v>44986</v>
      </c>
      <c r="H41">
        <v>5115758.4806710249</v>
      </c>
    </row>
    <row r="42" spans="3:8" x14ac:dyDescent="0.3">
      <c r="C42" s="6">
        <v>45778</v>
      </c>
      <c r="D42">
        <v>3035524761.4200001</v>
      </c>
      <c r="E42" s="5">
        <f t="shared" si="0"/>
        <v>3346093.4266417851</v>
      </c>
      <c r="G42" s="2">
        <v>44713</v>
      </c>
      <c r="H42">
        <v>5283988.1443326818</v>
      </c>
    </row>
    <row r="43" spans="3:8" x14ac:dyDescent="0.3">
      <c r="C43" s="6">
        <v>45809</v>
      </c>
      <c r="D43">
        <v>2844730781.73</v>
      </c>
      <c r="E43" s="5">
        <f t="shared" si="0"/>
        <v>3135779.0554999439</v>
      </c>
      <c r="G43" s="2">
        <v>44743</v>
      </c>
      <c r="H43">
        <v>5765190.9836662812</v>
      </c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244B-15D3-49BD-8AC1-E3062C039829}">
  <dimension ref="A1:K18"/>
  <sheetViews>
    <sheetView workbookViewId="0">
      <selection activeCell="G5" sqref="G5"/>
    </sheetView>
  </sheetViews>
  <sheetFormatPr defaultRowHeight="14.4" x14ac:dyDescent="0.3"/>
  <cols>
    <col min="1" max="1" width="25.44140625" bestFit="1" customWidth="1"/>
    <col min="2" max="2" width="10.109375" bestFit="1" customWidth="1"/>
    <col min="3" max="3" width="35.33203125" bestFit="1" customWidth="1"/>
    <col min="4" max="4" width="16.5546875" bestFit="1" customWidth="1"/>
    <col min="5" max="5" width="14.44140625" bestFit="1" customWidth="1"/>
    <col min="7" max="7" width="11.6640625" bestFit="1" customWidth="1"/>
    <col min="8" max="8" width="14.44140625" bestFit="1" customWidth="1"/>
  </cols>
  <sheetData>
    <row r="1" spans="1:11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K1" t="s">
        <v>29</v>
      </c>
    </row>
    <row r="2" spans="1:11" x14ac:dyDescent="0.3">
      <c r="A2" t="s">
        <v>30</v>
      </c>
      <c r="B2" t="s">
        <v>31</v>
      </c>
      <c r="C2">
        <v>16.399999999999999</v>
      </c>
      <c r="D2">
        <v>10916691.491883833</v>
      </c>
      <c r="E2" s="4">
        <f>(C2/100)*D2</f>
        <v>1790337.4046689484</v>
      </c>
      <c r="G2" t="s">
        <v>32</v>
      </c>
      <c r="H2" s="4">
        <f>SUMIF(B:B,"=Persian Gulf",E:E)</f>
        <v>145133036.63970062</v>
      </c>
      <c r="I2" s="3">
        <f>H2/(H2+H3)</f>
        <v>0.82187451162737024</v>
      </c>
      <c r="K2" t="s">
        <v>33</v>
      </c>
    </row>
    <row r="3" spans="1:11" x14ac:dyDescent="0.3">
      <c r="A3" t="s">
        <v>34</v>
      </c>
      <c r="B3" t="s">
        <v>32</v>
      </c>
      <c r="C3">
        <v>2.2000000000000002</v>
      </c>
      <c r="D3">
        <v>2193549.9454678553</v>
      </c>
      <c r="E3" s="4">
        <f t="shared" ref="E3:E18" si="0">(C3/100)*D3</f>
        <v>48258.098800292821</v>
      </c>
      <c r="G3" t="s">
        <v>31</v>
      </c>
      <c r="H3" s="4">
        <f>SUMIF(B:B,"=Red Sea",E:E)</f>
        <v>31454793.480893876</v>
      </c>
      <c r="I3" s="3">
        <f>H3/(H3+H2)</f>
        <v>0.17812548837262976</v>
      </c>
    </row>
    <row r="4" spans="1:11" x14ac:dyDescent="0.3">
      <c r="A4" t="s">
        <v>35</v>
      </c>
      <c r="B4" t="s">
        <v>31</v>
      </c>
      <c r="C4">
        <v>93.3</v>
      </c>
      <c r="D4">
        <v>24418323.402130801</v>
      </c>
      <c r="E4" s="4">
        <f t="shared" si="0"/>
        <v>22782295.734188035</v>
      </c>
    </row>
    <row r="5" spans="1:11" x14ac:dyDescent="0.3">
      <c r="A5" t="s">
        <v>36</v>
      </c>
      <c r="B5" t="s">
        <v>32</v>
      </c>
      <c r="C5">
        <v>65.7</v>
      </c>
      <c r="D5">
        <v>19382025.220271923</v>
      </c>
      <c r="E5" s="4">
        <f t="shared" si="0"/>
        <v>12733990.569718653</v>
      </c>
      <c r="G5" t="s">
        <v>32</v>
      </c>
      <c r="H5" s="4">
        <f>SUMIF(B:B,"=Persian Gulf",D:D)</f>
        <v>159159927.39922211</v>
      </c>
      <c r="I5" s="3">
        <f>H5/(H5+H6)</f>
        <v>0.77260163125119274</v>
      </c>
    </row>
    <row r="6" spans="1:11" x14ac:dyDescent="0.3">
      <c r="A6" t="s">
        <v>37</v>
      </c>
      <c r="B6" t="s">
        <v>31</v>
      </c>
      <c r="C6">
        <v>100</v>
      </c>
      <c r="D6">
        <v>227892.70622693212</v>
      </c>
      <c r="E6" s="4">
        <f t="shared" si="0"/>
        <v>227892.70622693212</v>
      </c>
      <c r="G6" t="s">
        <v>31</v>
      </c>
      <c r="H6" s="4">
        <f>SUMIF(B:B,"=Red Sea",D:D)</f>
        <v>46845238.732086658</v>
      </c>
      <c r="I6" s="3">
        <f>H6/(H6+H5)</f>
        <v>0.22739836874880731</v>
      </c>
    </row>
    <row r="7" spans="1:11" x14ac:dyDescent="0.3">
      <c r="A7" t="s">
        <v>38</v>
      </c>
      <c r="B7" t="s">
        <v>31</v>
      </c>
      <c r="C7">
        <v>96.8</v>
      </c>
      <c r="D7">
        <v>6393783.7514314847</v>
      </c>
      <c r="E7" s="4">
        <f t="shared" si="0"/>
        <v>6189182.6713856766</v>
      </c>
    </row>
    <row r="8" spans="1:11" x14ac:dyDescent="0.3">
      <c r="A8" t="s">
        <v>39</v>
      </c>
      <c r="B8" t="s">
        <v>32</v>
      </c>
      <c r="C8">
        <v>100</v>
      </c>
      <c r="D8">
        <v>23496580.667692792</v>
      </c>
      <c r="E8" s="4">
        <f t="shared" si="0"/>
        <v>23496580.667692792</v>
      </c>
    </row>
    <row r="9" spans="1:11" x14ac:dyDescent="0.3">
      <c r="A9" t="s">
        <v>40</v>
      </c>
      <c r="B9" t="s">
        <v>31</v>
      </c>
      <c r="C9">
        <v>0.6</v>
      </c>
      <c r="D9">
        <v>2877620.9406989161</v>
      </c>
      <c r="E9" s="4">
        <f t="shared" si="0"/>
        <v>17265.725644193495</v>
      </c>
    </row>
    <row r="10" spans="1:11" x14ac:dyDescent="0.3">
      <c r="A10" t="s">
        <v>41</v>
      </c>
      <c r="B10" t="s">
        <v>32</v>
      </c>
      <c r="C10">
        <v>99.9</v>
      </c>
      <c r="D10">
        <v>106435340.33898106</v>
      </c>
      <c r="E10" s="4">
        <f t="shared" si="0"/>
        <v>106328904.99864209</v>
      </c>
    </row>
    <row r="11" spans="1:11" x14ac:dyDescent="0.3">
      <c r="A11" t="s">
        <v>42</v>
      </c>
      <c r="B11" t="s">
        <v>31</v>
      </c>
      <c r="C11">
        <v>19.600000000000001</v>
      </c>
      <c r="D11">
        <v>1944163.1852420389</v>
      </c>
      <c r="E11" s="4">
        <f t="shared" si="0"/>
        <v>381055.98430743965</v>
      </c>
    </row>
    <row r="12" spans="1:11" x14ac:dyDescent="0.3">
      <c r="A12" t="s">
        <v>43</v>
      </c>
      <c r="B12" t="s">
        <v>31</v>
      </c>
      <c r="C12">
        <v>96.8</v>
      </c>
      <c r="D12">
        <v>0</v>
      </c>
      <c r="E12" s="4">
        <f t="shared" si="0"/>
        <v>0</v>
      </c>
    </row>
    <row r="13" spans="1:11" x14ac:dyDescent="0.3">
      <c r="A13" t="s">
        <v>44</v>
      </c>
      <c r="B13" t="s">
        <v>31</v>
      </c>
      <c r="C13">
        <v>100</v>
      </c>
      <c r="D13">
        <v>66763.254472649205</v>
      </c>
      <c r="E13" s="4">
        <f t="shared" si="0"/>
        <v>66763.254472649205</v>
      </c>
    </row>
    <row r="14" spans="1:11" x14ac:dyDescent="0.3">
      <c r="A14" t="s">
        <v>45</v>
      </c>
      <c r="B14" t="s">
        <v>32</v>
      </c>
      <c r="C14">
        <v>33</v>
      </c>
      <c r="D14">
        <v>7652431.2268084539</v>
      </c>
      <c r="E14" s="4">
        <f t="shared" si="0"/>
        <v>2525302.3048467897</v>
      </c>
    </row>
    <row r="15" spans="1:11" x14ac:dyDescent="0.3">
      <c r="A15" t="s">
        <v>46</v>
      </c>
      <c r="B15" t="s">
        <v>31</v>
      </c>
      <c r="C15">
        <v>0</v>
      </c>
      <c r="E15" s="4">
        <f t="shared" si="0"/>
        <v>0</v>
      </c>
    </row>
    <row r="16" spans="1:11" x14ac:dyDescent="0.3">
      <c r="A16" t="s">
        <v>47</v>
      </c>
      <c r="B16" t="s">
        <v>31</v>
      </c>
      <c r="C16">
        <v>0</v>
      </c>
      <c r="E16" s="4">
        <f t="shared" si="0"/>
        <v>0</v>
      </c>
    </row>
    <row r="17" spans="1:5" x14ac:dyDescent="0.3">
      <c r="A17" t="s">
        <v>48</v>
      </c>
      <c r="B17" t="s">
        <v>32</v>
      </c>
      <c r="C17">
        <v>90</v>
      </c>
      <c r="D17">
        <v>0</v>
      </c>
      <c r="E17" s="4">
        <f t="shared" si="0"/>
        <v>0</v>
      </c>
    </row>
    <row r="18" spans="1:5" x14ac:dyDescent="0.3">
      <c r="A18" t="s">
        <v>49</v>
      </c>
      <c r="B18" t="s">
        <v>32</v>
      </c>
      <c r="C18">
        <v>100</v>
      </c>
      <c r="D18">
        <v>0</v>
      </c>
      <c r="E18" s="4">
        <f t="shared" si="0"/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BAA797-3D98-405F-AFCC-B5C642009A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BB36DA-01B3-4078-BEC3-CAEBC6328006}">
  <ds:schemaRefs>
    <ds:schemaRef ds:uri="http://schemas.microsoft.com/office/2006/metadata/properties"/>
    <ds:schemaRef ds:uri="ce64293c-1e68-4891-91bb-3c1068e772f8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e47b61d-772c-48ed-b878-4f8e7da8bd0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88CB2BB-F5BA-452E-852A-9A66A98B0F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47b61d-772c-48ed-b878-4f8e7da8bd06"/>
    <ds:schemaRef ds:uri="ce64293c-1e68-4891-91bb-3c1068e772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F2</vt:lpstr>
      <vt:lpstr>F3</vt:lpstr>
      <vt:lpstr>F4</vt:lpstr>
      <vt:lpstr>SaudiPorts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DiJoseph, Patricia (OST)</dc:creator>
  <cp:keywords/>
  <dc:description/>
  <cp:lastModifiedBy>Ismail, Ahmed</cp:lastModifiedBy>
  <cp:revision/>
  <dcterms:created xsi:type="dcterms:W3CDTF">2025-10-22T20:31:05Z</dcterms:created>
  <dcterms:modified xsi:type="dcterms:W3CDTF">2025-12-02T17:18:22Z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