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https://usdot-my.sharepoint.com/personal/nubia_delcarpio_ctr_ad_dot_gov/Documents/3. Port Performance/"/>
    </mc:Choice>
  </mc:AlternateContent>
  <xr:revisionPtr revIDLastSave="110" documentId="11_F25DC773A252ABDACC10483899D867725ADE58F8" xr6:coauthVersionLast="47" xr6:coauthVersionMax="47" xr10:uidLastSave="{F96BA053-4CD2-42C2-AA92-E520DC340AF3}"/>
  <bookViews>
    <workbookView xWindow="-23136" yWindow="-822" windowWidth="23232" windowHeight="13872" activeTab="4" xr2:uid="{00000000-000D-0000-FFFF-FFFF00000000}"/>
  </bookViews>
  <sheets>
    <sheet name="all years Fig 3-1" sheetId="7" r:id="rId1"/>
    <sheet name="Fig 3-1" sheetId="1" r:id="rId2"/>
    <sheet name="Fig 3-2" sheetId="5" r:id="rId3"/>
    <sheet name="Table 7" sheetId="3" r:id="rId4"/>
    <sheet name="Table 8" sheetId="4" r:id="rId5"/>
  </sheets>
  <externalReferences>
    <externalReference r:id="rId6"/>
    <externalReference r:id="rId7"/>
  </externalReferences>
  <definedNames>
    <definedName name="_xlnm._FilterDatabase" localSheetId="0" hidden="1">'all years Fig 3-1'!$B$1:$E$352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/>
  <c r="G11" i="1" l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<sst xmlns="http://schemas.openxmlformats.org/spreadsheetml/2006/main" count="828" uniqueCount="58">
  <si>
    <t>Year of Date</t>
  </si>
  <si>
    <t>Date</t>
  </si>
  <si>
    <t>TEUs</t>
  </si>
  <si>
    <t>Month</t>
  </si>
  <si>
    <t>New Month</t>
  </si>
  <si>
    <t>Figure Title:</t>
  </si>
  <si>
    <t>Total Weekly Containership Capacity Serving U.S. Ports, January 2019 - September 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</si>
  <si>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</si>
  <si>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</si>
  <si>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</si>
  <si>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</si>
  <si>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</si>
  <si>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</si>
  <si>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</si>
  <si>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</si>
  <si>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</si>
  <si>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</si>
  <si>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</si>
  <si>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</si>
  <si>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BAR CHART (MODIFIED WEEKLY DATA FOR MONTHLY ESTIMATES)</t>
  </si>
  <si>
    <t>Year</t>
  </si>
  <si>
    <t>Modified Month</t>
  </si>
  <si>
    <t>TEU</t>
  </si>
  <si>
    <t xml:space="preserve">  </t>
  </si>
  <si>
    <t>Pacific Coast</t>
  </si>
  <si>
    <t>Atlantic Coast</t>
  </si>
  <si>
    <t xml:space="preserve">Gulf Coast </t>
  </si>
  <si>
    <t>Port Name</t>
  </si>
  <si>
    <t>Number of super post-Panamax (SPPX) ship-to-shore cranes</t>
  </si>
  <si>
    <t>Number of other ship-to-shore cranes</t>
  </si>
  <si>
    <t>Total</t>
  </si>
  <si>
    <t>Baltimore, MD</t>
  </si>
  <si>
    <t>Honolulu, O'ahu, HI</t>
  </si>
  <si>
    <t>Jacksonville, FL</t>
  </si>
  <si>
    <t>Mobile, AL</t>
  </si>
  <si>
    <t>Oxnard Harbor District, CA</t>
  </si>
  <si>
    <t>Philadelphia Regional Port Authority, PA</t>
  </si>
  <si>
    <t>Port Authority of New York and New Jersey, NY &amp; NJ</t>
  </si>
  <si>
    <t>Port Everglades, FL</t>
  </si>
  <si>
    <t>Port of Alaska, AK</t>
  </si>
  <si>
    <t>Port of Boston, MA</t>
  </si>
  <si>
    <t>Port of Charleston, SC</t>
  </si>
  <si>
    <t>Port of Houston Authority of Harris County, TX</t>
  </si>
  <si>
    <t>Port of Long Beach, CA</t>
  </si>
  <si>
    <t>Port of Los Angeles, CA</t>
  </si>
  <si>
    <t>Port of New Orleans, LA</t>
  </si>
  <si>
    <t>Port of Oakland, CA</t>
  </si>
  <si>
    <t>Port of Savannah, GA</t>
  </si>
  <si>
    <t>Port of Seattle, WA</t>
  </si>
  <si>
    <t>Port of Virginia, VA</t>
  </si>
  <si>
    <t>Port of Miami, FL</t>
  </si>
  <si>
    <t>San Juan, PR</t>
  </si>
  <si>
    <t>South Jersey Port Corporation, NJ</t>
  </si>
  <si>
    <t>Tacoma, WA</t>
  </si>
  <si>
    <t>Wilmington, DE</t>
  </si>
  <si>
    <t>Wilmington, NC</t>
  </si>
  <si>
    <t>Container Terminals</t>
  </si>
  <si>
    <t>Container Terminals with On Dock Rail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</si>
</sst>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37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/>
    </xf>
    <xf numFmtId="17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wrapText="1"/>
    </xf>
    <xf numFmtId="0" fontId="5" fillId="0" borderId="1" xfId="0" applyFont="1" applyBorder="1"/>
    <xf numFmtId="14" fontId="6" fillId="0" borderId="0" xfId="0" applyNumberFormat="1" applyFont="1"/>
    <xf numFmtId="0" fontId="6" fillId="0" borderId="1" xfId="0" applyFont="1" applyBorder="1"/>
    <xf numFmtId="14" fontId="3" fillId="0" borderId="0" xfId="0" applyNumberFormat="1" applyFont="1" applyAlignment="1">
      <alignment horizontal="center"/>
    </xf>
    <xf numFmtId="14" fontId="0" fillId="0" borderId="0" xfId="0" applyNumberFormat="1"/>
    <xf numFmtId="4" fontId="3" fillId="0" borderId="0" xfId="0" applyNumberFormat="1" applyFont="1" applyAlignment="1">
      <alignment vertical="center"/>
    </xf>
    <xf numFmtId="0" fontId="7" fillId="0" borderId="2" xfId="0" applyFont="1" applyBorder="1"/>
    <xf numFmtId="0" fontId="9" fillId="3" borderId="3" xfId="2" applyFont="1" applyFill="1" applyBorder="1"/>
    <xf numFmtId="0" fontId="9" fillId="3" borderId="4" xfId="2" applyFont="1" applyFill="1" applyBorder="1"/>
    <xf numFmtId="0" fontId="9" fillId="3" borderId="5" xfId="2" applyFont="1" applyFill="1" applyBorder="1"/>
    <xf numFmtId="0" fontId="11" fillId="0" borderId="0" xfId="2"/>
    <xf numFmtId="0" fontId="8" fillId="4" borderId="3" xfId="2" applyFont="1" applyFill="1" applyBorder="1"/>
    <xf numFmtId="14" fontId="8" fillId="4" borderId="4" xfId="2" applyNumberFormat="1" applyFont="1" applyFill="1" applyBorder="1"/>
    <xf numFmtId="0" fontId="8" fillId="4" borderId="5" xfId="2" applyFont="1" applyFill="1" applyBorder="1"/>
    <xf numFmtId="14" fontId="8" fillId="5" borderId="4" xfId="2" applyNumberFormat="1" applyFont="1" applyFill="1" applyBorder="1"/>
    <xf numFmtId="0" fontId="8" fillId="5" borderId="3" xfId="2" applyFont="1" applyFill="1" applyBorder="1"/>
    <xf numFmtId="0" fontId="8" fillId="5" borderId="5" xfId="2" applyFont="1" applyFill="1" applyBorder="1"/>
    <xf numFmtId="0" fontId="8" fillId="0" borderId="3" xfId="2" applyFont="1" applyBorder="1"/>
    <xf numFmtId="14" fontId="8" fillId="0" borderId="4" xfId="2" applyNumberFormat="1" applyFont="1" applyBorder="1"/>
    <xf numFmtId="0" fontId="8" fillId="0" borderId="5" xfId="2" applyFont="1" applyBorder="1"/>
    <xf numFmtId="0" fontId="10" fillId="4" borderId="5" xfId="2" applyFont="1" applyFill="1" applyBorder="1"/>
    <xf numFmtId="0" fontId="10" fillId="0" borderId="5" xfId="2" applyFont="1" applyBorder="1"/>
    <xf numFmtId="0" fontId="8" fillId="6" borderId="3" xfId="2" applyFont="1" applyFill="1" applyBorder="1"/>
    <xf numFmtId="14" fontId="8" fillId="6" borderId="4" xfId="2" applyNumberFormat="1" applyFont="1" applyFill="1" applyBorder="1"/>
    <xf numFmtId="0" fontId="8" fillId="6" borderId="5" xfId="2" applyFont="1" applyFill="1" applyBorder="1"/>
    <xf numFmtId="0" fontId="12" fillId="0" borderId="0" xfId="2" applyFont="1"/>
  </cellXfs>
  <cellStyles count="3">
    <cellStyle name="Comma" xfId="1" builtinId="3"/>
    <cellStyle name="Normal" xfId="0" builtinId="0"/>
    <cellStyle name="Normal 2" xfId="2" xr:uid="{B1AA0F57-B945-4CE5-9B46-BF19D7B95B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'all years Fig 3-1'!$C$1</c:f>
              <c:strCache>
                <c:ptCount val="1"/>
                <c:pt idx="0">
                  <c:v>TEUs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'all years Fig 3-1'!$B$2:$B$352</c:f>
              <c:numCache>
                <c:formatCode>m/d/yyyy</c:formatCode>
                <c:ptCount val="351"/>
                <c:pt idx="0">
                  <c:v>43471</c:v>
                </c:pt>
                <c:pt idx="1">
                  <c:v>43478</c:v>
                </c:pt>
                <c:pt idx="2">
                  <c:v>43485</c:v>
                </c:pt>
                <c:pt idx="3">
                  <c:v>43492</c:v>
                </c:pt>
                <c:pt idx="4">
                  <c:v>43499</c:v>
                </c:pt>
                <c:pt idx="5">
                  <c:v>43506</c:v>
                </c:pt>
                <c:pt idx="6">
                  <c:v>43513</c:v>
                </c:pt>
                <c:pt idx="7">
                  <c:v>43520</c:v>
                </c:pt>
                <c:pt idx="8">
                  <c:v>43527</c:v>
                </c:pt>
                <c:pt idx="9">
                  <c:v>43534</c:v>
                </c:pt>
                <c:pt idx="10">
                  <c:v>43541</c:v>
                </c:pt>
                <c:pt idx="11">
                  <c:v>43548</c:v>
                </c:pt>
                <c:pt idx="12">
                  <c:v>43555</c:v>
                </c:pt>
                <c:pt idx="13">
                  <c:v>43562</c:v>
                </c:pt>
                <c:pt idx="14">
                  <c:v>43569</c:v>
                </c:pt>
                <c:pt idx="15">
                  <c:v>43576</c:v>
                </c:pt>
                <c:pt idx="16">
                  <c:v>43583</c:v>
                </c:pt>
                <c:pt idx="17">
                  <c:v>43590</c:v>
                </c:pt>
                <c:pt idx="18">
                  <c:v>43597</c:v>
                </c:pt>
                <c:pt idx="19">
                  <c:v>43604</c:v>
                </c:pt>
                <c:pt idx="20">
                  <c:v>43611</c:v>
                </c:pt>
                <c:pt idx="21">
                  <c:v>43618</c:v>
                </c:pt>
                <c:pt idx="22">
                  <c:v>43625</c:v>
                </c:pt>
                <c:pt idx="23">
                  <c:v>43632</c:v>
                </c:pt>
                <c:pt idx="24">
                  <c:v>43639</c:v>
                </c:pt>
                <c:pt idx="25">
                  <c:v>43646</c:v>
                </c:pt>
                <c:pt idx="26">
                  <c:v>43653</c:v>
                </c:pt>
                <c:pt idx="27">
                  <c:v>43660</c:v>
                </c:pt>
                <c:pt idx="28">
                  <c:v>43667</c:v>
                </c:pt>
                <c:pt idx="29">
                  <c:v>43674</c:v>
                </c:pt>
                <c:pt idx="30">
                  <c:v>43681</c:v>
                </c:pt>
                <c:pt idx="31">
                  <c:v>43688</c:v>
                </c:pt>
                <c:pt idx="32">
                  <c:v>43695</c:v>
                </c:pt>
                <c:pt idx="33">
                  <c:v>43702</c:v>
                </c:pt>
                <c:pt idx="34">
                  <c:v>43709</c:v>
                </c:pt>
                <c:pt idx="35">
                  <c:v>43716</c:v>
                </c:pt>
                <c:pt idx="36">
                  <c:v>43723</c:v>
                </c:pt>
                <c:pt idx="37">
                  <c:v>43730</c:v>
                </c:pt>
                <c:pt idx="38">
                  <c:v>43737</c:v>
                </c:pt>
                <c:pt idx="39">
                  <c:v>43744</c:v>
                </c:pt>
                <c:pt idx="40">
                  <c:v>43751</c:v>
                </c:pt>
                <c:pt idx="41">
                  <c:v>43758</c:v>
                </c:pt>
                <c:pt idx="42">
                  <c:v>43765</c:v>
                </c:pt>
                <c:pt idx="43">
                  <c:v>43772</c:v>
                </c:pt>
                <c:pt idx="44">
                  <c:v>43779</c:v>
                </c:pt>
                <c:pt idx="45">
                  <c:v>43786</c:v>
                </c:pt>
                <c:pt idx="46">
                  <c:v>43793</c:v>
                </c:pt>
                <c:pt idx="47">
                  <c:v>43800</c:v>
                </c:pt>
                <c:pt idx="48">
                  <c:v>43807</c:v>
                </c:pt>
                <c:pt idx="49">
                  <c:v>43814</c:v>
                </c:pt>
                <c:pt idx="50">
                  <c:v>43821</c:v>
                </c:pt>
                <c:pt idx="51">
                  <c:v>43828</c:v>
                </c:pt>
                <c:pt idx="52">
                  <c:v>43835</c:v>
                </c:pt>
                <c:pt idx="53">
                  <c:v>43842</c:v>
                </c:pt>
                <c:pt idx="54">
                  <c:v>43849</c:v>
                </c:pt>
                <c:pt idx="55">
                  <c:v>43856</c:v>
                </c:pt>
                <c:pt idx="56">
                  <c:v>43863</c:v>
                </c:pt>
                <c:pt idx="57">
                  <c:v>43870</c:v>
                </c:pt>
                <c:pt idx="58">
                  <c:v>43877</c:v>
                </c:pt>
                <c:pt idx="59">
                  <c:v>43884</c:v>
                </c:pt>
                <c:pt idx="60">
                  <c:v>43891</c:v>
                </c:pt>
                <c:pt idx="61">
                  <c:v>43898</c:v>
                </c:pt>
                <c:pt idx="62">
                  <c:v>43905</c:v>
                </c:pt>
                <c:pt idx="63">
                  <c:v>43912</c:v>
                </c:pt>
                <c:pt idx="64">
                  <c:v>43919</c:v>
                </c:pt>
                <c:pt idx="65">
                  <c:v>43926</c:v>
                </c:pt>
                <c:pt idx="66">
                  <c:v>43933</c:v>
                </c:pt>
                <c:pt idx="67">
                  <c:v>43940</c:v>
                </c:pt>
                <c:pt idx="68">
                  <c:v>43947</c:v>
                </c:pt>
                <c:pt idx="69">
                  <c:v>43954</c:v>
                </c:pt>
                <c:pt idx="70">
                  <c:v>43961</c:v>
                </c:pt>
                <c:pt idx="71">
                  <c:v>43968</c:v>
                </c:pt>
                <c:pt idx="72">
                  <c:v>43975</c:v>
                </c:pt>
                <c:pt idx="73">
                  <c:v>43982</c:v>
                </c:pt>
                <c:pt idx="74">
                  <c:v>43989</c:v>
                </c:pt>
                <c:pt idx="75">
                  <c:v>43996</c:v>
                </c:pt>
                <c:pt idx="76">
                  <c:v>44003</c:v>
                </c:pt>
                <c:pt idx="77">
                  <c:v>44010</c:v>
                </c:pt>
                <c:pt idx="78">
                  <c:v>44017</c:v>
                </c:pt>
                <c:pt idx="79">
                  <c:v>44024</c:v>
                </c:pt>
                <c:pt idx="80">
                  <c:v>44031</c:v>
                </c:pt>
                <c:pt idx="81">
                  <c:v>44038</c:v>
                </c:pt>
                <c:pt idx="82">
                  <c:v>44045</c:v>
                </c:pt>
                <c:pt idx="83">
                  <c:v>44052</c:v>
                </c:pt>
                <c:pt idx="84">
                  <c:v>44059</c:v>
                </c:pt>
                <c:pt idx="85">
                  <c:v>44066</c:v>
                </c:pt>
                <c:pt idx="86">
                  <c:v>44073</c:v>
                </c:pt>
                <c:pt idx="87">
                  <c:v>44080</c:v>
                </c:pt>
                <c:pt idx="88">
                  <c:v>44087</c:v>
                </c:pt>
                <c:pt idx="89">
                  <c:v>44094</c:v>
                </c:pt>
                <c:pt idx="90">
                  <c:v>44101</c:v>
                </c:pt>
                <c:pt idx="91">
                  <c:v>44108</c:v>
                </c:pt>
                <c:pt idx="92">
                  <c:v>44115</c:v>
                </c:pt>
                <c:pt idx="93">
                  <c:v>44122</c:v>
                </c:pt>
                <c:pt idx="94">
                  <c:v>44129</c:v>
                </c:pt>
                <c:pt idx="95">
                  <c:v>44136</c:v>
                </c:pt>
                <c:pt idx="96">
                  <c:v>44143</c:v>
                </c:pt>
                <c:pt idx="97">
                  <c:v>44150</c:v>
                </c:pt>
                <c:pt idx="98">
                  <c:v>44157</c:v>
                </c:pt>
                <c:pt idx="99">
                  <c:v>44164</c:v>
                </c:pt>
                <c:pt idx="100">
                  <c:v>44171</c:v>
                </c:pt>
                <c:pt idx="101">
                  <c:v>44178</c:v>
                </c:pt>
                <c:pt idx="102">
                  <c:v>44185</c:v>
                </c:pt>
                <c:pt idx="103">
                  <c:v>44192</c:v>
                </c:pt>
                <c:pt idx="104">
                  <c:v>44199</c:v>
                </c:pt>
                <c:pt idx="105">
                  <c:v>44206</c:v>
                </c:pt>
                <c:pt idx="106">
                  <c:v>44213</c:v>
                </c:pt>
                <c:pt idx="107">
                  <c:v>44220</c:v>
                </c:pt>
                <c:pt idx="108">
                  <c:v>44227</c:v>
                </c:pt>
                <c:pt idx="109">
                  <c:v>44234</c:v>
                </c:pt>
                <c:pt idx="110">
                  <c:v>44241</c:v>
                </c:pt>
                <c:pt idx="111">
                  <c:v>44248</c:v>
                </c:pt>
                <c:pt idx="112">
                  <c:v>44255</c:v>
                </c:pt>
                <c:pt idx="113">
                  <c:v>44262</c:v>
                </c:pt>
                <c:pt idx="114">
                  <c:v>44269</c:v>
                </c:pt>
                <c:pt idx="115">
                  <c:v>44276</c:v>
                </c:pt>
                <c:pt idx="116">
                  <c:v>44283</c:v>
                </c:pt>
                <c:pt idx="117">
                  <c:v>44290</c:v>
                </c:pt>
                <c:pt idx="118">
                  <c:v>44297</c:v>
                </c:pt>
                <c:pt idx="119">
                  <c:v>44304</c:v>
                </c:pt>
                <c:pt idx="120">
                  <c:v>44311</c:v>
                </c:pt>
                <c:pt idx="121">
                  <c:v>44318</c:v>
                </c:pt>
                <c:pt idx="122">
                  <c:v>44325</c:v>
                </c:pt>
                <c:pt idx="123">
                  <c:v>44332</c:v>
                </c:pt>
                <c:pt idx="124">
                  <c:v>44339</c:v>
                </c:pt>
                <c:pt idx="125">
                  <c:v>44346</c:v>
                </c:pt>
                <c:pt idx="126">
                  <c:v>44353</c:v>
                </c:pt>
                <c:pt idx="127">
                  <c:v>44360</c:v>
                </c:pt>
                <c:pt idx="128">
                  <c:v>44367</c:v>
                </c:pt>
                <c:pt idx="129">
                  <c:v>44374</c:v>
                </c:pt>
                <c:pt idx="130">
                  <c:v>44381</c:v>
                </c:pt>
                <c:pt idx="131">
                  <c:v>44388</c:v>
                </c:pt>
                <c:pt idx="132">
                  <c:v>44396</c:v>
                </c:pt>
                <c:pt idx="133">
                  <c:v>44402</c:v>
                </c:pt>
                <c:pt idx="134">
                  <c:v>44409</c:v>
                </c:pt>
                <c:pt idx="135">
                  <c:v>44416</c:v>
                </c:pt>
                <c:pt idx="136">
                  <c:v>44423</c:v>
                </c:pt>
                <c:pt idx="137">
                  <c:v>44431</c:v>
                </c:pt>
                <c:pt idx="138">
                  <c:v>44437</c:v>
                </c:pt>
                <c:pt idx="139">
                  <c:v>44444</c:v>
                </c:pt>
                <c:pt idx="140">
                  <c:v>44451</c:v>
                </c:pt>
                <c:pt idx="141">
                  <c:v>44458</c:v>
                </c:pt>
                <c:pt idx="142">
                  <c:v>44465</c:v>
                </c:pt>
                <c:pt idx="143">
                  <c:v>44472</c:v>
                </c:pt>
                <c:pt idx="144">
                  <c:v>44479</c:v>
                </c:pt>
                <c:pt idx="145">
                  <c:v>44486</c:v>
                </c:pt>
                <c:pt idx="146">
                  <c:v>44493</c:v>
                </c:pt>
                <c:pt idx="147">
                  <c:v>44500</c:v>
                </c:pt>
                <c:pt idx="148">
                  <c:v>44507</c:v>
                </c:pt>
                <c:pt idx="149">
                  <c:v>44514</c:v>
                </c:pt>
                <c:pt idx="150">
                  <c:v>44521</c:v>
                </c:pt>
                <c:pt idx="151">
                  <c:v>44528</c:v>
                </c:pt>
                <c:pt idx="152">
                  <c:v>44535</c:v>
                </c:pt>
                <c:pt idx="153">
                  <c:v>44542</c:v>
                </c:pt>
                <c:pt idx="154">
                  <c:v>44549</c:v>
                </c:pt>
                <c:pt idx="155">
                  <c:v>44556</c:v>
                </c:pt>
                <c:pt idx="156">
                  <c:v>44563</c:v>
                </c:pt>
                <c:pt idx="157">
                  <c:v>44570</c:v>
                </c:pt>
                <c:pt idx="158">
                  <c:v>44577</c:v>
                </c:pt>
                <c:pt idx="159">
                  <c:v>44584</c:v>
                </c:pt>
                <c:pt idx="160">
                  <c:v>44591</c:v>
                </c:pt>
                <c:pt idx="161">
                  <c:v>44598</c:v>
                </c:pt>
                <c:pt idx="162">
                  <c:v>44605</c:v>
                </c:pt>
                <c:pt idx="163">
                  <c:v>44612</c:v>
                </c:pt>
                <c:pt idx="164">
                  <c:v>44619</c:v>
                </c:pt>
                <c:pt idx="165">
                  <c:v>44626</c:v>
                </c:pt>
                <c:pt idx="166">
                  <c:v>44633</c:v>
                </c:pt>
                <c:pt idx="167">
                  <c:v>44640</c:v>
                </c:pt>
                <c:pt idx="168">
                  <c:v>44647</c:v>
                </c:pt>
                <c:pt idx="169">
                  <c:v>44654</c:v>
                </c:pt>
                <c:pt idx="170">
                  <c:v>44661</c:v>
                </c:pt>
                <c:pt idx="171">
                  <c:v>44668</c:v>
                </c:pt>
                <c:pt idx="172">
                  <c:v>44675</c:v>
                </c:pt>
                <c:pt idx="173">
                  <c:v>44682</c:v>
                </c:pt>
                <c:pt idx="174">
                  <c:v>44689</c:v>
                </c:pt>
                <c:pt idx="175">
                  <c:v>44696</c:v>
                </c:pt>
                <c:pt idx="176">
                  <c:v>44703</c:v>
                </c:pt>
                <c:pt idx="177">
                  <c:v>44710</c:v>
                </c:pt>
                <c:pt idx="178">
                  <c:v>44717</c:v>
                </c:pt>
                <c:pt idx="179">
                  <c:v>44724</c:v>
                </c:pt>
                <c:pt idx="180">
                  <c:v>44731</c:v>
                </c:pt>
                <c:pt idx="181">
                  <c:v>44738</c:v>
                </c:pt>
                <c:pt idx="182">
                  <c:v>44745</c:v>
                </c:pt>
                <c:pt idx="183">
                  <c:v>44752</c:v>
                </c:pt>
                <c:pt idx="184">
                  <c:v>44759</c:v>
                </c:pt>
                <c:pt idx="185">
                  <c:v>44766</c:v>
                </c:pt>
                <c:pt idx="186">
                  <c:v>44773</c:v>
                </c:pt>
                <c:pt idx="187">
                  <c:v>44780</c:v>
                </c:pt>
                <c:pt idx="188">
                  <c:v>44787</c:v>
                </c:pt>
                <c:pt idx="189">
                  <c:v>44794</c:v>
                </c:pt>
                <c:pt idx="190">
                  <c:v>44801</c:v>
                </c:pt>
                <c:pt idx="191">
                  <c:v>44808</c:v>
                </c:pt>
                <c:pt idx="192">
                  <c:v>44815</c:v>
                </c:pt>
                <c:pt idx="193">
                  <c:v>44822</c:v>
                </c:pt>
                <c:pt idx="194">
                  <c:v>44829</c:v>
                </c:pt>
                <c:pt idx="195">
                  <c:v>44836</c:v>
                </c:pt>
                <c:pt idx="196">
                  <c:v>44843</c:v>
                </c:pt>
                <c:pt idx="197">
                  <c:v>44850</c:v>
                </c:pt>
                <c:pt idx="198">
                  <c:v>44857</c:v>
                </c:pt>
                <c:pt idx="199">
                  <c:v>44864</c:v>
                </c:pt>
                <c:pt idx="200">
                  <c:v>44871</c:v>
                </c:pt>
                <c:pt idx="201">
                  <c:v>44878</c:v>
                </c:pt>
                <c:pt idx="202">
                  <c:v>44885</c:v>
                </c:pt>
                <c:pt idx="203">
                  <c:v>44892</c:v>
                </c:pt>
                <c:pt idx="204">
                  <c:v>44899</c:v>
                </c:pt>
                <c:pt idx="205">
                  <c:v>44906</c:v>
                </c:pt>
                <c:pt idx="206">
                  <c:v>44913</c:v>
                </c:pt>
                <c:pt idx="207">
                  <c:v>44920</c:v>
                </c:pt>
                <c:pt idx="208">
                  <c:v>44927</c:v>
                </c:pt>
                <c:pt idx="209">
                  <c:v>44934</c:v>
                </c:pt>
                <c:pt idx="210">
                  <c:v>44941</c:v>
                </c:pt>
                <c:pt idx="211">
                  <c:v>44948</c:v>
                </c:pt>
                <c:pt idx="212">
                  <c:v>44955</c:v>
                </c:pt>
                <c:pt idx="213">
                  <c:v>44962</c:v>
                </c:pt>
                <c:pt idx="214">
                  <c:v>44969</c:v>
                </c:pt>
                <c:pt idx="215">
                  <c:v>44976</c:v>
                </c:pt>
                <c:pt idx="216">
                  <c:v>44983</c:v>
                </c:pt>
                <c:pt idx="217">
                  <c:v>44990</c:v>
                </c:pt>
                <c:pt idx="218">
                  <c:v>44997</c:v>
                </c:pt>
                <c:pt idx="219">
                  <c:v>45004</c:v>
                </c:pt>
                <c:pt idx="220">
                  <c:v>45011</c:v>
                </c:pt>
                <c:pt idx="221">
                  <c:v>45018</c:v>
                </c:pt>
                <c:pt idx="222">
                  <c:v>45025</c:v>
                </c:pt>
                <c:pt idx="223">
                  <c:v>45032</c:v>
                </c:pt>
                <c:pt idx="224">
                  <c:v>45039</c:v>
                </c:pt>
                <c:pt idx="225">
                  <c:v>45046</c:v>
                </c:pt>
                <c:pt idx="226">
                  <c:v>45053</c:v>
                </c:pt>
                <c:pt idx="227">
                  <c:v>45060</c:v>
                </c:pt>
                <c:pt idx="228">
                  <c:v>45067</c:v>
                </c:pt>
                <c:pt idx="229">
                  <c:v>45074</c:v>
                </c:pt>
                <c:pt idx="230">
                  <c:v>45081</c:v>
                </c:pt>
                <c:pt idx="231">
                  <c:v>45088</c:v>
                </c:pt>
                <c:pt idx="232">
                  <c:v>45095</c:v>
                </c:pt>
                <c:pt idx="233">
                  <c:v>45102</c:v>
                </c:pt>
                <c:pt idx="234">
                  <c:v>45109</c:v>
                </c:pt>
                <c:pt idx="235">
                  <c:v>45116</c:v>
                </c:pt>
                <c:pt idx="236">
                  <c:v>45123</c:v>
                </c:pt>
                <c:pt idx="237">
                  <c:v>45130</c:v>
                </c:pt>
                <c:pt idx="238">
                  <c:v>45137</c:v>
                </c:pt>
                <c:pt idx="239">
                  <c:v>45144</c:v>
                </c:pt>
                <c:pt idx="240">
                  <c:v>45151</c:v>
                </c:pt>
                <c:pt idx="241">
                  <c:v>45158</c:v>
                </c:pt>
                <c:pt idx="242">
                  <c:v>45165</c:v>
                </c:pt>
                <c:pt idx="243">
                  <c:v>45172</c:v>
                </c:pt>
                <c:pt idx="244">
                  <c:v>45179</c:v>
                </c:pt>
                <c:pt idx="245">
                  <c:v>45186</c:v>
                </c:pt>
                <c:pt idx="246">
                  <c:v>45193</c:v>
                </c:pt>
                <c:pt idx="247">
                  <c:v>45200</c:v>
                </c:pt>
                <c:pt idx="248">
                  <c:v>45207</c:v>
                </c:pt>
                <c:pt idx="249">
                  <c:v>45214</c:v>
                </c:pt>
                <c:pt idx="250">
                  <c:v>45221</c:v>
                </c:pt>
                <c:pt idx="251">
                  <c:v>45228</c:v>
                </c:pt>
                <c:pt idx="252">
                  <c:v>45235</c:v>
                </c:pt>
                <c:pt idx="253">
                  <c:v>45242</c:v>
                </c:pt>
                <c:pt idx="254">
                  <c:v>45249</c:v>
                </c:pt>
                <c:pt idx="255">
                  <c:v>45256</c:v>
                </c:pt>
                <c:pt idx="256">
                  <c:v>45263</c:v>
                </c:pt>
                <c:pt idx="257">
                  <c:v>45270</c:v>
                </c:pt>
                <c:pt idx="258">
                  <c:v>45277</c:v>
                </c:pt>
                <c:pt idx="259">
                  <c:v>45284</c:v>
                </c:pt>
                <c:pt idx="260">
                  <c:v>45291</c:v>
                </c:pt>
                <c:pt idx="261">
                  <c:v>45298</c:v>
                </c:pt>
                <c:pt idx="262">
                  <c:v>45305</c:v>
                </c:pt>
                <c:pt idx="263">
                  <c:v>45312</c:v>
                </c:pt>
                <c:pt idx="264">
                  <c:v>45319</c:v>
                </c:pt>
                <c:pt idx="265">
                  <c:v>45326</c:v>
                </c:pt>
                <c:pt idx="266">
                  <c:v>45333</c:v>
                </c:pt>
                <c:pt idx="267">
                  <c:v>45340</c:v>
                </c:pt>
                <c:pt idx="268">
                  <c:v>45347</c:v>
                </c:pt>
                <c:pt idx="269">
                  <c:v>45354</c:v>
                </c:pt>
                <c:pt idx="270">
                  <c:v>45361</c:v>
                </c:pt>
                <c:pt idx="271">
                  <c:v>45368</c:v>
                </c:pt>
                <c:pt idx="272">
                  <c:v>45375</c:v>
                </c:pt>
                <c:pt idx="273">
                  <c:v>45382</c:v>
                </c:pt>
                <c:pt idx="274">
                  <c:v>45389</c:v>
                </c:pt>
                <c:pt idx="275">
                  <c:v>45396</c:v>
                </c:pt>
                <c:pt idx="276">
                  <c:v>45403</c:v>
                </c:pt>
                <c:pt idx="277">
                  <c:v>45410</c:v>
                </c:pt>
                <c:pt idx="278">
                  <c:v>45417</c:v>
                </c:pt>
                <c:pt idx="279">
                  <c:v>45424</c:v>
                </c:pt>
                <c:pt idx="280">
                  <c:v>45431</c:v>
                </c:pt>
                <c:pt idx="281">
                  <c:v>45438</c:v>
                </c:pt>
                <c:pt idx="282">
                  <c:v>45445</c:v>
                </c:pt>
                <c:pt idx="283">
                  <c:v>45452</c:v>
                </c:pt>
                <c:pt idx="284">
                  <c:v>45459</c:v>
                </c:pt>
                <c:pt idx="285">
                  <c:v>45466</c:v>
                </c:pt>
                <c:pt idx="286">
                  <c:v>45473</c:v>
                </c:pt>
                <c:pt idx="287">
                  <c:v>45480</c:v>
                </c:pt>
                <c:pt idx="288">
                  <c:v>45487</c:v>
                </c:pt>
                <c:pt idx="289">
                  <c:v>45494</c:v>
                </c:pt>
                <c:pt idx="290">
                  <c:v>45501</c:v>
                </c:pt>
                <c:pt idx="291">
                  <c:v>45508</c:v>
                </c:pt>
                <c:pt idx="292">
                  <c:v>45515</c:v>
                </c:pt>
                <c:pt idx="293">
                  <c:v>45522</c:v>
                </c:pt>
                <c:pt idx="294">
                  <c:v>45529</c:v>
                </c:pt>
                <c:pt idx="295">
                  <c:v>45536</c:v>
                </c:pt>
                <c:pt idx="296">
                  <c:v>45543</c:v>
                </c:pt>
                <c:pt idx="297">
                  <c:v>45550</c:v>
                </c:pt>
                <c:pt idx="298">
                  <c:v>45557</c:v>
                </c:pt>
                <c:pt idx="299">
                  <c:v>45564</c:v>
                </c:pt>
                <c:pt idx="300">
                  <c:v>45571</c:v>
                </c:pt>
                <c:pt idx="301">
                  <c:v>45578</c:v>
                </c:pt>
                <c:pt idx="302">
                  <c:v>45585</c:v>
                </c:pt>
                <c:pt idx="303">
                  <c:v>45592</c:v>
                </c:pt>
                <c:pt idx="304">
                  <c:v>45599</c:v>
                </c:pt>
                <c:pt idx="305">
                  <c:v>45606</c:v>
                </c:pt>
                <c:pt idx="306">
                  <c:v>45613</c:v>
                </c:pt>
                <c:pt idx="307">
                  <c:v>45620</c:v>
                </c:pt>
                <c:pt idx="308">
                  <c:v>45627</c:v>
                </c:pt>
                <c:pt idx="309">
                  <c:v>45634</c:v>
                </c:pt>
                <c:pt idx="310">
                  <c:v>45641</c:v>
                </c:pt>
                <c:pt idx="311">
                  <c:v>45648</c:v>
                </c:pt>
                <c:pt idx="312">
                  <c:v>45655</c:v>
                </c:pt>
                <c:pt idx="313">
                  <c:v>45662</c:v>
                </c:pt>
                <c:pt idx="314">
                  <c:v>45669</c:v>
                </c:pt>
                <c:pt idx="315">
                  <c:v>45676</c:v>
                </c:pt>
                <c:pt idx="316">
                  <c:v>45683</c:v>
                </c:pt>
                <c:pt idx="317">
                  <c:v>45690</c:v>
                </c:pt>
                <c:pt idx="318">
                  <c:v>45697</c:v>
                </c:pt>
                <c:pt idx="319">
                  <c:v>45704</c:v>
                </c:pt>
                <c:pt idx="320">
                  <c:v>45711</c:v>
                </c:pt>
                <c:pt idx="321">
                  <c:v>45718</c:v>
                </c:pt>
                <c:pt idx="322">
                  <c:v>45725</c:v>
                </c:pt>
                <c:pt idx="323">
                  <c:v>45732</c:v>
                </c:pt>
                <c:pt idx="324">
                  <c:v>45739</c:v>
                </c:pt>
                <c:pt idx="325">
                  <c:v>45746</c:v>
                </c:pt>
                <c:pt idx="326">
                  <c:v>45753</c:v>
                </c:pt>
                <c:pt idx="327">
                  <c:v>45760</c:v>
                </c:pt>
                <c:pt idx="328">
                  <c:v>45767</c:v>
                </c:pt>
                <c:pt idx="329">
                  <c:v>45774</c:v>
                </c:pt>
                <c:pt idx="330">
                  <c:v>45781</c:v>
                </c:pt>
                <c:pt idx="331">
                  <c:v>45788</c:v>
                </c:pt>
                <c:pt idx="332">
                  <c:v>45795</c:v>
                </c:pt>
                <c:pt idx="333">
                  <c:v>45802</c:v>
                </c:pt>
                <c:pt idx="334">
                  <c:v>45809</c:v>
                </c:pt>
                <c:pt idx="335">
                  <c:v>45816</c:v>
                </c:pt>
                <c:pt idx="336">
                  <c:v>45823</c:v>
                </c:pt>
                <c:pt idx="337">
                  <c:v>45830</c:v>
                </c:pt>
                <c:pt idx="338">
                  <c:v>45837</c:v>
                </c:pt>
                <c:pt idx="339">
                  <c:v>45844</c:v>
                </c:pt>
                <c:pt idx="340">
                  <c:v>45851</c:v>
                </c:pt>
                <c:pt idx="341">
                  <c:v>45858</c:v>
                </c:pt>
                <c:pt idx="342">
                  <c:v>45865</c:v>
                </c:pt>
                <c:pt idx="343">
                  <c:v>45872</c:v>
                </c:pt>
                <c:pt idx="344">
                  <c:v>45879</c:v>
                </c:pt>
                <c:pt idx="345">
                  <c:v>45886</c:v>
                </c:pt>
                <c:pt idx="346">
                  <c:v>45893</c:v>
                </c:pt>
                <c:pt idx="347">
                  <c:v>45900</c:v>
                </c:pt>
                <c:pt idx="348">
                  <c:v>45907</c:v>
                </c:pt>
                <c:pt idx="349">
                  <c:v>45914</c:v>
                </c:pt>
                <c:pt idx="350">
                  <c:v>45921</c:v>
                </c:pt>
              </c:numCache>
            </c:numRef>
          </c:cat>
          <c:val>
            <c:numRef>
              <c:f>'all years Fig 3-1'!$C$2:$C$352</c:f>
              <c:numCache>
                <c:formatCode>General</c:formatCode>
                <c:ptCount val="351"/>
                <c:pt idx="0">
                  <c:v>1692044</c:v>
                </c:pt>
                <c:pt idx="1">
                  <c:v>2032538</c:v>
                </c:pt>
                <c:pt idx="2">
                  <c:v>2037507</c:v>
                </c:pt>
                <c:pt idx="3">
                  <c:v>2032424</c:v>
                </c:pt>
                <c:pt idx="4">
                  <c:v>2055851</c:v>
                </c:pt>
                <c:pt idx="5">
                  <c:v>1932959</c:v>
                </c:pt>
                <c:pt idx="6">
                  <c:v>1892674</c:v>
                </c:pt>
                <c:pt idx="7">
                  <c:v>1742513</c:v>
                </c:pt>
                <c:pt idx="8">
                  <c:v>1724176</c:v>
                </c:pt>
                <c:pt idx="9">
                  <c:v>1884894</c:v>
                </c:pt>
                <c:pt idx="10">
                  <c:v>1951550</c:v>
                </c:pt>
                <c:pt idx="11">
                  <c:v>1792103</c:v>
                </c:pt>
                <c:pt idx="12">
                  <c:v>1983478</c:v>
                </c:pt>
                <c:pt idx="13">
                  <c:v>1904449</c:v>
                </c:pt>
                <c:pt idx="14">
                  <c:v>2014592</c:v>
                </c:pt>
                <c:pt idx="15">
                  <c:v>1925334</c:v>
                </c:pt>
                <c:pt idx="16">
                  <c:v>1986513</c:v>
                </c:pt>
                <c:pt idx="17">
                  <c:v>1824835</c:v>
                </c:pt>
                <c:pt idx="18">
                  <c:v>1886913</c:v>
                </c:pt>
                <c:pt idx="19">
                  <c:v>1934664</c:v>
                </c:pt>
                <c:pt idx="20">
                  <c:v>2032392</c:v>
                </c:pt>
                <c:pt idx="21">
                  <c:v>2046936</c:v>
                </c:pt>
                <c:pt idx="22">
                  <c:v>1974014</c:v>
                </c:pt>
                <c:pt idx="23">
                  <c:v>1921300</c:v>
                </c:pt>
                <c:pt idx="24">
                  <c:v>1888427</c:v>
                </c:pt>
                <c:pt idx="25">
                  <c:v>2027045</c:v>
                </c:pt>
                <c:pt idx="26">
                  <c:v>1859079</c:v>
                </c:pt>
                <c:pt idx="27">
                  <c:v>2114114</c:v>
                </c:pt>
                <c:pt idx="28">
                  <c:v>2131721</c:v>
                </c:pt>
                <c:pt idx="29">
                  <c:v>1915464</c:v>
                </c:pt>
                <c:pt idx="30">
                  <c:v>1894808</c:v>
                </c:pt>
                <c:pt idx="31">
                  <c:v>1973795</c:v>
                </c:pt>
                <c:pt idx="32">
                  <c:v>2005709</c:v>
                </c:pt>
                <c:pt idx="33">
                  <c:v>2082273</c:v>
                </c:pt>
                <c:pt idx="34">
                  <c:v>1986985</c:v>
                </c:pt>
                <c:pt idx="35">
                  <c:v>1608609</c:v>
                </c:pt>
                <c:pt idx="36">
                  <c:v>2094440</c:v>
                </c:pt>
                <c:pt idx="37">
                  <c:v>2094648</c:v>
                </c:pt>
                <c:pt idx="38">
                  <c:v>2108606</c:v>
                </c:pt>
                <c:pt idx="39">
                  <c:v>2076075</c:v>
                </c:pt>
                <c:pt idx="40">
                  <c:v>1957289</c:v>
                </c:pt>
                <c:pt idx="41">
                  <c:v>2102434</c:v>
                </c:pt>
                <c:pt idx="42">
                  <c:v>1962006</c:v>
                </c:pt>
                <c:pt idx="43">
                  <c:v>1886159</c:v>
                </c:pt>
                <c:pt idx="44">
                  <c:v>1907137</c:v>
                </c:pt>
                <c:pt idx="45">
                  <c:v>1864393</c:v>
                </c:pt>
                <c:pt idx="46">
                  <c:v>1893874</c:v>
                </c:pt>
                <c:pt idx="47">
                  <c:v>1904519</c:v>
                </c:pt>
                <c:pt idx="48">
                  <c:v>1928751</c:v>
                </c:pt>
                <c:pt idx="49">
                  <c:v>1842818</c:v>
                </c:pt>
                <c:pt idx="50">
                  <c:v>2046054</c:v>
                </c:pt>
                <c:pt idx="51">
                  <c:v>1701219</c:v>
                </c:pt>
                <c:pt idx="52">
                  <c:v>1846962</c:v>
                </c:pt>
                <c:pt idx="53">
                  <c:v>2060635</c:v>
                </c:pt>
                <c:pt idx="54">
                  <c:v>1726622</c:v>
                </c:pt>
                <c:pt idx="55">
                  <c:v>1975668</c:v>
                </c:pt>
                <c:pt idx="56">
                  <c:v>1982584</c:v>
                </c:pt>
                <c:pt idx="57">
                  <c:v>1930942</c:v>
                </c:pt>
                <c:pt idx="58">
                  <c:v>1824640</c:v>
                </c:pt>
                <c:pt idx="59">
                  <c:v>1729841</c:v>
                </c:pt>
                <c:pt idx="60">
                  <c:v>1707373</c:v>
                </c:pt>
                <c:pt idx="61">
                  <c:v>1664186</c:v>
                </c:pt>
                <c:pt idx="62">
                  <c:v>1611995</c:v>
                </c:pt>
                <c:pt idx="63">
                  <c:v>1720497</c:v>
                </c:pt>
                <c:pt idx="64">
                  <c:v>1771148</c:v>
                </c:pt>
                <c:pt idx="65">
                  <c:v>1752317</c:v>
                </c:pt>
                <c:pt idx="66">
                  <c:v>1798195</c:v>
                </c:pt>
                <c:pt idx="67">
                  <c:v>1814010</c:v>
                </c:pt>
                <c:pt idx="68">
                  <c:v>1961827</c:v>
                </c:pt>
                <c:pt idx="69">
                  <c:v>1913128</c:v>
                </c:pt>
                <c:pt idx="70">
                  <c:v>1710579</c:v>
                </c:pt>
                <c:pt idx="71">
                  <c:v>1724744</c:v>
                </c:pt>
                <c:pt idx="72">
                  <c:v>1833320</c:v>
                </c:pt>
                <c:pt idx="73">
                  <c:v>1680332</c:v>
                </c:pt>
                <c:pt idx="74">
                  <c:v>1685373</c:v>
                </c:pt>
                <c:pt idx="75">
                  <c:v>1731403</c:v>
                </c:pt>
                <c:pt idx="76">
                  <c:v>1774736</c:v>
                </c:pt>
                <c:pt idx="77">
                  <c:v>1748649</c:v>
                </c:pt>
                <c:pt idx="78">
                  <c:v>1763706</c:v>
                </c:pt>
                <c:pt idx="79">
                  <c:v>1931629</c:v>
                </c:pt>
                <c:pt idx="80">
                  <c:v>1947494</c:v>
                </c:pt>
                <c:pt idx="81">
                  <c:v>1956656</c:v>
                </c:pt>
                <c:pt idx="82">
                  <c:v>1972377</c:v>
                </c:pt>
                <c:pt idx="83">
                  <c:v>2020070</c:v>
                </c:pt>
                <c:pt idx="84">
                  <c:v>2153650</c:v>
                </c:pt>
                <c:pt idx="85">
                  <c:v>2043129</c:v>
                </c:pt>
                <c:pt idx="86">
                  <c:v>1948239</c:v>
                </c:pt>
                <c:pt idx="87">
                  <c:v>2098002</c:v>
                </c:pt>
                <c:pt idx="88">
                  <c:v>2027536</c:v>
                </c:pt>
                <c:pt idx="89">
                  <c:v>1965348</c:v>
                </c:pt>
                <c:pt idx="90">
                  <c:v>1981289</c:v>
                </c:pt>
                <c:pt idx="91">
                  <c:v>1990145</c:v>
                </c:pt>
                <c:pt idx="92">
                  <c:v>2068793</c:v>
                </c:pt>
                <c:pt idx="93">
                  <c:v>2158111</c:v>
                </c:pt>
                <c:pt idx="94">
                  <c:v>2155855</c:v>
                </c:pt>
                <c:pt idx="95">
                  <c:v>1944326</c:v>
                </c:pt>
                <c:pt idx="96">
                  <c:v>2051185</c:v>
                </c:pt>
                <c:pt idx="97">
                  <c:v>2082711</c:v>
                </c:pt>
                <c:pt idx="98">
                  <c:v>2052032</c:v>
                </c:pt>
                <c:pt idx="99">
                  <c:v>2014524</c:v>
                </c:pt>
                <c:pt idx="100">
                  <c:v>2176506</c:v>
                </c:pt>
                <c:pt idx="101">
                  <c:v>2083775</c:v>
                </c:pt>
                <c:pt idx="102">
                  <c:v>2019378</c:v>
                </c:pt>
                <c:pt idx="103">
                  <c:v>1614465</c:v>
                </c:pt>
                <c:pt idx="104">
                  <c:v>1738173</c:v>
                </c:pt>
                <c:pt idx="105">
                  <c:v>2050499</c:v>
                </c:pt>
                <c:pt idx="106">
                  <c:v>1996856</c:v>
                </c:pt>
                <c:pt idx="107">
                  <c:v>1846095</c:v>
                </c:pt>
                <c:pt idx="108">
                  <c:v>1908325</c:v>
                </c:pt>
                <c:pt idx="109">
                  <c:v>1719159</c:v>
                </c:pt>
                <c:pt idx="110">
                  <c:v>1822158</c:v>
                </c:pt>
                <c:pt idx="111">
                  <c:v>1912258</c:v>
                </c:pt>
                <c:pt idx="112">
                  <c:v>1721729</c:v>
                </c:pt>
                <c:pt idx="113">
                  <c:v>1987401</c:v>
                </c:pt>
                <c:pt idx="114">
                  <c:v>1966718</c:v>
                </c:pt>
                <c:pt idx="115">
                  <c:v>1995739</c:v>
                </c:pt>
                <c:pt idx="116">
                  <c:v>1962910</c:v>
                </c:pt>
                <c:pt idx="117">
                  <c:v>1885168</c:v>
                </c:pt>
                <c:pt idx="118">
                  <c:v>2089462</c:v>
                </c:pt>
                <c:pt idx="119">
                  <c:v>1852837</c:v>
                </c:pt>
                <c:pt idx="120">
                  <c:v>1906009</c:v>
                </c:pt>
                <c:pt idx="121">
                  <c:v>1869496</c:v>
                </c:pt>
                <c:pt idx="122">
                  <c:v>1794719</c:v>
                </c:pt>
                <c:pt idx="123">
                  <c:v>1928305</c:v>
                </c:pt>
                <c:pt idx="124">
                  <c:v>1982824</c:v>
                </c:pt>
                <c:pt idx="125">
                  <c:v>1794227</c:v>
                </c:pt>
                <c:pt idx="126">
                  <c:v>2012951</c:v>
                </c:pt>
                <c:pt idx="127">
                  <c:v>1905716</c:v>
                </c:pt>
                <c:pt idx="128">
                  <c:v>1827198</c:v>
                </c:pt>
                <c:pt idx="129">
                  <c:v>1896223</c:v>
                </c:pt>
                <c:pt idx="130">
                  <c:v>1806053</c:v>
                </c:pt>
                <c:pt idx="131">
                  <c:v>1869762</c:v>
                </c:pt>
                <c:pt idx="132">
                  <c:v>1834819</c:v>
                </c:pt>
                <c:pt idx="133">
                  <c:v>1875205</c:v>
                </c:pt>
                <c:pt idx="134">
                  <c:v>1959160</c:v>
                </c:pt>
                <c:pt idx="135">
                  <c:v>1929809</c:v>
                </c:pt>
                <c:pt idx="136">
                  <c:v>1902643</c:v>
                </c:pt>
                <c:pt idx="137">
                  <c:v>1833497</c:v>
                </c:pt>
                <c:pt idx="138">
                  <c:v>1754641</c:v>
                </c:pt>
                <c:pt idx="139">
                  <c:v>1521418</c:v>
                </c:pt>
                <c:pt idx="140">
                  <c:v>1751272</c:v>
                </c:pt>
                <c:pt idx="141">
                  <c:v>1827118</c:v>
                </c:pt>
                <c:pt idx="142">
                  <c:v>1680253</c:v>
                </c:pt>
                <c:pt idx="143">
                  <c:v>1847496</c:v>
                </c:pt>
                <c:pt idx="144">
                  <c:v>1772806</c:v>
                </c:pt>
                <c:pt idx="145">
                  <c:v>1597843</c:v>
                </c:pt>
                <c:pt idx="146">
                  <c:v>1702527</c:v>
                </c:pt>
                <c:pt idx="147">
                  <c:v>1632495</c:v>
                </c:pt>
                <c:pt idx="148">
                  <c:v>1771718</c:v>
                </c:pt>
                <c:pt idx="149">
                  <c:v>1822254</c:v>
                </c:pt>
                <c:pt idx="150">
                  <c:v>1774309</c:v>
                </c:pt>
                <c:pt idx="151">
                  <c:v>1639645</c:v>
                </c:pt>
                <c:pt idx="152">
                  <c:v>1760446</c:v>
                </c:pt>
                <c:pt idx="153">
                  <c:v>1761610</c:v>
                </c:pt>
                <c:pt idx="154">
                  <c:v>1810111</c:v>
                </c:pt>
                <c:pt idx="155">
                  <c:v>1418853</c:v>
                </c:pt>
                <c:pt idx="156">
                  <c:v>1315079</c:v>
                </c:pt>
                <c:pt idx="157">
                  <c:v>1660730</c:v>
                </c:pt>
                <c:pt idx="158">
                  <c:v>1788647</c:v>
                </c:pt>
                <c:pt idx="159">
                  <c:v>1471098</c:v>
                </c:pt>
                <c:pt idx="160">
                  <c:v>1567378</c:v>
                </c:pt>
                <c:pt idx="161">
                  <c:v>1742009</c:v>
                </c:pt>
                <c:pt idx="162">
                  <c:v>1675289</c:v>
                </c:pt>
                <c:pt idx="163">
                  <c:v>1672086</c:v>
                </c:pt>
                <c:pt idx="164">
                  <c:v>1685570</c:v>
                </c:pt>
                <c:pt idx="165">
                  <c:v>1685072</c:v>
                </c:pt>
                <c:pt idx="166">
                  <c:v>1602015</c:v>
                </c:pt>
                <c:pt idx="167">
                  <c:v>1598489</c:v>
                </c:pt>
                <c:pt idx="168">
                  <c:v>1730409</c:v>
                </c:pt>
                <c:pt idx="169">
                  <c:v>1679551</c:v>
                </c:pt>
                <c:pt idx="170">
                  <c:v>1624606</c:v>
                </c:pt>
                <c:pt idx="171">
                  <c:v>1638680</c:v>
                </c:pt>
                <c:pt idx="172">
                  <c:v>1653407</c:v>
                </c:pt>
                <c:pt idx="173">
                  <c:v>1705684</c:v>
                </c:pt>
                <c:pt idx="174">
                  <c:v>1616232</c:v>
                </c:pt>
                <c:pt idx="175">
                  <c:v>1786258</c:v>
                </c:pt>
                <c:pt idx="176">
                  <c:v>1738244</c:v>
                </c:pt>
                <c:pt idx="177">
                  <c:v>1695380</c:v>
                </c:pt>
                <c:pt idx="178">
                  <c:v>1690267</c:v>
                </c:pt>
                <c:pt idx="179">
                  <c:v>1724149</c:v>
                </c:pt>
                <c:pt idx="180">
                  <c:v>1768619</c:v>
                </c:pt>
                <c:pt idx="181">
                  <c:v>1752807</c:v>
                </c:pt>
                <c:pt idx="182">
                  <c:v>1584606</c:v>
                </c:pt>
                <c:pt idx="183">
                  <c:v>1532120</c:v>
                </c:pt>
                <c:pt idx="184">
                  <c:v>1697610</c:v>
                </c:pt>
                <c:pt idx="185">
                  <c:v>1771686</c:v>
                </c:pt>
                <c:pt idx="186">
                  <c:v>1758101</c:v>
                </c:pt>
                <c:pt idx="187">
                  <c:v>1680682</c:v>
                </c:pt>
                <c:pt idx="188">
                  <c:v>1749972</c:v>
                </c:pt>
                <c:pt idx="189">
                  <c:v>1878202</c:v>
                </c:pt>
                <c:pt idx="190">
                  <c:v>1776061</c:v>
                </c:pt>
                <c:pt idx="191">
                  <c:v>1659393</c:v>
                </c:pt>
                <c:pt idx="192">
                  <c:v>1585170</c:v>
                </c:pt>
                <c:pt idx="193">
                  <c:v>1764480</c:v>
                </c:pt>
                <c:pt idx="194">
                  <c:v>1930041</c:v>
                </c:pt>
                <c:pt idx="195">
                  <c:v>1659680</c:v>
                </c:pt>
                <c:pt idx="196">
                  <c:v>1688023</c:v>
                </c:pt>
                <c:pt idx="197">
                  <c:v>1887532</c:v>
                </c:pt>
                <c:pt idx="198">
                  <c:v>1896759</c:v>
                </c:pt>
                <c:pt idx="199">
                  <c:v>1863555</c:v>
                </c:pt>
                <c:pt idx="200">
                  <c:v>1827323</c:v>
                </c:pt>
                <c:pt idx="201">
                  <c:v>1588238</c:v>
                </c:pt>
                <c:pt idx="202">
                  <c:v>1972864</c:v>
                </c:pt>
                <c:pt idx="203">
                  <c:v>1701879</c:v>
                </c:pt>
                <c:pt idx="204">
                  <c:v>1992374</c:v>
                </c:pt>
                <c:pt idx="205">
                  <c:v>1994606</c:v>
                </c:pt>
                <c:pt idx="206">
                  <c:v>2029219</c:v>
                </c:pt>
                <c:pt idx="207">
                  <c:v>1395206</c:v>
                </c:pt>
                <c:pt idx="208">
                  <c:v>1615910</c:v>
                </c:pt>
                <c:pt idx="209">
                  <c:v>1943000</c:v>
                </c:pt>
                <c:pt idx="210">
                  <c:v>1972748</c:v>
                </c:pt>
                <c:pt idx="211">
                  <c:v>2041740</c:v>
                </c:pt>
                <c:pt idx="212">
                  <c:v>1891717</c:v>
                </c:pt>
                <c:pt idx="213">
                  <c:v>1924377</c:v>
                </c:pt>
                <c:pt idx="214">
                  <c:v>1875160</c:v>
                </c:pt>
                <c:pt idx="215">
                  <c:v>1905391</c:v>
                </c:pt>
                <c:pt idx="216">
                  <c:v>1817215</c:v>
                </c:pt>
                <c:pt idx="217">
                  <c:v>1731454</c:v>
                </c:pt>
                <c:pt idx="218">
                  <c:v>1738844</c:v>
                </c:pt>
                <c:pt idx="219">
                  <c:v>1696676</c:v>
                </c:pt>
                <c:pt idx="220">
                  <c:v>1809967</c:v>
                </c:pt>
                <c:pt idx="221">
                  <c:v>1989107</c:v>
                </c:pt>
                <c:pt idx="222">
                  <c:v>1954364</c:v>
                </c:pt>
                <c:pt idx="223">
                  <c:v>2084884</c:v>
                </c:pt>
                <c:pt idx="224">
                  <c:v>2113358</c:v>
                </c:pt>
                <c:pt idx="225">
                  <c:v>2003973</c:v>
                </c:pt>
                <c:pt idx="226">
                  <c:v>1990096</c:v>
                </c:pt>
                <c:pt idx="227">
                  <c:v>2045957</c:v>
                </c:pt>
                <c:pt idx="228">
                  <c:v>2058996</c:v>
                </c:pt>
                <c:pt idx="229">
                  <c:v>2080010</c:v>
                </c:pt>
                <c:pt idx="230">
                  <c:v>2084208</c:v>
                </c:pt>
                <c:pt idx="231">
                  <c:v>2002057</c:v>
                </c:pt>
                <c:pt idx="232">
                  <c:v>1995206</c:v>
                </c:pt>
                <c:pt idx="233">
                  <c:v>2201230</c:v>
                </c:pt>
                <c:pt idx="234">
                  <c:v>2238206</c:v>
                </c:pt>
                <c:pt idx="235">
                  <c:v>2008945</c:v>
                </c:pt>
                <c:pt idx="236">
                  <c:v>2304492</c:v>
                </c:pt>
                <c:pt idx="237">
                  <c:v>2180331</c:v>
                </c:pt>
                <c:pt idx="238">
                  <c:v>2220184</c:v>
                </c:pt>
                <c:pt idx="239">
                  <c:v>2226539</c:v>
                </c:pt>
                <c:pt idx="240">
                  <c:v>2240146</c:v>
                </c:pt>
                <c:pt idx="241">
                  <c:v>1982307</c:v>
                </c:pt>
                <c:pt idx="242">
                  <c:v>1880966</c:v>
                </c:pt>
                <c:pt idx="243">
                  <c:v>2024434</c:v>
                </c:pt>
                <c:pt idx="244">
                  <c:v>1951485</c:v>
                </c:pt>
                <c:pt idx="245">
                  <c:v>2181823</c:v>
                </c:pt>
                <c:pt idx="246">
                  <c:v>2092484</c:v>
                </c:pt>
                <c:pt idx="247">
                  <c:v>2129416</c:v>
                </c:pt>
                <c:pt idx="248">
                  <c:v>2149448</c:v>
                </c:pt>
                <c:pt idx="249">
                  <c:v>2312856</c:v>
                </c:pt>
                <c:pt idx="250">
                  <c:v>2220673</c:v>
                </c:pt>
                <c:pt idx="251">
                  <c:v>2029141</c:v>
                </c:pt>
                <c:pt idx="252">
                  <c:v>2120709</c:v>
                </c:pt>
                <c:pt idx="253">
                  <c:v>2008488</c:v>
                </c:pt>
                <c:pt idx="254">
                  <c:v>2093053</c:v>
                </c:pt>
                <c:pt idx="255">
                  <c:v>1863033</c:v>
                </c:pt>
                <c:pt idx="256">
                  <c:v>2004234</c:v>
                </c:pt>
                <c:pt idx="257">
                  <c:v>2121538</c:v>
                </c:pt>
                <c:pt idx="258">
                  <c:v>2032689</c:v>
                </c:pt>
                <c:pt idx="259">
                  <c:v>1900968</c:v>
                </c:pt>
                <c:pt idx="260">
                  <c:v>1773286</c:v>
                </c:pt>
                <c:pt idx="261">
                  <c:v>1997248</c:v>
                </c:pt>
                <c:pt idx="262">
                  <c:v>1954271</c:v>
                </c:pt>
                <c:pt idx="263">
                  <c:v>2075223</c:v>
                </c:pt>
                <c:pt idx="264">
                  <c:v>2103289</c:v>
                </c:pt>
                <c:pt idx="265">
                  <c:v>2168560</c:v>
                </c:pt>
                <c:pt idx="266">
                  <c:v>2127011</c:v>
                </c:pt>
                <c:pt idx="267">
                  <c:v>2113450</c:v>
                </c:pt>
                <c:pt idx="268">
                  <c:v>2119635</c:v>
                </c:pt>
                <c:pt idx="269">
                  <c:v>2087559</c:v>
                </c:pt>
                <c:pt idx="270">
                  <c:v>1958914</c:v>
                </c:pt>
                <c:pt idx="271">
                  <c:v>1975054</c:v>
                </c:pt>
                <c:pt idx="272">
                  <c:v>2034994</c:v>
                </c:pt>
                <c:pt idx="273">
                  <c:v>1975012</c:v>
                </c:pt>
                <c:pt idx="274">
                  <c:v>2018917</c:v>
                </c:pt>
                <c:pt idx="275">
                  <c:v>1896735</c:v>
                </c:pt>
                <c:pt idx="276">
                  <c:v>2023429</c:v>
                </c:pt>
                <c:pt idx="277">
                  <c:v>1996297</c:v>
                </c:pt>
                <c:pt idx="278">
                  <c:v>2071434</c:v>
                </c:pt>
                <c:pt idx="279">
                  <c:v>1938766</c:v>
                </c:pt>
                <c:pt idx="280">
                  <c:v>1910729</c:v>
                </c:pt>
                <c:pt idx="281">
                  <c:v>1854989</c:v>
                </c:pt>
                <c:pt idx="282">
                  <c:v>2122399</c:v>
                </c:pt>
                <c:pt idx="283">
                  <c:v>2083502</c:v>
                </c:pt>
                <c:pt idx="284">
                  <c:v>1927043</c:v>
                </c:pt>
                <c:pt idx="285">
                  <c:v>2031859</c:v>
                </c:pt>
                <c:pt idx="286">
                  <c:v>2079905</c:v>
                </c:pt>
                <c:pt idx="287">
                  <c:v>1812318</c:v>
                </c:pt>
                <c:pt idx="288">
                  <c:v>2080500</c:v>
                </c:pt>
                <c:pt idx="289">
                  <c:v>2088718</c:v>
                </c:pt>
                <c:pt idx="290">
                  <c:v>2130985</c:v>
                </c:pt>
                <c:pt idx="291">
                  <c:v>2136667</c:v>
                </c:pt>
                <c:pt idx="292">
                  <c:v>1831205</c:v>
                </c:pt>
                <c:pt idx="293">
                  <c:v>1984356</c:v>
                </c:pt>
                <c:pt idx="294">
                  <c:v>2072215</c:v>
                </c:pt>
                <c:pt idx="295">
                  <c:v>2047011</c:v>
                </c:pt>
                <c:pt idx="296">
                  <c:v>1858143</c:v>
                </c:pt>
                <c:pt idx="297">
                  <c:v>2154565</c:v>
                </c:pt>
                <c:pt idx="298">
                  <c:v>2090283</c:v>
                </c:pt>
                <c:pt idx="299">
                  <c:v>2222246</c:v>
                </c:pt>
                <c:pt idx="300">
                  <c:v>1200357</c:v>
                </c:pt>
                <c:pt idx="301">
                  <c:v>1991646</c:v>
                </c:pt>
                <c:pt idx="302">
                  <c:v>2081002</c:v>
                </c:pt>
                <c:pt idx="303">
                  <c:v>2151622</c:v>
                </c:pt>
                <c:pt idx="304">
                  <c:v>2135115</c:v>
                </c:pt>
                <c:pt idx="305">
                  <c:v>2056410</c:v>
                </c:pt>
                <c:pt idx="306">
                  <c:v>1972044</c:v>
                </c:pt>
                <c:pt idx="307">
                  <c:v>2114323</c:v>
                </c:pt>
                <c:pt idx="308">
                  <c:v>2087088</c:v>
                </c:pt>
                <c:pt idx="309">
                  <c:v>2061561</c:v>
                </c:pt>
                <c:pt idx="310">
                  <c:v>1979805</c:v>
                </c:pt>
                <c:pt idx="311">
                  <c:v>2070427</c:v>
                </c:pt>
                <c:pt idx="312">
                  <c:v>1817413</c:v>
                </c:pt>
                <c:pt idx="313">
                  <c:v>1754437</c:v>
                </c:pt>
                <c:pt idx="314">
                  <c:v>2061903</c:v>
                </c:pt>
                <c:pt idx="315">
                  <c:v>2096091</c:v>
                </c:pt>
                <c:pt idx="316">
                  <c:v>1894540</c:v>
                </c:pt>
                <c:pt idx="317">
                  <c:v>2091064</c:v>
                </c:pt>
                <c:pt idx="318">
                  <c:v>2109942</c:v>
                </c:pt>
                <c:pt idx="319">
                  <c:v>2026134</c:v>
                </c:pt>
                <c:pt idx="320">
                  <c:v>2131693</c:v>
                </c:pt>
                <c:pt idx="321">
                  <c:v>2221381</c:v>
                </c:pt>
                <c:pt idx="322">
                  <c:v>2107418</c:v>
                </c:pt>
                <c:pt idx="323">
                  <c:v>2130005</c:v>
                </c:pt>
                <c:pt idx="324">
                  <c:v>2086520</c:v>
                </c:pt>
                <c:pt idx="325">
                  <c:v>2238090</c:v>
                </c:pt>
                <c:pt idx="326">
                  <c:v>2037081</c:v>
                </c:pt>
                <c:pt idx="327">
                  <c:v>2268172</c:v>
                </c:pt>
                <c:pt idx="328">
                  <c:v>2151448</c:v>
                </c:pt>
                <c:pt idx="329">
                  <c:v>2298419</c:v>
                </c:pt>
                <c:pt idx="330">
                  <c:v>2243783</c:v>
                </c:pt>
                <c:pt idx="331">
                  <c:v>2137510</c:v>
                </c:pt>
                <c:pt idx="332">
                  <c:v>2193614</c:v>
                </c:pt>
                <c:pt idx="333">
                  <c:v>2226017</c:v>
                </c:pt>
                <c:pt idx="334">
                  <c:v>1975269</c:v>
                </c:pt>
                <c:pt idx="335">
                  <c:v>2076178</c:v>
                </c:pt>
                <c:pt idx="336">
                  <c:v>1998399</c:v>
                </c:pt>
                <c:pt idx="337">
                  <c:v>2106846</c:v>
                </c:pt>
                <c:pt idx="338">
                  <c:v>2093077</c:v>
                </c:pt>
                <c:pt idx="339">
                  <c:v>1972250</c:v>
                </c:pt>
                <c:pt idx="340">
                  <c:v>2443109</c:v>
                </c:pt>
                <c:pt idx="341">
                  <c:v>2343752</c:v>
                </c:pt>
                <c:pt idx="342">
                  <c:v>2273915</c:v>
                </c:pt>
                <c:pt idx="343">
                  <c:v>2174969</c:v>
                </c:pt>
                <c:pt idx="344">
                  <c:v>2303446</c:v>
                </c:pt>
                <c:pt idx="345">
                  <c:v>2180931</c:v>
                </c:pt>
                <c:pt idx="346">
                  <c:v>2193080</c:v>
                </c:pt>
                <c:pt idx="347">
                  <c:v>2438149</c:v>
                </c:pt>
                <c:pt idx="348">
                  <c:v>2116378</c:v>
                </c:pt>
                <c:pt idx="349">
                  <c:v>2252086</c:v>
                </c:pt>
                <c:pt idx="350">
                  <c:v>2264291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1-493C-AD4F-E9FCD0EB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012784"/>
        <c:axId val="2085007384"/>
      </c:lineChart>
      <c:dateAx>
        <c:axId val="208501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7587643173562583"/>
              <c:y val="0.89128530477899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007384"/>
        <c:crosses val="autoZero"/>
        <c:auto val="1"/>
        <c:lblOffset val="100"/>
        <c:baseTimeUnit val="days"/>
      </c:dateAx>
      <c:valAx>
        <c:axId val="208500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TEU</a:t>
                </a:r>
                <a:r>
                  <a:rPr lang="en-US" baseline="0"/>
                  <a:t> Capacity in Millions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012784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'[1]2025 Fig 3-1'!$T$2</c:f>
              <c:strCache>
                <c:ptCount val="1"/>
                <c:pt idx="0">
                  <c:v>TEU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'[1]2025 Fig 3-1'!$S$3:$S$11</c:f>
              <c:strCach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strCache>
            </c:strRef>
          </c:cat>
          <c:val>
            <c:numRef>
              <c:f>'[1]2025 Fig 3-1'!$T$3:$T$11</c:f>
              <c:numCache>
                <c:formatCode>_(* #,##0_);_(* \(#,##0\);_(* "-"??_);_(@_)</c:formatCode>
                <c:ptCount val="9"/>
                <c:pt idx="0">
                  <c:v>8574844.1428571437</c:v>
                </c:pt>
                <c:pt idx="1">
                  <c:v>8324953.9999999991</c:v>
                </c:pt>
                <c:pt idx="2">
                  <c:v>9489305.8571428563</c:v>
                </c:pt>
                <c:pt idx="3">
                  <c:v>9368719</c:v>
                </c:pt>
                <c:pt idx="4">
                  <c:v>9785960.7142857146</c:v>
                </c:pt>
                <c:pt idx="5">
                  <c:v>8754714</c:v>
                </c:pt>
                <c:pt idx="6">
                  <c:v>9878391</c:v>
                </c:pt>
                <c:pt idx="7">
                  <c:v>9850423</c:v>
                </c:pt>
                <c:pt idx="8">
                  <c:v>8722597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3-4FF0-8852-D7DC694D9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3079720"/>
        <c:axId val="1103080440"/>
      </c:barChart>
      <c:catAx>
        <c:axId val="1103079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080440"/>
        <c:crosses val="autoZero"/>
        <c:auto val="1"/>
        <c:lblAlgn val="ctr"/>
        <c:lblOffset val="100"/>
        <c:noMultiLvlLbl val="1"/>
      </c:catAx>
      <c:valAx>
        <c:axId val="1103080440"/>
        <c:scaling>
          <c:orientation val="minMax"/>
          <c:max val="11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079720"/>
        <c:crosses val="autoZero"/>
        <c:crossBetween val="between"/>
        <c:majorUnit val="1000000"/>
        <c:minorUnit val="50000"/>
        <c:dispUnits>
          <c:builtInUnit val="millions"/>
          <c:dispUnitsLbl>
            <c:layout>
              <c:manualLayout>
                <c:xMode val="edge"/>
                <c:yMode val="edge"/>
                <c:x val="2.2715969821231516E-2"/>
                <c:y val="0.2781365365469914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200" b="0">
                      <a:solidFill>
                        <a:sysClr val="windowText" lastClr="000000"/>
                      </a:solidFill>
                    </a:rPr>
                    <a:t>TEU Capacity in 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'[1]2025 Fig 3-2'!$A$3</c:f>
              <c:strCache>
                <c:ptCount val="1"/>
                <c:pt idx="0">
                  <c:v>Pacific Coast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'[1]2025 Fig 3-2'!$B$2:$BB$2</c:f>
              <c:strCache>
                <c:ptCount val="53"/>
                <c:pt idx="0">
                  <c:v>45559</c:v>
                </c:pt>
                <c:pt idx="1">
                  <c:v>45566</c:v>
                </c:pt>
                <c:pt idx="2">
                  <c:v>45573</c:v>
                </c:pt>
                <c:pt idx="3">
                  <c:v>45580</c:v>
                </c:pt>
                <c:pt idx="4">
                  <c:v>45587</c:v>
                </c:pt>
                <c:pt idx="5">
                  <c:v>45596</c:v>
                </c:pt>
                <c:pt idx="6">
                  <c:v>45601</c:v>
                </c:pt>
                <c:pt idx="7">
                  <c:v>45608</c:v>
                </c:pt>
                <c:pt idx="8">
                  <c:v>45615</c:v>
                </c:pt>
                <c:pt idx="9">
                  <c:v>45622</c:v>
                </c:pt>
                <c:pt idx="10">
                  <c:v>45629</c:v>
                </c:pt>
                <c:pt idx="11">
                  <c:v>45636</c:v>
                </c:pt>
                <c:pt idx="12">
                  <c:v>45643</c:v>
                </c:pt>
                <c:pt idx="13">
                  <c:v>45657</c:v>
                </c:pt>
                <c:pt idx="14">
                  <c:v>45664</c:v>
                </c:pt>
                <c:pt idx="15">
                  <c:v>45671</c:v>
                </c:pt>
                <c:pt idx="16">
                  <c:v>45678</c:v>
                </c:pt>
                <c:pt idx="17">
                  <c:v>45685</c:v>
                </c:pt>
                <c:pt idx="18">
                  <c:v>45692</c:v>
                </c:pt>
                <c:pt idx="19">
                  <c:v>45699</c:v>
                </c:pt>
                <c:pt idx="20">
                  <c:v>45706</c:v>
                </c:pt>
                <c:pt idx="21">
                  <c:v>45713</c:v>
                </c:pt>
                <c:pt idx="22">
                  <c:v>45720</c:v>
                </c:pt>
                <c:pt idx="23">
                  <c:v>45727</c:v>
                </c:pt>
                <c:pt idx="24">
                  <c:v>45734</c:v>
                </c:pt>
                <c:pt idx="25">
                  <c:v>45741</c:v>
                </c:pt>
                <c:pt idx="26">
                  <c:v>45748</c:v>
                </c:pt>
                <c:pt idx="27">
                  <c:v>45755</c:v>
                </c:pt>
                <c:pt idx="28">
                  <c:v>45762</c:v>
                </c:pt>
                <c:pt idx="29">
                  <c:v>45769</c:v>
                </c:pt>
                <c:pt idx="30">
                  <c:v>45776</c:v>
                </c:pt>
                <c:pt idx="31">
                  <c:v>45783</c:v>
                </c:pt>
                <c:pt idx="32">
                  <c:v>45790</c:v>
                </c:pt>
                <c:pt idx="33">
                  <c:v>45797</c:v>
                </c:pt>
                <c:pt idx="34">
                  <c:v>45804</c:v>
                </c:pt>
                <c:pt idx="35">
                  <c:v>45811</c:v>
                </c:pt>
                <c:pt idx="36">
                  <c:v>45818</c:v>
                </c:pt>
                <c:pt idx="37">
                  <c:v>45825</c:v>
                </c:pt>
                <c:pt idx="38">
                  <c:v>45832</c:v>
                </c:pt>
                <c:pt idx="39">
                  <c:v>45839</c:v>
                </c:pt>
                <c:pt idx="40">
                  <c:v>45846</c:v>
                </c:pt>
                <c:pt idx="41">
                  <c:v>45853</c:v>
                </c:pt>
                <c:pt idx="42">
                  <c:v>45860</c:v>
                </c:pt>
                <c:pt idx="43">
                  <c:v>45867</c:v>
                </c:pt>
                <c:pt idx="44">
                  <c:v>45874</c:v>
                </c:pt>
                <c:pt idx="45">
                  <c:v>45881</c:v>
                </c:pt>
                <c:pt idx="46">
                  <c:v>45888</c:v>
                </c:pt>
                <c:pt idx="47">
                  <c:v>45895</c:v>
                </c:pt>
                <c:pt idx="48">
                  <c:v>45902</c:v>
                </c:pt>
                <c:pt idx="49">
                  <c:v>45909</c:v>
                </c:pt>
                <c:pt idx="50">
                  <c:v>45916</c:v>
                </c:pt>
                <c:pt idx="51">
                  <c:v>45923</c:v>
                </c:pt>
                <c:pt idx="52">
                  <c:v>45930</c:v>
                </c:pt>
              </c:strCache>
            </c:strRef>
          </c:cat>
          <c:val>
            <c:numRef>
              <c:f>'[1]2025 Fig 3-2'!$B$3:$BB$3</c:f>
              <c:numCache>
                <c:formatCode>#,##0.00</c:formatCode>
                <c:ptCount val="53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5</c:v>
                </c:pt>
                <c:pt idx="15">
                  <c:v>7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3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F-4B3D-84A1-1165E46E4832}"/>
            </c:ext>
          </c:extLst>
        </c:ser>
        <c:ser>
          <c:idx val="1"/>
          <c:order val="1"/>
          <c:tx>
            <c:strRef>
              <c:f>'[1]2025 Fig 3-2'!$A$4</c:f>
              <c:strCache>
                <c:ptCount val="1"/>
                <c:pt idx="0">
                  <c:v>Atlantic Coast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'[1]2025 Fig 3-2'!$B$2:$BB$2</c:f>
              <c:strCache>
                <c:ptCount val="53"/>
                <c:pt idx="0">
                  <c:v>45559</c:v>
                </c:pt>
                <c:pt idx="1">
                  <c:v>45566</c:v>
                </c:pt>
                <c:pt idx="2">
                  <c:v>45573</c:v>
                </c:pt>
                <c:pt idx="3">
                  <c:v>45580</c:v>
                </c:pt>
                <c:pt idx="4">
                  <c:v>45587</c:v>
                </c:pt>
                <c:pt idx="5">
                  <c:v>45596</c:v>
                </c:pt>
                <c:pt idx="6">
                  <c:v>45601</c:v>
                </c:pt>
                <c:pt idx="7">
                  <c:v>45608</c:v>
                </c:pt>
                <c:pt idx="8">
                  <c:v>45615</c:v>
                </c:pt>
                <c:pt idx="9">
                  <c:v>45622</c:v>
                </c:pt>
                <c:pt idx="10">
                  <c:v>45629</c:v>
                </c:pt>
                <c:pt idx="11">
                  <c:v>45636</c:v>
                </c:pt>
                <c:pt idx="12">
                  <c:v>45643</c:v>
                </c:pt>
                <c:pt idx="13">
                  <c:v>45657</c:v>
                </c:pt>
                <c:pt idx="14">
                  <c:v>45664</c:v>
                </c:pt>
                <c:pt idx="15">
                  <c:v>45671</c:v>
                </c:pt>
                <c:pt idx="16">
                  <c:v>45678</c:v>
                </c:pt>
                <c:pt idx="17">
                  <c:v>45685</c:v>
                </c:pt>
                <c:pt idx="18">
                  <c:v>45692</c:v>
                </c:pt>
                <c:pt idx="19">
                  <c:v>45699</c:v>
                </c:pt>
                <c:pt idx="20">
                  <c:v>45706</c:v>
                </c:pt>
                <c:pt idx="21">
                  <c:v>45713</c:v>
                </c:pt>
                <c:pt idx="22">
                  <c:v>45720</c:v>
                </c:pt>
                <c:pt idx="23">
                  <c:v>45727</c:v>
                </c:pt>
                <c:pt idx="24">
                  <c:v>45734</c:v>
                </c:pt>
                <c:pt idx="25">
                  <c:v>45741</c:v>
                </c:pt>
                <c:pt idx="26">
                  <c:v>45748</c:v>
                </c:pt>
                <c:pt idx="27">
                  <c:v>45755</c:v>
                </c:pt>
                <c:pt idx="28">
                  <c:v>45762</c:v>
                </c:pt>
                <c:pt idx="29">
                  <c:v>45769</c:v>
                </c:pt>
                <c:pt idx="30">
                  <c:v>45776</c:v>
                </c:pt>
                <c:pt idx="31">
                  <c:v>45783</c:v>
                </c:pt>
                <c:pt idx="32">
                  <c:v>45790</c:v>
                </c:pt>
                <c:pt idx="33">
                  <c:v>45797</c:v>
                </c:pt>
                <c:pt idx="34">
                  <c:v>45804</c:v>
                </c:pt>
                <c:pt idx="35">
                  <c:v>45811</c:v>
                </c:pt>
                <c:pt idx="36">
                  <c:v>45818</c:v>
                </c:pt>
                <c:pt idx="37">
                  <c:v>45825</c:v>
                </c:pt>
                <c:pt idx="38">
                  <c:v>45832</c:v>
                </c:pt>
                <c:pt idx="39">
                  <c:v>45839</c:v>
                </c:pt>
                <c:pt idx="40">
                  <c:v>45846</c:v>
                </c:pt>
                <c:pt idx="41">
                  <c:v>45853</c:v>
                </c:pt>
                <c:pt idx="42">
                  <c:v>45860</c:v>
                </c:pt>
                <c:pt idx="43">
                  <c:v>45867</c:v>
                </c:pt>
                <c:pt idx="44">
                  <c:v>45874</c:v>
                </c:pt>
                <c:pt idx="45">
                  <c:v>45881</c:v>
                </c:pt>
                <c:pt idx="46">
                  <c:v>45888</c:v>
                </c:pt>
                <c:pt idx="47">
                  <c:v>45895</c:v>
                </c:pt>
                <c:pt idx="48">
                  <c:v>45902</c:v>
                </c:pt>
                <c:pt idx="49">
                  <c:v>45909</c:v>
                </c:pt>
                <c:pt idx="50">
                  <c:v>45916</c:v>
                </c:pt>
                <c:pt idx="51">
                  <c:v>45923</c:v>
                </c:pt>
                <c:pt idx="52">
                  <c:v>45930</c:v>
                </c:pt>
              </c:strCache>
            </c:strRef>
          </c:cat>
          <c:val>
            <c:numRef>
              <c:f>'[1]2025 Fig 3-2'!$B$4:$BB$4</c:f>
              <c:numCache>
                <c:formatCode>#,##0.00</c:formatCode>
                <c:ptCount val="53"/>
                <c:pt idx="0">
                  <c:v>15</c:v>
                </c:pt>
                <c:pt idx="1">
                  <c:v>24</c:v>
                </c:pt>
                <c:pt idx="2">
                  <c:v>13</c:v>
                </c:pt>
                <c:pt idx="3">
                  <c:v>19</c:v>
                </c:pt>
                <c:pt idx="4">
                  <c:v>19</c:v>
                </c:pt>
                <c:pt idx="5">
                  <c:v>16</c:v>
                </c:pt>
                <c:pt idx="6">
                  <c:v>24</c:v>
                </c:pt>
                <c:pt idx="7">
                  <c:v>19</c:v>
                </c:pt>
                <c:pt idx="8">
                  <c:v>16</c:v>
                </c:pt>
                <c:pt idx="9">
                  <c:v>16</c:v>
                </c:pt>
                <c:pt idx="10">
                  <c:v>11</c:v>
                </c:pt>
                <c:pt idx="11">
                  <c:v>10</c:v>
                </c:pt>
                <c:pt idx="12">
                  <c:v>9</c:v>
                </c:pt>
                <c:pt idx="13">
                  <c:v>16</c:v>
                </c:pt>
                <c:pt idx="14">
                  <c:v>11</c:v>
                </c:pt>
                <c:pt idx="15">
                  <c:v>12</c:v>
                </c:pt>
                <c:pt idx="16">
                  <c:v>14</c:v>
                </c:pt>
                <c:pt idx="17">
                  <c:v>28</c:v>
                </c:pt>
                <c:pt idx="18">
                  <c:v>26</c:v>
                </c:pt>
                <c:pt idx="19">
                  <c:v>30</c:v>
                </c:pt>
                <c:pt idx="20">
                  <c:v>30</c:v>
                </c:pt>
                <c:pt idx="21">
                  <c:v>26</c:v>
                </c:pt>
                <c:pt idx="22">
                  <c:v>14</c:v>
                </c:pt>
                <c:pt idx="23">
                  <c:v>18</c:v>
                </c:pt>
                <c:pt idx="24">
                  <c:v>14</c:v>
                </c:pt>
                <c:pt idx="25">
                  <c:v>22</c:v>
                </c:pt>
                <c:pt idx="26">
                  <c:v>17</c:v>
                </c:pt>
                <c:pt idx="27">
                  <c:v>8</c:v>
                </c:pt>
                <c:pt idx="28">
                  <c:v>7</c:v>
                </c:pt>
                <c:pt idx="29">
                  <c:v>9</c:v>
                </c:pt>
                <c:pt idx="30">
                  <c:v>6</c:v>
                </c:pt>
                <c:pt idx="31">
                  <c:v>8</c:v>
                </c:pt>
                <c:pt idx="32">
                  <c:v>2</c:v>
                </c:pt>
                <c:pt idx="33">
                  <c:v>3</c:v>
                </c:pt>
                <c:pt idx="34">
                  <c:v>5</c:v>
                </c:pt>
                <c:pt idx="35">
                  <c:v>6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8</c:v>
                </c:pt>
                <c:pt idx="40">
                  <c:v>5</c:v>
                </c:pt>
                <c:pt idx="41">
                  <c:v>8</c:v>
                </c:pt>
                <c:pt idx="42">
                  <c:v>7</c:v>
                </c:pt>
                <c:pt idx="43">
                  <c:v>6</c:v>
                </c:pt>
                <c:pt idx="44">
                  <c:v>12</c:v>
                </c:pt>
                <c:pt idx="45">
                  <c:v>10</c:v>
                </c:pt>
                <c:pt idx="46">
                  <c:v>5</c:v>
                </c:pt>
                <c:pt idx="47">
                  <c:v>12</c:v>
                </c:pt>
                <c:pt idx="48">
                  <c:v>20</c:v>
                </c:pt>
                <c:pt idx="49">
                  <c:v>8</c:v>
                </c:pt>
                <c:pt idx="50">
                  <c:v>2</c:v>
                </c:pt>
                <c:pt idx="51">
                  <c:v>9</c:v>
                </c:pt>
                <c:pt idx="5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0F-4B3D-84A1-1165E46E4832}"/>
            </c:ext>
          </c:extLst>
        </c:ser>
        <c:ser>
          <c:idx val="2"/>
          <c:order val="2"/>
          <c:tx>
            <c:strRef>
              <c:f>'[1]2025 Fig 3-2'!$A$5</c:f>
              <c:strCache>
                <c:ptCount val="1"/>
                <c:pt idx="0">
                  <c:v>Gulf Coast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'[1]2025 Fig 3-2'!$B$2:$BB$2</c:f>
              <c:strCache>
                <c:ptCount val="53"/>
                <c:pt idx="0">
                  <c:v>45559</c:v>
                </c:pt>
                <c:pt idx="1">
                  <c:v>45566</c:v>
                </c:pt>
                <c:pt idx="2">
                  <c:v>45573</c:v>
                </c:pt>
                <c:pt idx="3">
                  <c:v>45580</c:v>
                </c:pt>
                <c:pt idx="4">
                  <c:v>45587</c:v>
                </c:pt>
                <c:pt idx="5">
                  <c:v>45596</c:v>
                </c:pt>
                <c:pt idx="6">
                  <c:v>45601</c:v>
                </c:pt>
                <c:pt idx="7">
                  <c:v>45608</c:v>
                </c:pt>
                <c:pt idx="8">
                  <c:v>45615</c:v>
                </c:pt>
                <c:pt idx="9">
                  <c:v>45622</c:v>
                </c:pt>
                <c:pt idx="10">
                  <c:v>45629</c:v>
                </c:pt>
                <c:pt idx="11">
                  <c:v>45636</c:v>
                </c:pt>
                <c:pt idx="12">
                  <c:v>45643</c:v>
                </c:pt>
                <c:pt idx="13">
                  <c:v>45657</c:v>
                </c:pt>
                <c:pt idx="14">
                  <c:v>45664</c:v>
                </c:pt>
                <c:pt idx="15">
                  <c:v>45671</c:v>
                </c:pt>
                <c:pt idx="16">
                  <c:v>45678</c:v>
                </c:pt>
                <c:pt idx="17">
                  <c:v>45685</c:v>
                </c:pt>
                <c:pt idx="18">
                  <c:v>45692</c:v>
                </c:pt>
                <c:pt idx="19">
                  <c:v>45699</c:v>
                </c:pt>
                <c:pt idx="20">
                  <c:v>45706</c:v>
                </c:pt>
                <c:pt idx="21">
                  <c:v>45713</c:v>
                </c:pt>
                <c:pt idx="22">
                  <c:v>45720</c:v>
                </c:pt>
                <c:pt idx="23">
                  <c:v>45727</c:v>
                </c:pt>
                <c:pt idx="24">
                  <c:v>45734</c:v>
                </c:pt>
                <c:pt idx="25">
                  <c:v>45741</c:v>
                </c:pt>
                <c:pt idx="26">
                  <c:v>45748</c:v>
                </c:pt>
                <c:pt idx="27">
                  <c:v>45755</c:v>
                </c:pt>
                <c:pt idx="28">
                  <c:v>45762</c:v>
                </c:pt>
                <c:pt idx="29">
                  <c:v>45769</c:v>
                </c:pt>
                <c:pt idx="30">
                  <c:v>45776</c:v>
                </c:pt>
                <c:pt idx="31">
                  <c:v>45783</c:v>
                </c:pt>
                <c:pt idx="32">
                  <c:v>45790</c:v>
                </c:pt>
                <c:pt idx="33">
                  <c:v>45797</c:v>
                </c:pt>
                <c:pt idx="34">
                  <c:v>45804</c:v>
                </c:pt>
                <c:pt idx="35">
                  <c:v>45811</c:v>
                </c:pt>
                <c:pt idx="36">
                  <c:v>45818</c:v>
                </c:pt>
                <c:pt idx="37">
                  <c:v>45825</c:v>
                </c:pt>
                <c:pt idx="38">
                  <c:v>45832</c:v>
                </c:pt>
                <c:pt idx="39">
                  <c:v>45839</c:v>
                </c:pt>
                <c:pt idx="40">
                  <c:v>45846</c:v>
                </c:pt>
                <c:pt idx="41">
                  <c:v>45853</c:v>
                </c:pt>
                <c:pt idx="42">
                  <c:v>45860</c:v>
                </c:pt>
                <c:pt idx="43">
                  <c:v>45867</c:v>
                </c:pt>
                <c:pt idx="44">
                  <c:v>45874</c:v>
                </c:pt>
                <c:pt idx="45">
                  <c:v>45881</c:v>
                </c:pt>
                <c:pt idx="46">
                  <c:v>45888</c:v>
                </c:pt>
                <c:pt idx="47">
                  <c:v>45895</c:v>
                </c:pt>
                <c:pt idx="48">
                  <c:v>45902</c:v>
                </c:pt>
                <c:pt idx="49">
                  <c:v>45909</c:v>
                </c:pt>
                <c:pt idx="50">
                  <c:v>45916</c:v>
                </c:pt>
                <c:pt idx="51">
                  <c:v>45923</c:v>
                </c:pt>
                <c:pt idx="52">
                  <c:v>45930</c:v>
                </c:pt>
              </c:strCache>
            </c:strRef>
          </c:cat>
          <c:val>
            <c:numRef>
              <c:f>'[1]2025 Fig 3-2'!$B$5:$BB$5</c:f>
              <c:numCache>
                <c:formatCode>#,##0.00</c:formatCode>
                <c:ptCount val="5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9</c:v>
                </c:pt>
                <c:pt idx="20">
                  <c:v>4</c:v>
                </c:pt>
                <c:pt idx="21">
                  <c:v>4</c:v>
                </c:pt>
                <c:pt idx="22">
                  <c:v>2</c:v>
                </c:pt>
                <c:pt idx="23">
                  <c:v>5</c:v>
                </c:pt>
                <c:pt idx="24">
                  <c:v>1</c:v>
                </c:pt>
                <c:pt idx="25">
                  <c:v>2</c:v>
                </c:pt>
                <c:pt idx="26">
                  <c:v>5</c:v>
                </c:pt>
                <c:pt idx="27">
                  <c:v>1</c:v>
                </c:pt>
                <c:pt idx="28">
                  <c:v>2</c:v>
                </c:pt>
                <c:pt idx="29">
                  <c:v>4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5</c:v>
                </c:pt>
                <c:pt idx="40">
                  <c:v>2</c:v>
                </c:pt>
                <c:pt idx="41">
                  <c:v>5</c:v>
                </c:pt>
                <c:pt idx="42">
                  <c:v>4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0F-4B3D-84A1-1165E46E4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263128"/>
        <c:axId val="664263488"/>
      </c:lineChart>
      <c:catAx>
        <c:axId val="664263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63488"/>
        <c:crosses val="autoZero"/>
        <c:auto val="1"/>
        <c:lblAlgn val="ctr"/>
        <c:lblOffset val="100"/>
        <c:noMultiLvlLbl val="1"/>
      </c:catAx>
      <c:valAx>
        <c:axId val="66426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vessels</a:t>
                </a:r>
                <a:r>
                  <a:rPr lang="en-US" baseline="0"/>
                  <a:t> waiting to dock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0865941375648657E-2"/>
              <c:y val="0.165305616797900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63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510540</xdr:colOff>
      <xdr:row>2</xdr:row>
      <xdr:rowOff>72390</xdr:rowOff>
    </xdr:from>
    <xdr:to>
      <xdr:col>15</xdr:col>
      <xdr:colOff>144780</xdr:colOff>
      <xdr:row>18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6AC0A5-C390-49F0-B656-A57945CBC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374966</xdr:colOff>
      <xdr:row>12</xdr:row>
      <xdr:rowOff>9931</xdr:rowOff>
    </xdr:from>
    <xdr:to>
      <xdr:col>11</xdr:col>
      <xdr:colOff>410118</xdr:colOff>
      <xdr:row>31</xdr:row>
      <xdr:rowOff>56696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876CE-ADA1-4694-AD78-837803D4C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9</xdr:row>
      <xdr:rowOff>66674</xdr:rowOff>
    </xdr:from>
    <xdr:to>
      <xdr:col>7</xdr:col>
      <xdr:colOff>638175</xdr:colOff>
      <xdr:row>29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9105D5-C4B2-4AF7-8350-39731BDBA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dot-my.sharepoint.com/personal/nubia_delcarpio_ctr_ad_dot_gov/Documents/3.%20Port%20Performance/PPFS%20Ch.%203%20graphs.xlsx" TargetMode="External"/><Relationship Id="rId1" Type="http://schemas.openxmlformats.org/officeDocument/2006/relationships/externalLinkPath" Target="PPFS%20Ch.%203%20graph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dot-my.sharepoint.com/personal/patricia_dijoseph_ad_dot_gov/Documents/Microsoft%20Teams%20Chat%20Files/PPFS_2025%20Ch%203%20F%203-1_3-2.xlsx" TargetMode="External"/><Relationship Id="rId1" Type="http://schemas.openxmlformats.org/officeDocument/2006/relationships/externalLinkPath" Target="/personal/patricia_dijoseph_ad_dot_gov/Documents/Microsoft%20Teams%20Chat%20Files/PPFS_2025%20Ch%203%20F%203-1_3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years Fig 3-1"/>
      <sheetName val="2024 Fig 3-1"/>
      <sheetName val="2025 Fig 3-1"/>
      <sheetName val="2024 Fig 3-2"/>
      <sheetName val="2025 Fig 3-2"/>
      <sheetName val="2024 Table 7"/>
      <sheetName val="2025 Table 7"/>
      <sheetName val="2024 Table 8"/>
      <sheetName val="2025 Table 8"/>
      <sheetName val="TEU Capacity data"/>
      <sheetName val="TEU Modify data"/>
    </sheetNames>
    <sheetDataSet>
      <sheetData sheetId="0">
        <row r="1">
          <cell r="C1" t="str">
            <v>TEUs</v>
          </cell>
          <cell r="I1" t="str">
            <v>TEUs</v>
          </cell>
        </row>
        <row r="2">
          <cell r="B2">
            <v>43471</v>
          </cell>
          <cell r="C2">
            <v>1692044</v>
          </cell>
          <cell r="H2">
            <v>43471</v>
          </cell>
          <cell r="I2">
            <v>1692044</v>
          </cell>
        </row>
        <row r="3">
          <cell r="B3">
            <v>43478</v>
          </cell>
          <cell r="C3">
            <v>2032538</v>
          </cell>
          <cell r="H3">
            <v>43478</v>
          </cell>
          <cell r="I3">
            <v>2032538</v>
          </cell>
        </row>
        <row r="4">
          <cell r="B4">
            <v>43485</v>
          </cell>
          <cell r="C4">
            <v>2037507</v>
          </cell>
          <cell r="H4">
            <v>43485</v>
          </cell>
          <cell r="I4">
            <v>2037507</v>
          </cell>
        </row>
        <row r="5">
          <cell r="B5">
            <v>43492</v>
          </cell>
          <cell r="C5">
            <v>2032424</v>
          </cell>
          <cell r="H5">
            <v>43492</v>
          </cell>
          <cell r="I5">
            <v>2032424</v>
          </cell>
        </row>
        <row r="6">
          <cell r="B6">
            <v>43499</v>
          </cell>
          <cell r="C6">
            <v>2055851</v>
          </cell>
          <cell r="H6">
            <v>43499</v>
          </cell>
          <cell r="I6">
            <v>2055851</v>
          </cell>
        </row>
        <row r="7">
          <cell r="B7">
            <v>43506</v>
          </cell>
          <cell r="C7">
            <v>1932959</v>
          </cell>
          <cell r="H7">
            <v>43506</v>
          </cell>
          <cell r="I7">
            <v>1932959</v>
          </cell>
        </row>
        <row r="8">
          <cell r="B8">
            <v>43513</v>
          </cell>
          <cell r="C8">
            <v>1892674</v>
          </cell>
          <cell r="H8">
            <v>43513</v>
          </cell>
          <cell r="I8">
            <v>1892674</v>
          </cell>
        </row>
        <row r="9">
          <cell r="B9">
            <v>43520</v>
          </cell>
          <cell r="C9">
            <v>1742513</v>
          </cell>
          <cell r="H9">
            <v>43520</v>
          </cell>
          <cell r="I9">
            <v>1742513</v>
          </cell>
        </row>
        <row r="10">
          <cell r="B10">
            <v>43527</v>
          </cell>
          <cell r="C10">
            <v>1724176</v>
          </cell>
          <cell r="H10">
            <v>43527</v>
          </cell>
          <cell r="I10">
            <v>1724176</v>
          </cell>
        </row>
        <row r="11">
          <cell r="B11">
            <v>43534</v>
          </cell>
          <cell r="C11">
            <v>1884894</v>
          </cell>
          <cell r="H11">
            <v>43534</v>
          </cell>
          <cell r="I11">
            <v>1884894</v>
          </cell>
        </row>
        <row r="12">
          <cell r="B12">
            <v>43541</v>
          </cell>
          <cell r="C12">
            <v>1951550</v>
          </cell>
          <cell r="H12">
            <v>43541</v>
          </cell>
          <cell r="I12">
            <v>1951550</v>
          </cell>
        </row>
        <row r="13">
          <cell r="B13">
            <v>43548</v>
          </cell>
          <cell r="C13">
            <v>1792103</v>
          </cell>
          <cell r="H13">
            <v>43548</v>
          </cell>
          <cell r="I13">
            <v>1792103</v>
          </cell>
        </row>
        <row r="14">
          <cell r="B14">
            <v>43555</v>
          </cell>
          <cell r="C14">
            <v>1983478</v>
          </cell>
          <cell r="H14">
            <v>43555</v>
          </cell>
          <cell r="I14">
            <v>1983478</v>
          </cell>
        </row>
        <row r="15">
          <cell r="B15">
            <v>43562</v>
          </cell>
          <cell r="C15">
            <v>1904449</v>
          </cell>
          <cell r="H15">
            <v>43562</v>
          </cell>
          <cell r="I15">
            <v>1904449</v>
          </cell>
        </row>
        <row r="16">
          <cell r="B16">
            <v>43569</v>
          </cell>
          <cell r="C16">
            <v>2014592</v>
          </cell>
          <cell r="H16">
            <v>43569</v>
          </cell>
          <cell r="I16">
            <v>2014592</v>
          </cell>
        </row>
        <row r="17">
          <cell r="B17">
            <v>43576</v>
          </cell>
          <cell r="C17">
            <v>1925334</v>
          </cell>
          <cell r="H17">
            <v>43576</v>
          </cell>
          <cell r="I17">
            <v>1925334</v>
          </cell>
        </row>
        <row r="18">
          <cell r="B18">
            <v>43583</v>
          </cell>
          <cell r="C18">
            <v>1986513</v>
          </cell>
          <cell r="H18">
            <v>43583</v>
          </cell>
          <cell r="I18">
            <v>1986513</v>
          </cell>
        </row>
        <row r="19">
          <cell r="B19">
            <v>43590</v>
          </cell>
          <cell r="C19">
            <v>1824835</v>
          </cell>
          <cell r="H19">
            <v>43590</v>
          </cell>
          <cell r="I19">
            <v>1824835</v>
          </cell>
        </row>
        <row r="20">
          <cell r="B20">
            <v>43597</v>
          </cell>
          <cell r="C20">
            <v>1886913</v>
          </cell>
          <cell r="H20">
            <v>43597</v>
          </cell>
          <cell r="I20">
            <v>1886913</v>
          </cell>
        </row>
        <row r="21">
          <cell r="B21">
            <v>43604</v>
          </cell>
          <cell r="C21">
            <v>1934664</v>
          </cell>
          <cell r="H21">
            <v>43604</v>
          </cell>
          <cell r="I21">
            <v>1934664</v>
          </cell>
        </row>
        <row r="22">
          <cell r="B22">
            <v>43611</v>
          </cell>
          <cell r="C22">
            <v>2032392</v>
          </cell>
          <cell r="H22">
            <v>43611</v>
          </cell>
          <cell r="I22">
            <v>2032392</v>
          </cell>
        </row>
        <row r="23">
          <cell r="B23">
            <v>43618</v>
          </cell>
          <cell r="C23">
            <v>2046936</v>
          </cell>
          <cell r="H23">
            <v>43618</v>
          </cell>
          <cell r="I23">
            <v>2046936</v>
          </cell>
        </row>
        <row r="24">
          <cell r="B24">
            <v>43625</v>
          </cell>
          <cell r="C24">
            <v>1974014</v>
          </cell>
          <cell r="H24">
            <v>43625</v>
          </cell>
          <cell r="I24">
            <v>1974014</v>
          </cell>
        </row>
        <row r="25">
          <cell r="B25">
            <v>43632</v>
          </cell>
          <cell r="C25">
            <v>1921300</v>
          </cell>
          <cell r="H25">
            <v>43632</v>
          </cell>
          <cell r="I25">
            <v>1921300</v>
          </cell>
        </row>
        <row r="26">
          <cell r="B26">
            <v>43639</v>
          </cell>
          <cell r="C26">
            <v>1888427</v>
          </cell>
          <cell r="H26">
            <v>43639</v>
          </cell>
          <cell r="I26">
            <v>1888427</v>
          </cell>
        </row>
        <row r="27">
          <cell r="B27">
            <v>43646</v>
          </cell>
          <cell r="C27">
            <v>2027045</v>
          </cell>
          <cell r="H27">
            <v>43646</v>
          </cell>
          <cell r="I27">
            <v>2027045</v>
          </cell>
        </row>
        <row r="28">
          <cell r="B28">
            <v>43653</v>
          </cell>
          <cell r="C28">
            <v>1859079</v>
          </cell>
          <cell r="H28">
            <v>43653</v>
          </cell>
          <cell r="I28">
            <v>1859079</v>
          </cell>
        </row>
        <row r="29">
          <cell r="B29">
            <v>43660</v>
          </cell>
          <cell r="C29">
            <v>2114114</v>
          </cell>
          <cell r="H29">
            <v>43660</v>
          </cell>
          <cell r="I29">
            <v>2114114</v>
          </cell>
        </row>
        <row r="30">
          <cell r="B30">
            <v>43667</v>
          </cell>
          <cell r="C30">
            <v>2131721</v>
          </cell>
          <cell r="H30">
            <v>43667</v>
          </cell>
          <cell r="I30">
            <v>2131721</v>
          </cell>
        </row>
        <row r="31">
          <cell r="B31">
            <v>43674</v>
          </cell>
          <cell r="C31">
            <v>1915464</v>
          </cell>
          <cell r="H31">
            <v>43674</v>
          </cell>
          <cell r="I31">
            <v>1915464</v>
          </cell>
        </row>
        <row r="32">
          <cell r="B32">
            <v>43681</v>
          </cell>
          <cell r="C32">
            <v>1894808</v>
          </cell>
          <cell r="H32">
            <v>43681</v>
          </cell>
          <cell r="I32">
            <v>1894808</v>
          </cell>
        </row>
        <row r="33">
          <cell r="B33">
            <v>43688</v>
          </cell>
          <cell r="C33">
            <v>1973795</v>
          </cell>
          <cell r="H33">
            <v>43688</v>
          </cell>
          <cell r="I33">
            <v>1973795</v>
          </cell>
        </row>
        <row r="34">
          <cell r="B34">
            <v>43695</v>
          </cell>
          <cell r="C34">
            <v>2005709</v>
          </cell>
          <cell r="H34">
            <v>43695</v>
          </cell>
          <cell r="I34">
            <v>2005709</v>
          </cell>
        </row>
        <row r="35">
          <cell r="B35">
            <v>43702</v>
          </cell>
          <cell r="C35">
            <v>2082273</v>
          </cell>
          <cell r="H35">
            <v>43702</v>
          </cell>
          <cell r="I35">
            <v>2082273</v>
          </cell>
        </row>
        <row r="36">
          <cell r="B36">
            <v>43709</v>
          </cell>
          <cell r="C36">
            <v>1986985</v>
          </cell>
          <cell r="H36">
            <v>43709</v>
          </cell>
          <cell r="I36">
            <v>1986985</v>
          </cell>
        </row>
        <row r="37">
          <cell r="B37">
            <v>43716</v>
          </cell>
          <cell r="C37">
            <v>1608609</v>
          </cell>
          <cell r="H37">
            <v>43716</v>
          </cell>
          <cell r="I37">
            <v>1608609</v>
          </cell>
        </row>
        <row r="38">
          <cell r="B38">
            <v>43723</v>
          </cell>
          <cell r="C38">
            <v>2094440</v>
          </cell>
          <cell r="H38">
            <v>43723</v>
          </cell>
          <cell r="I38">
            <v>2094440</v>
          </cell>
        </row>
        <row r="39">
          <cell r="B39">
            <v>43730</v>
          </cell>
          <cell r="C39">
            <v>2094648</v>
          </cell>
          <cell r="H39">
            <v>43730</v>
          </cell>
          <cell r="I39">
            <v>2094648</v>
          </cell>
        </row>
        <row r="40">
          <cell r="B40">
            <v>43737</v>
          </cell>
          <cell r="C40">
            <v>2108606</v>
          </cell>
          <cell r="H40">
            <v>43737</v>
          </cell>
          <cell r="I40">
            <v>2108606</v>
          </cell>
        </row>
        <row r="41">
          <cell r="B41">
            <v>43744</v>
          </cell>
          <cell r="C41">
            <v>2076075</v>
          </cell>
          <cell r="H41">
            <v>43744</v>
          </cell>
          <cell r="I41">
            <v>2076075</v>
          </cell>
        </row>
        <row r="42">
          <cell r="B42">
            <v>43751</v>
          </cell>
          <cell r="C42">
            <v>1957289</v>
          </cell>
          <cell r="H42">
            <v>43751</v>
          </cell>
          <cell r="I42">
            <v>1957289</v>
          </cell>
        </row>
        <row r="43">
          <cell r="B43">
            <v>43758</v>
          </cell>
          <cell r="C43">
            <v>2102434</v>
          </cell>
          <cell r="H43">
            <v>43758</v>
          </cell>
          <cell r="I43">
            <v>2102434</v>
          </cell>
        </row>
        <row r="44">
          <cell r="B44">
            <v>43765</v>
          </cell>
          <cell r="C44">
            <v>1962006</v>
          </cell>
          <cell r="H44">
            <v>43765</v>
          </cell>
          <cell r="I44">
            <v>1962006</v>
          </cell>
        </row>
        <row r="45">
          <cell r="B45">
            <v>43772</v>
          </cell>
          <cell r="C45">
            <v>1886159</v>
          </cell>
          <cell r="H45">
            <v>43772</v>
          </cell>
          <cell r="I45">
            <v>1886159</v>
          </cell>
        </row>
        <row r="46">
          <cell r="B46">
            <v>43779</v>
          </cell>
          <cell r="C46">
            <v>1907137</v>
          </cell>
          <cell r="H46">
            <v>43779</v>
          </cell>
          <cell r="I46">
            <v>1907137</v>
          </cell>
        </row>
        <row r="47">
          <cell r="B47">
            <v>43786</v>
          </cell>
          <cell r="C47">
            <v>1864393</v>
          </cell>
          <cell r="H47">
            <v>43786</v>
          </cell>
          <cell r="I47">
            <v>1864393</v>
          </cell>
        </row>
        <row r="48">
          <cell r="B48">
            <v>43793</v>
          </cell>
          <cell r="C48">
            <v>1893874</v>
          </cell>
          <cell r="H48">
            <v>43793</v>
          </cell>
          <cell r="I48">
            <v>1893874</v>
          </cell>
        </row>
        <row r="49">
          <cell r="B49">
            <v>43800</v>
          </cell>
          <cell r="C49">
            <v>1904519</v>
          </cell>
          <cell r="H49">
            <v>43800</v>
          </cell>
          <cell r="I49">
            <v>1904519</v>
          </cell>
        </row>
        <row r="50">
          <cell r="B50">
            <v>43807</v>
          </cell>
          <cell r="C50">
            <v>1928751</v>
          </cell>
          <cell r="H50">
            <v>43807</v>
          </cell>
          <cell r="I50">
            <v>1928751</v>
          </cell>
        </row>
        <row r="51">
          <cell r="B51">
            <v>43814</v>
          </cell>
          <cell r="C51">
            <v>1842818</v>
          </cell>
          <cell r="H51">
            <v>43814</v>
          </cell>
          <cell r="I51">
            <v>1842818</v>
          </cell>
        </row>
        <row r="52">
          <cell r="B52">
            <v>43821</v>
          </cell>
          <cell r="C52">
            <v>2046054</v>
          </cell>
          <cell r="H52">
            <v>43821</v>
          </cell>
          <cell r="I52">
            <v>2046054</v>
          </cell>
        </row>
        <row r="53">
          <cell r="B53">
            <v>43828</v>
          </cell>
          <cell r="C53">
            <v>1701219</v>
          </cell>
          <cell r="H53">
            <v>43828</v>
          </cell>
          <cell r="I53">
            <v>1701219</v>
          </cell>
        </row>
        <row r="54">
          <cell r="B54">
            <v>43835</v>
          </cell>
          <cell r="C54">
            <v>1846962</v>
          </cell>
        </row>
        <row r="55">
          <cell r="B55">
            <v>43842</v>
          </cell>
          <cell r="C55">
            <v>2060635</v>
          </cell>
        </row>
        <row r="56">
          <cell r="B56">
            <v>43849</v>
          </cell>
          <cell r="C56">
            <v>1726622</v>
          </cell>
        </row>
        <row r="57">
          <cell r="B57">
            <v>43856</v>
          </cell>
          <cell r="C57">
            <v>1975668</v>
          </cell>
        </row>
        <row r="58">
          <cell r="B58">
            <v>43863</v>
          </cell>
          <cell r="C58">
            <v>1982584</v>
          </cell>
        </row>
        <row r="59">
          <cell r="B59">
            <v>43870</v>
          </cell>
          <cell r="C59">
            <v>1930942</v>
          </cell>
        </row>
        <row r="60">
          <cell r="B60">
            <v>43877</v>
          </cell>
          <cell r="C60">
            <v>1824640</v>
          </cell>
        </row>
        <row r="61">
          <cell r="B61">
            <v>43884</v>
          </cell>
          <cell r="C61">
            <v>1729841</v>
          </cell>
        </row>
        <row r="62">
          <cell r="B62">
            <v>43891</v>
          </cell>
          <cell r="C62">
            <v>1707373</v>
          </cell>
        </row>
        <row r="63">
          <cell r="B63">
            <v>43898</v>
          </cell>
          <cell r="C63">
            <v>1664186</v>
          </cell>
        </row>
        <row r="64">
          <cell r="B64">
            <v>43905</v>
          </cell>
          <cell r="C64">
            <v>1611995</v>
          </cell>
        </row>
        <row r="65">
          <cell r="B65">
            <v>43912</v>
          </cell>
          <cell r="C65">
            <v>1720497</v>
          </cell>
        </row>
        <row r="66">
          <cell r="B66">
            <v>43919</v>
          </cell>
          <cell r="C66">
            <v>1771148</v>
          </cell>
        </row>
        <row r="67">
          <cell r="B67">
            <v>43926</v>
          </cell>
          <cell r="C67">
            <v>1752317</v>
          </cell>
        </row>
        <row r="68">
          <cell r="B68">
            <v>43933</v>
          </cell>
          <cell r="C68">
            <v>1798195</v>
          </cell>
        </row>
        <row r="69">
          <cell r="B69">
            <v>43940</v>
          </cell>
          <cell r="C69">
            <v>1814010</v>
          </cell>
        </row>
        <row r="70">
          <cell r="B70">
            <v>43947</v>
          </cell>
          <cell r="C70">
            <v>1961827</v>
          </cell>
        </row>
        <row r="71">
          <cell r="B71">
            <v>43954</v>
          </cell>
          <cell r="C71">
            <v>1913128</v>
          </cell>
        </row>
        <row r="72">
          <cell r="B72">
            <v>43961</v>
          </cell>
          <cell r="C72">
            <v>1710579</v>
          </cell>
        </row>
        <row r="73">
          <cell r="B73">
            <v>43968</v>
          </cell>
          <cell r="C73">
            <v>1724744</v>
          </cell>
        </row>
        <row r="74">
          <cell r="B74">
            <v>43975</v>
          </cell>
          <cell r="C74">
            <v>1833320</v>
          </cell>
        </row>
        <row r="75">
          <cell r="B75">
            <v>43982</v>
          </cell>
          <cell r="C75">
            <v>1680332</v>
          </cell>
        </row>
        <row r="76">
          <cell r="B76">
            <v>43989</v>
          </cell>
          <cell r="C76">
            <v>1685373</v>
          </cell>
        </row>
        <row r="77">
          <cell r="B77">
            <v>43996</v>
          </cell>
          <cell r="C77">
            <v>1731403</v>
          </cell>
        </row>
        <row r="78">
          <cell r="B78">
            <v>44003</v>
          </cell>
          <cell r="C78">
            <v>1774736</v>
          </cell>
        </row>
        <row r="79">
          <cell r="B79">
            <v>44010</v>
          </cell>
          <cell r="C79">
            <v>1748649</v>
          </cell>
        </row>
        <row r="80">
          <cell r="B80">
            <v>44017</v>
          </cell>
          <cell r="C80">
            <v>1763706</v>
          </cell>
        </row>
        <row r="81">
          <cell r="B81">
            <v>44024</v>
          </cell>
          <cell r="C81">
            <v>1931629</v>
          </cell>
        </row>
        <row r="82">
          <cell r="B82">
            <v>44031</v>
          </cell>
          <cell r="C82">
            <v>1947494</v>
          </cell>
        </row>
        <row r="83">
          <cell r="B83">
            <v>44038</v>
          </cell>
          <cell r="C83">
            <v>1956656</v>
          </cell>
        </row>
        <row r="84">
          <cell r="B84">
            <v>44045</v>
          </cell>
          <cell r="C84">
            <v>1972377</v>
          </cell>
        </row>
        <row r="85">
          <cell r="B85">
            <v>44052</v>
          </cell>
          <cell r="C85">
            <v>2020070</v>
          </cell>
        </row>
        <row r="86">
          <cell r="B86">
            <v>44059</v>
          </cell>
          <cell r="C86">
            <v>2153650</v>
          </cell>
        </row>
        <row r="87">
          <cell r="B87">
            <v>44066</v>
          </cell>
          <cell r="C87">
            <v>2043129</v>
          </cell>
        </row>
        <row r="88">
          <cell r="B88">
            <v>44073</v>
          </cell>
          <cell r="C88">
            <v>1948239</v>
          </cell>
        </row>
        <row r="89">
          <cell r="B89">
            <v>44080</v>
          </cell>
          <cell r="C89">
            <v>2098002</v>
          </cell>
        </row>
        <row r="90">
          <cell r="B90">
            <v>44087</v>
          </cell>
          <cell r="C90">
            <v>2027536</v>
          </cell>
        </row>
        <row r="91">
          <cell r="B91">
            <v>44094</v>
          </cell>
          <cell r="C91">
            <v>1965348</v>
          </cell>
        </row>
        <row r="92">
          <cell r="B92">
            <v>44101</v>
          </cell>
          <cell r="C92">
            <v>1981289</v>
          </cell>
        </row>
        <row r="93">
          <cell r="B93">
            <v>44108</v>
          </cell>
          <cell r="C93">
            <v>1990145</v>
          </cell>
        </row>
        <row r="94">
          <cell r="B94">
            <v>44115</v>
          </cell>
          <cell r="C94">
            <v>2068793</v>
          </cell>
        </row>
        <row r="95">
          <cell r="B95">
            <v>44122</v>
          </cell>
          <cell r="C95">
            <v>2158111</v>
          </cell>
        </row>
        <row r="96">
          <cell r="B96">
            <v>44129</v>
          </cell>
          <cell r="C96">
            <v>2155855</v>
          </cell>
        </row>
        <row r="97">
          <cell r="B97">
            <v>44136</v>
          </cell>
          <cell r="C97">
            <v>1944326</v>
          </cell>
        </row>
        <row r="98">
          <cell r="B98">
            <v>44143</v>
          </cell>
          <cell r="C98">
            <v>2051185</v>
          </cell>
        </row>
        <row r="99">
          <cell r="B99">
            <v>44150</v>
          </cell>
          <cell r="C99">
            <v>2082711</v>
          </cell>
        </row>
        <row r="100">
          <cell r="B100">
            <v>44157</v>
          </cell>
          <cell r="C100">
            <v>2052032</v>
          </cell>
        </row>
        <row r="101">
          <cell r="B101">
            <v>44164</v>
          </cell>
          <cell r="C101">
            <v>2014524</v>
          </cell>
        </row>
        <row r="102">
          <cell r="B102">
            <v>44171</v>
          </cell>
          <cell r="C102">
            <v>2176506</v>
          </cell>
        </row>
        <row r="103">
          <cell r="B103">
            <v>44178</v>
          </cell>
          <cell r="C103">
            <v>2083775</v>
          </cell>
        </row>
        <row r="104">
          <cell r="B104">
            <v>44185</v>
          </cell>
          <cell r="C104">
            <v>2019378</v>
          </cell>
        </row>
        <row r="105">
          <cell r="B105">
            <v>44192</v>
          </cell>
          <cell r="C105">
            <v>1614465</v>
          </cell>
        </row>
        <row r="106">
          <cell r="B106">
            <v>44199</v>
          </cell>
          <cell r="C106">
            <v>1738173</v>
          </cell>
        </row>
        <row r="107">
          <cell r="B107">
            <v>44206</v>
          </cell>
          <cell r="C107">
            <v>2050499</v>
          </cell>
        </row>
        <row r="108">
          <cell r="B108">
            <v>44213</v>
          </cell>
          <cell r="C108">
            <v>1996856</v>
          </cell>
        </row>
        <row r="109">
          <cell r="B109">
            <v>44220</v>
          </cell>
          <cell r="C109">
            <v>1846095</v>
          </cell>
        </row>
        <row r="110">
          <cell r="B110">
            <v>44227</v>
          </cell>
          <cell r="C110">
            <v>1908325</v>
          </cell>
        </row>
        <row r="111">
          <cell r="B111">
            <v>44234</v>
          </cell>
          <cell r="C111">
            <v>1719159</v>
          </cell>
        </row>
        <row r="112">
          <cell r="B112">
            <v>44241</v>
          </cell>
          <cell r="C112">
            <v>1822158</v>
          </cell>
        </row>
        <row r="113">
          <cell r="B113">
            <v>44248</v>
          </cell>
          <cell r="C113">
            <v>1912258</v>
          </cell>
        </row>
        <row r="114">
          <cell r="B114">
            <v>44255</v>
          </cell>
          <cell r="C114">
            <v>1721729</v>
          </cell>
        </row>
        <row r="115">
          <cell r="B115">
            <v>44262</v>
          </cell>
          <cell r="C115">
            <v>1987401</v>
          </cell>
        </row>
        <row r="116">
          <cell r="B116">
            <v>44269</v>
          </cell>
          <cell r="C116">
            <v>1966718</v>
          </cell>
        </row>
        <row r="117">
          <cell r="B117">
            <v>44276</v>
          </cell>
          <cell r="C117">
            <v>1995739</v>
          </cell>
        </row>
        <row r="118">
          <cell r="B118">
            <v>44283</v>
          </cell>
          <cell r="C118">
            <v>1962910</v>
          </cell>
        </row>
        <row r="119">
          <cell r="B119">
            <v>44290</v>
          </cell>
          <cell r="C119">
            <v>1885168</v>
          </cell>
        </row>
        <row r="120">
          <cell r="B120">
            <v>44297</v>
          </cell>
          <cell r="C120">
            <v>2089462</v>
          </cell>
        </row>
        <row r="121">
          <cell r="B121">
            <v>44304</v>
          </cell>
          <cell r="C121">
            <v>1852837</v>
          </cell>
        </row>
        <row r="122">
          <cell r="B122">
            <v>44311</v>
          </cell>
          <cell r="C122">
            <v>1906009</v>
          </cell>
        </row>
        <row r="123">
          <cell r="B123">
            <v>44318</v>
          </cell>
          <cell r="C123">
            <v>1869496</v>
          </cell>
        </row>
        <row r="124">
          <cell r="B124">
            <v>44325</v>
          </cell>
          <cell r="C124">
            <v>1794719</v>
          </cell>
        </row>
        <row r="125">
          <cell r="B125">
            <v>44332</v>
          </cell>
          <cell r="C125">
            <v>1928305</v>
          </cell>
        </row>
        <row r="126">
          <cell r="B126">
            <v>44339</v>
          </cell>
          <cell r="C126">
            <v>1982824</v>
          </cell>
        </row>
        <row r="127">
          <cell r="B127">
            <v>44346</v>
          </cell>
          <cell r="C127">
            <v>1794227</v>
          </cell>
        </row>
        <row r="128">
          <cell r="B128">
            <v>44353</v>
          </cell>
          <cell r="C128">
            <v>2012951</v>
          </cell>
        </row>
        <row r="129">
          <cell r="B129">
            <v>44360</v>
          </cell>
          <cell r="C129">
            <v>1905716</v>
          </cell>
        </row>
        <row r="130">
          <cell r="B130">
            <v>44367</v>
          </cell>
          <cell r="C130">
            <v>1827198</v>
          </cell>
        </row>
        <row r="131">
          <cell r="B131">
            <v>44374</v>
          </cell>
          <cell r="C131">
            <v>1896223</v>
          </cell>
        </row>
        <row r="132">
          <cell r="B132">
            <v>44381</v>
          </cell>
          <cell r="C132">
            <v>1806053</v>
          </cell>
        </row>
        <row r="133">
          <cell r="B133">
            <v>44388</v>
          </cell>
          <cell r="C133">
            <v>1869762</v>
          </cell>
        </row>
        <row r="134">
          <cell r="B134">
            <v>44396</v>
          </cell>
          <cell r="C134">
            <v>1834819</v>
          </cell>
        </row>
        <row r="135">
          <cell r="B135">
            <v>44402</v>
          </cell>
          <cell r="C135">
            <v>1875205</v>
          </cell>
        </row>
        <row r="136">
          <cell r="B136">
            <v>44409</v>
          </cell>
          <cell r="C136">
            <v>1959160</v>
          </cell>
        </row>
        <row r="137">
          <cell r="B137">
            <v>44416</v>
          </cell>
          <cell r="C137">
            <v>1929809</v>
          </cell>
        </row>
        <row r="138">
          <cell r="B138">
            <v>44423</v>
          </cell>
          <cell r="C138">
            <v>1902643</v>
          </cell>
        </row>
        <row r="139">
          <cell r="B139">
            <v>44431</v>
          </cell>
          <cell r="C139">
            <v>1833497</v>
          </cell>
        </row>
        <row r="140">
          <cell r="B140">
            <v>44437</v>
          </cell>
          <cell r="C140">
            <v>1754641</v>
          </cell>
        </row>
        <row r="141">
          <cell r="B141">
            <v>44444</v>
          </cell>
          <cell r="C141">
            <v>1521418</v>
          </cell>
        </row>
        <row r="142">
          <cell r="B142">
            <v>44451</v>
          </cell>
          <cell r="C142">
            <v>1751272</v>
          </cell>
        </row>
        <row r="143">
          <cell r="B143">
            <v>44458</v>
          </cell>
          <cell r="C143">
            <v>1827118</v>
          </cell>
        </row>
        <row r="144">
          <cell r="B144">
            <v>44465</v>
          </cell>
          <cell r="C144">
            <v>1680253</v>
          </cell>
        </row>
        <row r="145">
          <cell r="B145">
            <v>44472</v>
          </cell>
          <cell r="C145">
            <v>1847496</v>
          </cell>
        </row>
        <row r="146">
          <cell r="B146">
            <v>44479</v>
          </cell>
          <cell r="C146">
            <v>1772806</v>
          </cell>
        </row>
        <row r="147">
          <cell r="B147">
            <v>44486</v>
          </cell>
          <cell r="C147">
            <v>1597843</v>
          </cell>
        </row>
        <row r="148">
          <cell r="B148">
            <v>44493</v>
          </cell>
          <cell r="C148">
            <v>1702527</v>
          </cell>
        </row>
        <row r="149">
          <cell r="B149">
            <v>44500</v>
          </cell>
          <cell r="C149">
            <v>1632495</v>
          </cell>
        </row>
        <row r="150">
          <cell r="B150">
            <v>44507</v>
          </cell>
          <cell r="C150">
            <v>1771718</v>
          </cell>
        </row>
        <row r="151">
          <cell r="B151">
            <v>44514</v>
          </cell>
          <cell r="C151">
            <v>1822254</v>
          </cell>
        </row>
        <row r="152">
          <cell r="B152">
            <v>44521</v>
          </cell>
          <cell r="C152">
            <v>1774309</v>
          </cell>
        </row>
        <row r="153">
          <cell r="B153">
            <v>44528</v>
          </cell>
          <cell r="C153">
            <v>1639645</v>
          </cell>
        </row>
        <row r="154">
          <cell r="B154">
            <v>44535</v>
          </cell>
          <cell r="C154">
            <v>1760446</v>
          </cell>
        </row>
        <row r="155">
          <cell r="B155">
            <v>44542</v>
          </cell>
          <cell r="C155">
            <v>1761610</v>
          </cell>
        </row>
        <row r="156">
          <cell r="B156">
            <v>44549</v>
          </cell>
          <cell r="C156">
            <v>1810111</v>
          </cell>
        </row>
        <row r="157">
          <cell r="B157">
            <v>44556</v>
          </cell>
          <cell r="C157">
            <v>1418853</v>
          </cell>
        </row>
        <row r="158">
          <cell r="B158">
            <v>44563</v>
          </cell>
          <cell r="C158">
            <v>1315079</v>
          </cell>
        </row>
        <row r="159">
          <cell r="B159">
            <v>44570</v>
          </cell>
          <cell r="C159">
            <v>1660730</v>
          </cell>
        </row>
        <row r="160">
          <cell r="B160">
            <v>44577</v>
          </cell>
          <cell r="C160">
            <v>1788647</v>
          </cell>
        </row>
        <row r="161">
          <cell r="B161">
            <v>44584</v>
          </cell>
          <cell r="C161">
            <v>1471098</v>
          </cell>
        </row>
        <row r="162">
          <cell r="B162">
            <v>44591</v>
          </cell>
          <cell r="C162">
            <v>1567378</v>
          </cell>
        </row>
        <row r="163">
          <cell r="B163">
            <v>44598</v>
          </cell>
          <cell r="C163">
            <v>1742009</v>
          </cell>
        </row>
        <row r="164">
          <cell r="B164">
            <v>44605</v>
          </cell>
          <cell r="C164">
            <v>1675289</v>
          </cell>
        </row>
        <row r="165">
          <cell r="B165">
            <v>44612</v>
          </cell>
          <cell r="C165">
            <v>1672086</v>
          </cell>
        </row>
        <row r="166">
          <cell r="B166">
            <v>44619</v>
          </cell>
          <cell r="C166">
            <v>1685570</v>
          </cell>
        </row>
        <row r="167">
          <cell r="B167">
            <v>44626</v>
          </cell>
          <cell r="C167">
            <v>1685072</v>
          </cell>
        </row>
        <row r="168">
          <cell r="B168">
            <v>44633</v>
          </cell>
          <cell r="C168">
            <v>1602015</v>
          </cell>
        </row>
        <row r="169">
          <cell r="B169">
            <v>44640</v>
          </cell>
          <cell r="C169">
            <v>1598489</v>
          </cell>
        </row>
        <row r="170">
          <cell r="B170">
            <v>44647</v>
          </cell>
          <cell r="C170">
            <v>1730409</v>
          </cell>
        </row>
        <row r="171">
          <cell r="B171">
            <v>44654</v>
          </cell>
          <cell r="C171">
            <v>1679551</v>
          </cell>
        </row>
        <row r="172">
          <cell r="B172">
            <v>44661</v>
          </cell>
          <cell r="C172">
            <v>1624606</v>
          </cell>
        </row>
        <row r="173">
          <cell r="B173">
            <v>44668</v>
          </cell>
          <cell r="C173">
            <v>1638680</v>
          </cell>
        </row>
        <row r="174">
          <cell r="B174">
            <v>44675</v>
          </cell>
          <cell r="C174">
            <v>1653407</v>
          </cell>
        </row>
        <row r="175">
          <cell r="B175">
            <v>44682</v>
          </cell>
          <cell r="C175">
            <v>1705684</v>
          </cell>
        </row>
        <row r="176">
          <cell r="B176">
            <v>44689</v>
          </cell>
          <cell r="C176">
            <v>1616232</v>
          </cell>
        </row>
        <row r="177">
          <cell r="B177">
            <v>44696</v>
          </cell>
          <cell r="C177">
            <v>1786258</v>
          </cell>
        </row>
        <row r="178">
          <cell r="B178">
            <v>44703</v>
          </cell>
          <cell r="C178">
            <v>1738244</v>
          </cell>
        </row>
        <row r="179">
          <cell r="B179">
            <v>44710</v>
          </cell>
          <cell r="C179">
            <v>1695380</v>
          </cell>
        </row>
        <row r="180">
          <cell r="B180">
            <v>44717</v>
          </cell>
          <cell r="C180">
            <v>1690267</v>
          </cell>
        </row>
        <row r="181">
          <cell r="B181">
            <v>44724</v>
          </cell>
          <cell r="C181">
            <v>1724149</v>
          </cell>
        </row>
        <row r="182">
          <cell r="B182">
            <v>44731</v>
          </cell>
          <cell r="C182">
            <v>1768619</v>
          </cell>
        </row>
        <row r="183">
          <cell r="B183">
            <v>44738</v>
          </cell>
          <cell r="C183">
            <v>1752807</v>
          </cell>
        </row>
        <row r="184">
          <cell r="B184">
            <v>44745</v>
          </cell>
          <cell r="C184">
            <v>1584606</v>
          </cell>
        </row>
        <row r="185">
          <cell r="B185">
            <v>44752</v>
          </cell>
          <cell r="C185">
            <v>1532120</v>
          </cell>
        </row>
        <row r="186">
          <cell r="B186">
            <v>44759</v>
          </cell>
          <cell r="C186">
            <v>1697610</v>
          </cell>
        </row>
        <row r="187">
          <cell r="B187">
            <v>44766</v>
          </cell>
          <cell r="C187">
            <v>1771686</v>
          </cell>
        </row>
        <row r="188">
          <cell r="B188">
            <v>44773</v>
          </cell>
          <cell r="C188">
            <v>1758101</v>
          </cell>
        </row>
        <row r="189">
          <cell r="B189">
            <v>44780</v>
          </cell>
          <cell r="C189">
            <v>1680682</v>
          </cell>
        </row>
        <row r="190">
          <cell r="B190">
            <v>44787</v>
          </cell>
          <cell r="C190">
            <v>1749972</v>
          </cell>
        </row>
        <row r="191">
          <cell r="B191">
            <v>44794</v>
          </cell>
          <cell r="C191">
            <v>1878202</v>
          </cell>
        </row>
        <row r="192">
          <cell r="B192">
            <v>44801</v>
          </cell>
          <cell r="C192">
            <v>1776061</v>
          </cell>
        </row>
        <row r="193">
          <cell r="B193">
            <v>44808</v>
          </cell>
          <cell r="C193">
            <v>1659393</v>
          </cell>
        </row>
        <row r="194">
          <cell r="B194">
            <v>44815</v>
          </cell>
          <cell r="C194">
            <v>1585170</v>
          </cell>
        </row>
        <row r="195">
          <cell r="B195">
            <v>44822</v>
          </cell>
          <cell r="C195">
            <v>1764480</v>
          </cell>
        </row>
        <row r="196">
          <cell r="B196">
            <v>44829</v>
          </cell>
          <cell r="C196">
            <v>1930041</v>
          </cell>
        </row>
        <row r="197">
          <cell r="B197">
            <v>44836</v>
          </cell>
          <cell r="C197">
            <v>1659680</v>
          </cell>
        </row>
        <row r="198">
          <cell r="B198">
            <v>44843</v>
          </cell>
          <cell r="C198">
            <v>1688023</v>
          </cell>
        </row>
        <row r="199">
          <cell r="B199">
            <v>44850</v>
          </cell>
          <cell r="C199">
            <v>1887532</v>
          </cell>
        </row>
        <row r="200">
          <cell r="B200">
            <v>44857</v>
          </cell>
          <cell r="C200">
            <v>1896759</v>
          </cell>
        </row>
        <row r="201">
          <cell r="B201">
            <v>44864</v>
          </cell>
          <cell r="C201">
            <v>1863555</v>
          </cell>
        </row>
        <row r="202">
          <cell r="B202">
            <v>44871</v>
          </cell>
          <cell r="C202">
            <v>1827323</v>
          </cell>
        </row>
        <row r="203">
          <cell r="B203">
            <v>44878</v>
          </cell>
          <cell r="C203">
            <v>1588238</v>
          </cell>
        </row>
        <row r="204">
          <cell r="B204">
            <v>44885</v>
          </cell>
          <cell r="C204">
            <v>1972864</v>
          </cell>
        </row>
        <row r="205">
          <cell r="B205">
            <v>44892</v>
          </cell>
          <cell r="C205">
            <v>1701879</v>
          </cell>
        </row>
        <row r="206">
          <cell r="B206">
            <v>44899</v>
          </cell>
          <cell r="C206">
            <v>1992374</v>
          </cell>
        </row>
        <row r="207">
          <cell r="B207">
            <v>44906</v>
          </cell>
          <cell r="C207">
            <v>1994606</v>
          </cell>
        </row>
        <row r="208">
          <cell r="B208">
            <v>44913</v>
          </cell>
          <cell r="C208">
            <v>2029219</v>
          </cell>
        </row>
        <row r="209">
          <cell r="B209">
            <v>44920</v>
          </cell>
          <cell r="C209">
            <v>1395206</v>
          </cell>
        </row>
        <row r="210">
          <cell r="B210">
            <v>44927</v>
          </cell>
          <cell r="C210">
            <v>1615910</v>
          </cell>
        </row>
        <row r="211">
          <cell r="B211">
            <v>44934</v>
          </cell>
          <cell r="C211">
            <v>1943000</v>
          </cell>
        </row>
        <row r="212">
          <cell r="B212">
            <v>44941</v>
          </cell>
          <cell r="C212">
            <v>1972748</v>
          </cell>
        </row>
        <row r="213">
          <cell r="B213">
            <v>44948</v>
          </cell>
          <cell r="C213">
            <v>2041740</v>
          </cell>
        </row>
        <row r="214">
          <cell r="B214">
            <v>44955</v>
          </cell>
          <cell r="C214">
            <v>1891717</v>
          </cell>
        </row>
        <row r="215">
          <cell r="B215">
            <v>44962</v>
          </cell>
          <cell r="C215">
            <v>1924377</v>
          </cell>
        </row>
        <row r="216">
          <cell r="B216">
            <v>44969</v>
          </cell>
          <cell r="C216">
            <v>1875160</v>
          </cell>
        </row>
        <row r="217">
          <cell r="B217">
            <v>44976</v>
          </cell>
          <cell r="C217">
            <v>1905391</v>
          </cell>
        </row>
        <row r="218">
          <cell r="B218">
            <v>44983</v>
          </cell>
          <cell r="C218">
            <v>1817215</v>
          </cell>
        </row>
        <row r="219">
          <cell r="B219">
            <v>44990</v>
          </cell>
          <cell r="C219">
            <v>1731454</v>
          </cell>
        </row>
        <row r="220">
          <cell r="B220">
            <v>44997</v>
          </cell>
          <cell r="C220">
            <v>1738844</v>
          </cell>
        </row>
        <row r="221">
          <cell r="B221">
            <v>45004</v>
          </cell>
          <cell r="C221">
            <v>1696676</v>
          </cell>
        </row>
        <row r="222">
          <cell r="B222">
            <v>45011</v>
          </cell>
          <cell r="C222">
            <v>1809967</v>
          </cell>
        </row>
        <row r="223">
          <cell r="B223">
            <v>45018</v>
          </cell>
          <cell r="C223">
            <v>1989107</v>
          </cell>
        </row>
        <row r="224">
          <cell r="B224">
            <v>45025</v>
          </cell>
          <cell r="C224">
            <v>1954364</v>
          </cell>
        </row>
        <row r="225">
          <cell r="B225">
            <v>45032</v>
          </cell>
          <cell r="C225">
            <v>2084884</v>
          </cell>
        </row>
        <row r="226">
          <cell r="B226">
            <v>45039</v>
          </cell>
          <cell r="C226">
            <v>2113358</v>
          </cell>
        </row>
        <row r="227">
          <cell r="B227">
            <v>45046</v>
          </cell>
          <cell r="C227">
            <v>2003973</v>
          </cell>
        </row>
        <row r="228">
          <cell r="B228">
            <v>45053</v>
          </cell>
          <cell r="C228">
            <v>1990096</v>
          </cell>
        </row>
        <row r="229">
          <cell r="B229">
            <v>45060</v>
          </cell>
          <cell r="C229">
            <v>2045957</v>
          </cell>
        </row>
        <row r="230">
          <cell r="B230">
            <v>45067</v>
          </cell>
          <cell r="C230">
            <v>2058996</v>
          </cell>
        </row>
        <row r="231">
          <cell r="B231">
            <v>45074</v>
          </cell>
          <cell r="C231">
            <v>2080010</v>
          </cell>
        </row>
        <row r="232">
          <cell r="B232">
            <v>45081</v>
          </cell>
          <cell r="C232">
            <v>2084208</v>
          </cell>
        </row>
        <row r="233">
          <cell r="B233">
            <v>45088</v>
          </cell>
          <cell r="C233">
            <v>2002057</v>
          </cell>
        </row>
        <row r="234">
          <cell r="B234">
            <v>45095</v>
          </cell>
          <cell r="C234">
            <v>1995206</v>
          </cell>
        </row>
        <row r="235">
          <cell r="B235">
            <v>45102</v>
          </cell>
          <cell r="C235">
            <v>2201230</v>
          </cell>
        </row>
        <row r="236">
          <cell r="B236">
            <v>45109</v>
          </cell>
          <cell r="C236">
            <v>2238206</v>
          </cell>
        </row>
        <row r="237">
          <cell r="B237">
            <v>45116</v>
          </cell>
          <cell r="C237">
            <v>2008945</v>
          </cell>
        </row>
        <row r="238">
          <cell r="B238">
            <v>45123</v>
          </cell>
          <cell r="C238">
            <v>2304492</v>
          </cell>
        </row>
        <row r="239">
          <cell r="B239">
            <v>45130</v>
          </cell>
          <cell r="C239">
            <v>2180331</v>
          </cell>
        </row>
        <row r="240">
          <cell r="B240">
            <v>45137</v>
          </cell>
          <cell r="C240">
            <v>2220184</v>
          </cell>
        </row>
        <row r="241">
          <cell r="B241">
            <v>45144</v>
          </cell>
          <cell r="C241">
            <v>2226539</v>
          </cell>
        </row>
        <row r="242">
          <cell r="B242">
            <v>45151</v>
          </cell>
          <cell r="C242">
            <v>2240146</v>
          </cell>
        </row>
        <row r="243">
          <cell r="B243">
            <v>45158</v>
          </cell>
          <cell r="C243">
            <v>1982307</v>
          </cell>
        </row>
        <row r="244">
          <cell r="B244">
            <v>45165</v>
          </cell>
          <cell r="C244">
            <v>1880966</v>
          </cell>
        </row>
        <row r="245">
          <cell r="B245">
            <v>45172</v>
          </cell>
          <cell r="C245">
            <v>2024434</v>
          </cell>
        </row>
        <row r="246">
          <cell r="B246">
            <v>45179</v>
          </cell>
          <cell r="C246">
            <v>1951485</v>
          </cell>
        </row>
        <row r="247">
          <cell r="B247">
            <v>45186</v>
          </cell>
          <cell r="C247">
            <v>2181823</v>
          </cell>
        </row>
        <row r="248">
          <cell r="B248">
            <v>45193</v>
          </cell>
          <cell r="C248">
            <v>2092484</v>
          </cell>
        </row>
        <row r="249">
          <cell r="B249">
            <v>45200</v>
          </cell>
          <cell r="C249">
            <v>2129416</v>
          </cell>
        </row>
        <row r="250">
          <cell r="B250">
            <v>45207</v>
          </cell>
          <cell r="C250">
            <v>2149448</v>
          </cell>
        </row>
        <row r="251">
          <cell r="B251">
            <v>45214</v>
          </cell>
          <cell r="C251">
            <v>2312856</v>
          </cell>
        </row>
        <row r="252">
          <cell r="B252">
            <v>45221</v>
          </cell>
          <cell r="C252">
            <v>2220673</v>
          </cell>
        </row>
        <row r="253">
          <cell r="B253">
            <v>45228</v>
          </cell>
          <cell r="C253">
            <v>2029141</v>
          </cell>
        </row>
        <row r="254">
          <cell r="B254">
            <v>45235</v>
          </cell>
          <cell r="C254">
            <v>2120709</v>
          </cell>
        </row>
        <row r="255">
          <cell r="B255">
            <v>45242</v>
          </cell>
          <cell r="C255">
            <v>2008488</v>
          </cell>
        </row>
        <row r="256">
          <cell r="B256">
            <v>45249</v>
          </cell>
          <cell r="C256">
            <v>2093053</v>
          </cell>
        </row>
        <row r="257">
          <cell r="B257">
            <v>45256</v>
          </cell>
          <cell r="C257">
            <v>1863033</v>
          </cell>
        </row>
        <row r="258">
          <cell r="B258">
            <v>45263</v>
          </cell>
          <cell r="C258">
            <v>2004234</v>
          </cell>
        </row>
        <row r="259">
          <cell r="B259">
            <v>45270</v>
          </cell>
          <cell r="C259">
            <v>2121538</v>
          </cell>
        </row>
        <row r="260">
          <cell r="B260">
            <v>45277</v>
          </cell>
          <cell r="C260">
            <v>2032689</v>
          </cell>
        </row>
        <row r="261">
          <cell r="B261">
            <v>45284</v>
          </cell>
          <cell r="C261">
            <v>1900968</v>
          </cell>
        </row>
        <row r="262">
          <cell r="B262">
            <v>45291</v>
          </cell>
          <cell r="C262">
            <v>1773286</v>
          </cell>
        </row>
        <row r="263">
          <cell r="B263">
            <v>45298</v>
          </cell>
          <cell r="C263">
            <v>1997248</v>
          </cell>
        </row>
        <row r="264">
          <cell r="B264">
            <v>45305</v>
          </cell>
          <cell r="C264">
            <v>1954271</v>
          </cell>
        </row>
        <row r="265">
          <cell r="B265">
            <v>45312</v>
          </cell>
          <cell r="C265">
            <v>2075223</v>
          </cell>
        </row>
        <row r="266">
          <cell r="B266">
            <v>45319</v>
          </cell>
          <cell r="C266">
            <v>2103289</v>
          </cell>
        </row>
        <row r="267">
          <cell r="B267">
            <v>45326</v>
          </cell>
          <cell r="C267">
            <v>2168560</v>
          </cell>
        </row>
        <row r="268">
          <cell r="B268">
            <v>45333</v>
          </cell>
          <cell r="C268">
            <v>2127011</v>
          </cell>
        </row>
        <row r="269">
          <cell r="B269">
            <v>45340</v>
          </cell>
          <cell r="C269">
            <v>2113450</v>
          </cell>
        </row>
        <row r="270">
          <cell r="B270">
            <v>45347</v>
          </cell>
          <cell r="C270">
            <v>2119635</v>
          </cell>
        </row>
        <row r="271">
          <cell r="B271">
            <v>45354</v>
          </cell>
          <cell r="C271">
            <v>2087559</v>
          </cell>
        </row>
        <row r="272">
          <cell r="B272">
            <v>45361</v>
          </cell>
          <cell r="C272">
            <v>1958914</v>
          </cell>
        </row>
        <row r="273">
          <cell r="B273">
            <v>45368</v>
          </cell>
          <cell r="C273">
            <v>1975054</v>
          </cell>
        </row>
        <row r="274">
          <cell r="B274">
            <v>45375</v>
          </cell>
          <cell r="C274">
            <v>2034994</v>
          </cell>
        </row>
        <row r="275">
          <cell r="B275">
            <v>45382</v>
          </cell>
          <cell r="C275">
            <v>1975012</v>
          </cell>
        </row>
        <row r="276">
          <cell r="B276">
            <v>45389</v>
          </cell>
          <cell r="C276">
            <v>2018917</v>
          </cell>
        </row>
        <row r="277">
          <cell r="B277">
            <v>45396</v>
          </cell>
          <cell r="C277">
            <v>1896735</v>
          </cell>
        </row>
        <row r="278">
          <cell r="B278">
            <v>45403</v>
          </cell>
          <cell r="C278">
            <v>2023429</v>
          </cell>
        </row>
        <row r="279">
          <cell r="B279">
            <v>45410</v>
          </cell>
          <cell r="C279">
            <v>1996297</v>
          </cell>
        </row>
        <row r="280">
          <cell r="B280">
            <v>45417</v>
          </cell>
          <cell r="C280">
            <v>2071434</v>
          </cell>
        </row>
        <row r="281">
          <cell r="B281">
            <v>45424</v>
          </cell>
          <cell r="C281">
            <v>1938766</v>
          </cell>
        </row>
        <row r="282">
          <cell r="B282">
            <v>45431</v>
          </cell>
          <cell r="C282">
            <v>1910729</v>
          </cell>
        </row>
        <row r="283">
          <cell r="B283">
            <v>45438</v>
          </cell>
          <cell r="C283">
            <v>1854989</v>
          </cell>
        </row>
        <row r="284">
          <cell r="B284">
            <v>45445</v>
          </cell>
          <cell r="C284">
            <v>2122399</v>
          </cell>
        </row>
        <row r="285">
          <cell r="B285">
            <v>45452</v>
          </cell>
          <cell r="C285">
            <v>2083502</v>
          </cell>
        </row>
        <row r="286">
          <cell r="B286">
            <v>45459</v>
          </cell>
          <cell r="C286">
            <v>1927043</v>
          </cell>
        </row>
        <row r="287">
          <cell r="B287">
            <v>45466</v>
          </cell>
          <cell r="C287">
            <v>2031859</v>
          </cell>
        </row>
        <row r="288">
          <cell r="B288">
            <v>45473</v>
          </cell>
          <cell r="C288">
            <v>2079905</v>
          </cell>
        </row>
        <row r="289">
          <cell r="B289">
            <v>45480</v>
          </cell>
          <cell r="C289">
            <v>1812318</v>
          </cell>
        </row>
        <row r="290">
          <cell r="B290">
            <v>45487</v>
          </cell>
          <cell r="C290">
            <v>2080500</v>
          </cell>
        </row>
        <row r="291">
          <cell r="B291">
            <v>45494</v>
          </cell>
          <cell r="C291">
            <v>2088718</v>
          </cell>
        </row>
        <row r="292">
          <cell r="B292">
            <v>45501</v>
          </cell>
          <cell r="C292">
            <v>2130985</v>
          </cell>
        </row>
        <row r="293">
          <cell r="B293">
            <v>45508</v>
          </cell>
          <cell r="C293">
            <v>2136667</v>
          </cell>
        </row>
        <row r="294">
          <cell r="B294">
            <v>45515</v>
          </cell>
          <cell r="C294">
            <v>1831205</v>
          </cell>
        </row>
        <row r="295">
          <cell r="B295">
            <v>45522</v>
          </cell>
          <cell r="C295">
            <v>1984356</v>
          </cell>
        </row>
        <row r="296">
          <cell r="B296">
            <v>45529</v>
          </cell>
          <cell r="C296">
            <v>2072215</v>
          </cell>
        </row>
        <row r="297">
          <cell r="B297">
            <v>45536</v>
          </cell>
          <cell r="C297">
            <v>2047011</v>
          </cell>
        </row>
        <row r="298">
          <cell r="B298">
            <v>45543</v>
          </cell>
          <cell r="C298">
            <v>1858143</v>
          </cell>
        </row>
        <row r="299">
          <cell r="B299">
            <v>45550</v>
          </cell>
          <cell r="C299">
            <v>2154565</v>
          </cell>
        </row>
        <row r="300">
          <cell r="B300">
            <v>45557</v>
          </cell>
          <cell r="C300">
            <v>2090283</v>
          </cell>
        </row>
        <row r="301">
          <cell r="B301">
            <v>45564</v>
          </cell>
          <cell r="C301">
            <v>2222246</v>
          </cell>
        </row>
        <row r="302">
          <cell r="B302">
            <v>45571</v>
          </cell>
          <cell r="C302">
            <v>1200357</v>
          </cell>
        </row>
        <row r="303">
          <cell r="B303">
            <v>45578</v>
          </cell>
          <cell r="C303">
            <v>1991646</v>
          </cell>
        </row>
        <row r="304">
          <cell r="B304">
            <v>45585</v>
          </cell>
          <cell r="C304">
            <v>2081002</v>
          </cell>
        </row>
        <row r="305">
          <cell r="B305">
            <v>45592</v>
          </cell>
          <cell r="C305">
            <v>2151622</v>
          </cell>
        </row>
        <row r="306">
          <cell r="B306">
            <v>45599</v>
          </cell>
          <cell r="C306">
            <v>2135115</v>
          </cell>
        </row>
        <row r="307">
          <cell r="B307">
            <v>45606</v>
          </cell>
          <cell r="C307">
            <v>2056410</v>
          </cell>
        </row>
        <row r="308">
          <cell r="B308">
            <v>45613</v>
          </cell>
          <cell r="C308">
            <v>1972044</v>
          </cell>
        </row>
        <row r="309">
          <cell r="B309">
            <v>45620</v>
          </cell>
          <cell r="C309">
            <v>2114323</v>
          </cell>
        </row>
        <row r="310">
          <cell r="B310">
            <v>45627</v>
          </cell>
          <cell r="C310">
            <v>2087088</v>
          </cell>
        </row>
        <row r="311">
          <cell r="B311">
            <v>45634</v>
          </cell>
          <cell r="C311">
            <v>2061561</v>
          </cell>
        </row>
        <row r="312">
          <cell r="B312">
            <v>45641</v>
          </cell>
          <cell r="C312">
            <v>1979805</v>
          </cell>
        </row>
        <row r="313">
          <cell r="B313">
            <v>45648</v>
          </cell>
          <cell r="C313">
            <v>2070427</v>
          </cell>
        </row>
        <row r="314">
          <cell r="B314">
            <v>45655</v>
          </cell>
          <cell r="C314">
            <v>1817413</v>
          </cell>
        </row>
        <row r="315">
          <cell r="B315">
            <v>45662</v>
          </cell>
          <cell r="C315">
            <v>1754437</v>
          </cell>
        </row>
        <row r="316">
          <cell r="B316">
            <v>45669</v>
          </cell>
          <cell r="C316">
            <v>2061903</v>
          </cell>
        </row>
        <row r="317">
          <cell r="B317">
            <v>45676</v>
          </cell>
          <cell r="C317">
            <v>2096091</v>
          </cell>
        </row>
        <row r="318">
          <cell r="B318">
            <v>45683</v>
          </cell>
          <cell r="C318">
            <v>1894540</v>
          </cell>
        </row>
        <row r="319">
          <cell r="B319">
            <v>45690</v>
          </cell>
          <cell r="C319">
            <v>2091064</v>
          </cell>
        </row>
        <row r="320">
          <cell r="B320">
            <v>45697</v>
          </cell>
          <cell r="C320">
            <v>2109942</v>
          </cell>
        </row>
        <row r="321">
          <cell r="B321">
            <v>45704</v>
          </cell>
          <cell r="C321">
            <v>2026134</v>
          </cell>
        </row>
        <row r="322">
          <cell r="B322">
            <v>45711</v>
          </cell>
          <cell r="C322">
            <v>2131693</v>
          </cell>
        </row>
        <row r="323">
          <cell r="B323">
            <v>45718</v>
          </cell>
          <cell r="C323">
            <v>2221381</v>
          </cell>
        </row>
        <row r="324">
          <cell r="B324">
            <v>45725</v>
          </cell>
          <cell r="C324">
            <v>2107418</v>
          </cell>
        </row>
        <row r="325">
          <cell r="B325">
            <v>45732</v>
          </cell>
          <cell r="C325">
            <v>2130005</v>
          </cell>
        </row>
        <row r="326">
          <cell r="B326">
            <v>45739</v>
          </cell>
          <cell r="C326">
            <v>2086520</v>
          </cell>
        </row>
        <row r="327">
          <cell r="B327">
            <v>45746</v>
          </cell>
          <cell r="C327">
            <v>2238090</v>
          </cell>
        </row>
        <row r="328">
          <cell r="B328">
            <v>45753</v>
          </cell>
          <cell r="C328">
            <v>2037081</v>
          </cell>
        </row>
        <row r="329">
          <cell r="B329">
            <v>45760</v>
          </cell>
          <cell r="C329">
            <v>2268172</v>
          </cell>
        </row>
        <row r="330">
          <cell r="B330">
            <v>45767</v>
          </cell>
          <cell r="C330">
            <v>2151448</v>
          </cell>
        </row>
        <row r="331">
          <cell r="B331">
            <v>45774</v>
          </cell>
          <cell r="C331">
            <v>2298419</v>
          </cell>
        </row>
        <row r="332">
          <cell r="B332">
            <v>45781</v>
          </cell>
          <cell r="C332">
            <v>2243783</v>
          </cell>
        </row>
        <row r="333">
          <cell r="B333">
            <v>45788</v>
          </cell>
          <cell r="C333">
            <v>2137510</v>
          </cell>
        </row>
        <row r="334">
          <cell r="B334">
            <v>45795</v>
          </cell>
          <cell r="C334">
            <v>2193614</v>
          </cell>
        </row>
        <row r="335">
          <cell r="B335">
            <v>45802</v>
          </cell>
          <cell r="C335">
            <v>2226017</v>
          </cell>
        </row>
        <row r="336">
          <cell r="B336">
            <v>45809</v>
          </cell>
          <cell r="C336">
            <v>1975269</v>
          </cell>
        </row>
        <row r="337">
          <cell r="B337">
            <v>45816</v>
          </cell>
          <cell r="C337">
            <v>2076178</v>
          </cell>
        </row>
        <row r="338">
          <cell r="B338">
            <v>45823</v>
          </cell>
          <cell r="C338">
            <v>1998399</v>
          </cell>
        </row>
        <row r="339">
          <cell r="B339">
            <v>45830</v>
          </cell>
          <cell r="C339">
            <v>2106846</v>
          </cell>
        </row>
        <row r="340">
          <cell r="B340">
            <v>45837</v>
          </cell>
          <cell r="C340">
            <v>2093077</v>
          </cell>
        </row>
        <row r="341">
          <cell r="B341">
            <v>45844</v>
          </cell>
          <cell r="C341">
            <v>1972250</v>
          </cell>
        </row>
        <row r="342">
          <cell r="B342">
            <v>45851</v>
          </cell>
          <cell r="C342">
            <v>2443109</v>
          </cell>
        </row>
        <row r="343">
          <cell r="B343">
            <v>45858</v>
          </cell>
          <cell r="C343">
            <v>2343752</v>
          </cell>
        </row>
        <row r="344">
          <cell r="B344">
            <v>45865</v>
          </cell>
          <cell r="C344">
            <v>2273915</v>
          </cell>
        </row>
        <row r="345">
          <cell r="B345">
            <v>45872</v>
          </cell>
          <cell r="C345">
            <v>2174969</v>
          </cell>
        </row>
        <row r="346">
          <cell r="B346">
            <v>45879</v>
          </cell>
          <cell r="C346">
            <v>2303446</v>
          </cell>
        </row>
        <row r="347">
          <cell r="B347">
            <v>45886</v>
          </cell>
          <cell r="C347">
            <v>2180931</v>
          </cell>
        </row>
        <row r="348">
          <cell r="B348">
            <v>45893</v>
          </cell>
          <cell r="C348">
            <v>2193080</v>
          </cell>
        </row>
        <row r="349">
          <cell r="B349">
            <v>45900</v>
          </cell>
          <cell r="C349">
            <v>2438149</v>
          </cell>
        </row>
        <row r="350">
          <cell r="B350">
            <v>45907</v>
          </cell>
          <cell r="C350">
            <v>2116378</v>
          </cell>
        </row>
        <row r="351">
          <cell r="B351">
            <v>45914</v>
          </cell>
          <cell r="C351">
            <v>2252086</v>
          </cell>
        </row>
        <row r="352">
          <cell r="B352">
            <v>45921</v>
          </cell>
          <cell r="C352">
            <v>2264291</v>
          </cell>
        </row>
      </sheetData>
      <sheetData sheetId="1"/>
      <sheetData sheetId="2">
        <row r="2">
          <cell r="T2" t="str">
            <v>TEU</v>
          </cell>
        </row>
        <row r="3">
          <cell r="S3">
            <v>45658</v>
          </cell>
          <cell r="T3">
            <v>8574844.1428571437</v>
          </cell>
        </row>
        <row r="4">
          <cell r="S4">
            <v>45689</v>
          </cell>
          <cell r="T4">
            <v>8324953.9999999991</v>
          </cell>
        </row>
        <row r="5">
          <cell r="S5">
            <v>45717</v>
          </cell>
          <cell r="T5">
            <v>9489305.8571428563</v>
          </cell>
        </row>
        <row r="6">
          <cell r="S6">
            <v>45748</v>
          </cell>
          <cell r="T6">
            <v>9368719</v>
          </cell>
        </row>
        <row r="7">
          <cell r="S7">
            <v>45778</v>
          </cell>
          <cell r="T7">
            <v>9785960.7142857146</v>
          </cell>
        </row>
        <row r="8">
          <cell r="S8">
            <v>45809</v>
          </cell>
          <cell r="T8">
            <v>8754714</v>
          </cell>
        </row>
        <row r="9">
          <cell r="S9">
            <v>45839</v>
          </cell>
          <cell r="T9">
            <v>9878391</v>
          </cell>
        </row>
        <row r="10">
          <cell r="S10">
            <v>45870</v>
          </cell>
          <cell r="T10">
            <v>9850423</v>
          </cell>
        </row>
        <row r="11">
          <cell r="S11">
            <v>45901</v>
          </cell>
          <cell r="T11">
            <v>8722597</v>
          </cell>
        </row>
      </sheetData>
      <sheetData sheetId="3"/>
      <sheetData sheetId="4">
        <row r="2">
          <cell r="B2">
            <v>45559</v>
          </cell>
          <cell r="C2">
            <v>45566</v>
          </cell>
          <cell r="D2">
            <v>45573</v>
          </cell>
          <cell r="E2">
            <v>45580</v>
          </cell>
          <cell r="F2">
            <v>45587</v>
          </cell>
          <cell r="G2">
            <v>45596</v>
          </cell>
          <cell r="H2">
            <v>45601</v>
          </cell>
          <cell r="I2">
            <v>45608</v>
          </cell>
          <cell r="J2">
            <v>45615</v>
          </cell>
          <cell r="K2">
            <v>45622</v>
          </cell>
          <cell r="L2">
            <v>45629</v>
          </cell>
          <cell r="M2">
            <v>45636</v>
          </cell>
          <cell r="N2">
            <v>45643</v>
          </cell>
          <cell r="O2">
            <v>45657</v>
          </cell>
          <cell r="P2">
            <v>45664</v>
          </cell>
          <cell r="Q2">
            <v>45671</v>
          </cell>
          <cell r="R2">
            <v>45678</v>
          </cell>
          <cell r="S2">
            <v>45685</v>
          </cell>
          <cell r="T2">
            <v>45692</v>
          </cell>
          <cell r="U2">
            <v>45699</v>
          </cell>
          <cell r="V2">
            <v>45706</v>
          </cell>
          <cell r="W2">
            <v>45713</v>
          </cell>
          <cell r="X2">
            <v>45720</v>
          </cell>
          <cell r="Y2">
            <v>45727</v>
          </cell>
          <cell r="Z2">
            <v>45734</v>
          </cell>
          <cell r="AA2">
            <v>45741</v>
          </cell>
          <cell r="AB2">
            <v>45748</v>
          </cell>
          <cell r="AC2">
            <v>45755</v>
          </cell>
          <cell r="AD2">
            <v>45762</v>
          </cell>
          <cell r="AE2">
            <v>45769</v>
          </cell>
          <cell r="AF2">
            <v>45776</v>
          </cell>
          <cell r="AG2">
            <v>45783</v>
          </cell>
          <cell r="AH2">
            <v>45790</v>
          </cell>
          <cell r="AI2">
            <v>45797</v>
          </cell>
          <cell r="AJ2">
            <v>45804</v>
          </cell>
          <cell r="AK2">
            <v>45811</v>
          </cell>
          <cell r="AL2">
            <v>45818</v>
          </cell>
          <cell r="AM2">
            <v>45825</v>
          </cell>
          <cell r="AN2">
            <v>45832</v>
          </cell>
          <cell r="AO2">
            <v>45839</v>
          </cell>
          <cell r="AP2">
            <v>45846</v>
          </cell>
          <cell r="AQ2">
            <v>45853</v>
          </cell>
          <cell r="AR2">
            <v>45860</v>
          </cell>
          <cell r="AS2">
            <v>45867</v>
          </cell>
          <cell r="AT2">
            <v>45874</v>
          </cell>
          <cell r="AU2">
            <v>45881</v>
          </cell>
          <cell r="AV2">
            <v>45888</v>
          </cell>
          <cell r="AW2">
            <v>45895</v>
          </cell>
          <cell r="AX2">
            <v>45902</v>
          </cell>
          <cell r="AY2">
            <v>45909</v>
          </cell>
          <cell r="AZ2">
            <v>45916</v>
          </cell>
          <cell r="BA2">
            <v>45923</v>
          </cell>
          <cell r="BB2">
            <v>45930</v>
          </cell>
        </row>
        <row r="3">
          <cell r="A3" t="str">
            <v>Pacific Coast</v>
          </cell>
          <cell r="B3">
            <v>2</v>
          </cell>
          <cell r="C3">
            <v>5</v>
          </cell>
          <cell r="D3">
            <v>3</v>
          </cell>
          <cell r="E3">
            <v>2</v>
          </cell>
          <cell r="F3">
            <v>2</v>
          </cell>
          <cell r="G3">
            <v>3</v>
          </cell>
          <cell r="H3">
            <v>2</v>
          </cell>
          <cell r="I3">
            <v>2</v>
          </cell>
          <cell r="J3">
            <v>3</v>
          </cell>
          <cell r="K3">
            <v>0</v>
          </cell>
          <cell r="L3">
            <v>2</v>
          </cell>
          <cell r="M3">
            <v>1</v>
          </cell>
          <cell r="N3">
            <v>2</v>
          </cell>
          <cell r="O3">
            <v>3</v>
          </cell>
          <cell r="P3">
            <v>5</v>
          </cell>
          <cell r="Q3">
            <v>7</v>
          </cell>
          <cell r="R3">
            <v>5</v>
          </cell>
          <cell r="S3">
            <v>4</v>
          </cell>
          <cell r="T3">
            <v>5</v>
          </cell>
          <cell r="U3">
            <v>3</v>
          </cell>
          <cell r="V3">
            <v>3</v>
          </cell>
          <cell r="W3">
            <v>4</v>
          </cell>
          <cell r="X3">
            <v>1</v>
          </cell>
          <cell r="Y3">
            <v>0</v>
          </cell>
          <cell r="Z3">
            <v>1</v>
          </cell>
          <cell r="AA3">
            <v>1</v>
          </cell>
          <cell r="AB3">
            <v>1</v>
          </cell>
          <cell r="AC3">
            <v>0</v>
          </cell>
          <cell r="AD3">
            <v>3</v>
          </cell>
          <cell r="AE3">
            <v>2</v>
          </cell>
          <cell r="AF3">
            <v>1</v>
          </cell>
          <cell r="AG3">
            <v>0</v>
          </cell>
          <cell r="AH3">
            <v>1</v>
          </cell>
          <cell r="AI3">
            <v>1</v>
          </cell>
          <cell r="AJ3">
            <v>3</v>
          </cell>
          <cell r="AK3">
            <v>2</v>
          </cell>
          <cell r="AL3">
            <v>1</v>
          </cell>
          <cell r="AM3">
            <v>2</v>
          </cell>
          <cell r="AN3">
            <v>1</v>
          </cell>
          <cell r="AO3">
            <v>1</v>
          </cell>
          <cell r="AP3">
            <v>2</v>
          </cell>
          <cell r="AQ3">
            <v>1</v>
          </cell>
          <cell r="AR3">
            <v>1</v>
          </cell>
          <cell r="AS3">
            <v>1</v>
          </cell>
          <cell r="AT3">
            <v>2</v>
          </cell>
          <cell r="AU3">
            <v>1</v>
          </cell>
          <cell r="AV3">
            <v>3</v>
          </cell>
          <cell r="AW3">
            <v>2</v>
          </cell>
          <cell r="AX3">
            <v>0</v>
          </cell>
          <cell r="AY3">
            <v>0</v>
          </cell>
          <cell r="AZ3">
            <v>1</v>
          </cell>
          <cell r="BA3">
            <v>2</v>
          </cell>
          <cell r="BB3">
            <v>1</v>
          </cell>
        </row>
        <row r="4">
          <cell r="A4" t="str">
            <v>Atlantic Coast</v>
          </cell>
          <cell r="B4">
            <v>15</v>
          </cell>
          <cell r="C4">
            <v>24</v>
          </cell>
          <cell r="D4">
            <v>13</v>
          </cell>
          <cell r="E4">
            <v>19</v>
          </cell>
          <cell r="F4">
            <v>19</v>
          </cell>
          <cell r="G4">
            <v>16</v>
          </cell>
          <cell r="H4">
            <v>24</v>
          </cell>
          <cell r="I4">
            <v>19</v>
          </cell>
          <cell r="J4">
            <v>16</v>
          </cell>
          <cell r="K4">
            <v>16</v>
          </cell>
          <cell r="L4">
            <v>11</v>
          </cell>
          <cell r="M4">
            <v>10</v>
          </cell>
          <cell r="N4">
            <v>9</v>
          </cell>
          <cell r="O4">
            <v>16</v>
          </cell>
          <cell r="P4">
            <v>11</v>
          </cell>
          <cell r="Q4">
            <v>12</v>
          </cell>
          <cell r="R4">
            <v>14</v>
          </cell>
          <cell r="S4">
            <v>28</v>
          </cell>
          <cell r="T4">
            <v>26</v>
          </cell>
          <cell r="U4">
            <v>30</v>
          </cell>
          <cell r="V4">
            <v>30</v>
          </cell>
          <cell r="W4">
            <v>26</v>
          </cell>
          <cell r="X4">
            <v>14</v>
          </cell>
          <cell r="Y4">
            <v>18</v>
          </cell>
          <cell r="Z4">
            <v>14</v>
          </cell>
          <cell r="AA4">
            <v>22</v>
          </cell>
          <cell r="AB4">
            <v>17</v>
          </cell>
          <cell r="AC4">
            <v>8</v>
          </cell>
          <cell r="AD4">
            <v>7</v>
          </cell>
          <cell r="AE4">
            <v>9</v>
          </cell>
          <cell r="AF4">
            <v>6</v>
          </cell>
          <cell r="AG4">
            <v>8</v>
          </cell>
          <cell r="AH4">
            <v>2</v>
          </cell>
          <cell r="AI4">
            <v>3</v>
          </cell>
          <cell r="AJ4">
            <v>5</v>
          </cell>
          <cell r="AK4">
            <v>6</v>
          </cell>
          <cell r="AL4">
            <v>3</v>
          </cell>
          <cell r="AM4">
            <v>3</v>
          </cell>
          <cell r="AN4">
            <v>3</v>
          </cell>
          <cell r="AO4">
            <v>8</v>
          </cell>
          <cell r="AP4">
            <v>5</v>
          </cell>
          <cell r="AQ4">
            <v>8</v>
          </cell>
          <cell r="AR4">
            <v>7</v>
          </cell>
          <cell r="AS4">
            <v>6</v>
          </cell>
          <cell r="AT4">
            <v>12</v>
          </cell>
          <cell r="AU4">
            <v>10</v>
          </cell>
          <cell r="AV4">
            <v>5</v>
          </cell>
          <cell r="AW4">
            <v>12</v>
          </cell>
          <cell r="AX4">
            <v>20</v>
          </cell>
          <cell r="AY4">
            <v>8</v>
          </cell>
          <cell r="AZ4">
            <v>2</v>
          </cell>
          <cell r="BA4">
            <v>9</v>
          </cell>
          <cell r="BB4">
            <v>6</v>
          </cell>
        </row>
        <row r="5">
          <cell r="A5" t="str">
            <v xml:space="preserve">Gulf Coast </v>
          </cell>
          <cell r="B5">
            <v>2</v>
          </cell>
          <cell r="C5">
            <v>2</v>
          </cell>
          <cell r="D5">
            <v>2</v>
          </cell>
          <cell r="E5">
            <v>3</v>
          </cell>
          <cell r="F5">
            <v>2</v>
          </cell>
          <cell r="G5">
            <v>4</v>
          </cell>
          <cell r="H5">
            <v>1</v>
          </cell>
          <cell r="I5">
            <v>3</v>
          </cell>
          <cell r="J5">
            <v>0</v>
          </cell>
          <cell r="K5">
            <v>2</v>
          </cell>
          <cell r="L5">
            <v>1</v>
          </cell>
          <cell r="M5">
            <v>1</v>
          </cell>
          <cell r="N5">
            <v>2</v>
          </cell>
          <cell r="O5">
            <v>4</v>
          </cell>
          <cell r="P5">
            <v>3</v>
          </cell>
          <cell r="Q5">
            <v>1</v>
          </cell>
          <cell r="R5">
            <v>2</v>
          </cell>
          <cell r="S5">
            <v>3</v>
          </cell>
          <cell r="T5">
            <v>5</v>
          </cell>
          <cell r="U5">
            <v>9</v>
          </cell>
          <cell r="V5">
            <v>4</v>
          </cell>
          <cell r="W5">
            <v>4</v>
          </cell>
          <cell r="X5">
            <v>2</v>
          </cell>
          <cell r="Y5">
            <v>5</v>
          </cell>
          <cell r="Z5">
            <v>1</v>
          </cell>
          <cell r="AA5">
            <v>2</v>
          </cell>
          <cell r="AB5">
            <v>5</v>
          </cell>
          <cell r="AC5">
            <v>1</v>
          </cell>
          <cell r="AD5">
            <v>2</v>
          </cell>
          <cell r="AE5">
            <v>4</v>
          </cell>
          <cell r="AF5">
            <v>0</v>
          </cell>
          <cell r="AG5">
            <v>0</v>
          </cell>
          <cell r="AH5">
            <v>1</v>
          </cell>
          <cell r="AI5">
            <v>3</v>
          </cell>
          <cell r="AJ5">
            <v>2</v>
          </cell>
          <cell r="AK5">
            <v>1</v>
          </cell>
          <cell r="AL5">
            <v>0</v>
          </cell>
          <cell r="AM5">
            <v>2</v>
          </cell>
          <cell r="AN5">
            <v>0</v>
          </cell>
          <cell r="AO5">
            <v>5</v>
          </cell>
          <cell r="AP5">
            <v>2</v>
          </cell>
          <cell r="AQ5">
            <v>5</v>
          </cell>
          <cell r="AR5">
            <v>4</v>
          </cell>
          <cell r="AS5">
            <v>0</v>
          </cell>
          <cell r="AT5">
            <v>0</v>
          </cell>
          <cell r="AU5">
            <v>1</v>
          </cell>
          <cell r="AV5">
            <v>1</v>
          </cell>
          <cell r="AW5">
            <v>1</v>
          </cell>
          <cell r="AX5">
            <v>2</v>
          </cell>
          <cell r="AY5">
            <v>2</v>
          </cell>
          <cell r="AZ5">
            <v>1</v>
          </cell>
          <cell r="BA5">
            <v>1</v>
          </cell>
          <cell r="BB5">
            <v>2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F 3-1"/>
      <sheetName val="F 3-2"/>
    </sheetNames>
    <sheetDataSet>
      <sheetData sheetId="0">
        <row r="2">
          <cell r="A2" t="str">
            <v>Figure 3‑2. Weekly Number of Containerships Awaiting to Dock at U.S. Ports by Coast, October 3, 2023 – December 3, 2024</v>
          </cell>
        </row>
      </sheetData>
      <sheetData sheetId="1">
        <row r="1">
          <cell r="D1" t="str">
            <v>TEU</v>
          </cell>
        </row>
      </sheetData>
      <sheetData sheetId="2">
        <row r="30">
          <cell r="E30">
            <v>45568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47F3-45E9-42A1-AE7D-9491A4F6790F}">
  <dimension ref="A1:H352"/>
  <sheetViews>
    <sheetView workbookViewId="0">
      <selection activeCell="L24" sqref="L24"/>
    </sheetView>
  </sheetViews>
  <sheetFormatPr defaultRowHeight="15"/>
  <cols>
    <col min="1" max="1" width="11.85546875" style="21" bestFit="1" customWidth="1"/>
    <col min="2" max="2" width="14" style="21" customWidth="1"/>
    <col min="3" max="3" width="15.28515625" style="21" customWidth="1"/>
    <col min="4" max="4" width="9.28515625" style="21" bestFit="1" customWidth="1"/>
    <col min="5" max="5" width="13.85546875" style="21" hidden="1" customWidth="1"/>
    <col min="6" max="6" width="9.140625" style="21"/>
    <col min="7" max="7" width="15" style="21" bestFit="1" customWidth="1"/>
    <col min="8" max="16384" width="9.140625" style="21"/>
  </cols>
  <sheetData>
    <row r="1" spans="1:8" ht="18.75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G1" s="36" t="s">
        <v>5</v>
      </c>
      <c r="H1" s="36" t="s">
        <v>6</v>
      </c>
    </row>
    <row r="2" spans="1:8">
      <c r="A2" s="22">
        <v>2019</v>
      </c>
      <c r="B2" s="23">
        <v>43471</v>
      </c>
      <c r="C2" s="22">
        <v>1692044</v>
      </c>
      <c r="D2" s="22" t="s">
        <v>7</v>
      </c>
      <c r="E2" s="24" t="s">
        <v>7</v>
      </c>
    </row>
    <row r="3" spans="1:8">
      <c r="A3" s="28">
        <v>2019</v>
      </c>
      <c r="B3" s="29">
        <v>43478</v>
      </c>
      <c r="C3" s="28">
        <v>2032538</v>
      </c>
      <c r="D3" s="28" t="s">
        <v>7</v>
      </c>
      <c r="E3" s="30" t="s">
        <v>7</v>
      </c>
    </row>
    <row r="4" spans="1:8">
      <c r="A4" s="22">
        <v>2019</v>
      </c>
      <c r="B4" s="23">
        <v>43485</v>
      </c>
      <c r="C4" s="22">
        <v>2037507</v>
      </c>
      <c r="D4" s="22" t="s">
        <v>7</v>
      </c>
      <c r="E4" s="24" t="s">
        <v>7</v>
      </c>
    </row>
    <row r="5" spans="1:8">
      <c r="A5" s="28">
        <v>2019</v>
      </c>
      <c r="B5" s="29">
        <v>43492</v>
      </c>
      <c r="C5" s="28">
        <v>2032424</v>
      </c>
      <c r="D5" s="28" t="s">
        <v>7</v>
      </c>
      <c r="E5" s="30" t="s">
        <v>7</v>
      </c>
    </row>
    <row r="6" spans="1:8">
      <c r="A6" s="33">
        <v>2019</v>
      </c>
      <c r="B6" s="34">
        <v>43499</v>
      </c>
      <c r="C6" s="33">
        <v>2055851</v>
      </c>
      <c r="D6" s="33" t="s">
        <v>7</v>
      </c>
      <c r="E6" s="35" t="s">
        <v>8</v>
      </c>
    </row>
    <row r="7" spans="1:8">
      <c r="A7" s="28">
        <v>2019</v>
      </c>
      <c r="B7" s="29">
        <v>43506</v>
      </c>
      <c r="C7" s="28">
        <v>1932959</v>
      </c>
      <c r="D7" s="28" t="s">
        <v>8</v>
      </c>
      <c r="E7" s="30" t="s">
        <v>8</v>
      </c>
    </row>
    <row r="8" spans="1:8">
      <c r="A8" s="22">
        <v>2019</v>
      </c>
      <c r="B8" s="23">
        <v>43513</v>
      </c>
      <c r="C8" s="22">
        <v>1892674</v>
      </c>
      <c r="D8" s="22" t="s">
        <v>8</v>
      </c>
      <c r="E8" s="24" t="s">
        <v>8</v>
      </c>
    </row>
    <row r="9" spans="1:8">
      <c r="A9" s="28">
        <v>2019</v>
      </c>
      <c r="B9" s="29">
        <v>43520</v>
      </c>
      <c r="C9" s="28">
        <v>1742513</v>
      </c>
      <c r="D9" s="28" t="s">
        <v>8</v>
      </c>
      <c r="E9" s="30" t="s">
        <v>8</v>
      </c>
    </row>
    <row r="10" spans="1:8">
      <c r="A10" s="33">
        <v>2019</v>
      </c>
      <c r="B10" s="34">
        <v>43527</v>
      </c>
      <c r="C10" s="33">
        <v>1724176</v>
      </c>
      <c r="D10" s="33" t="s">
        <v>8</v>
      </c>
      <c r="E10" s="35" t="s">
        <v>9</v>
      </c>
    </row>
    <row r="11" spans="1:8">
      <c r="A11" s="28">
        <v>2019</v>
      </c>
      <c r="B11" s="29">
        <v>43534</v>
      </c>
      <c r="C11" s="28">
        <v>1884894</v>
      </c>
      <c r="D11" s="28" t="s">
        <v>9</v>
      </c>
      <c r="E11" s="30" t="s">
        <v>9</v>
      </c>
    </row>
    <row r="12" spans="1:8">
      <c r="A12" s="22">
        <v>2019</v>
      </c>
      <c r="B12" s="23">
        <v>43541</v>
      </c>
      <c r="C12" s="22">
        <v>1951550</v>
      </c>
      <c r="D12" s="22" t="s">
        <v>9</v>
      </c>
      <c r="E12" s="24" t="s">
        <v>9</v>
      </c>
    </row>
    <row r="13" spans="1:8">
      <c r="A13" s="28">
        <v>2019</v>
      </c>
      <c r="B13" s="29">
        <v>43548</v>
      </c>
      <c r="C13" s="28">
        <v>1792103</v>
      </c>
      <c r="D13" s="28" t="s">
        <v>9</v>
      </c>
      <c r="E13" s="30" t="s">
        <v>9</v>
      </c>
    </row>
    <row r="14" spans="1:8">
      <c r="A14" s="33">
        <v>2019</v>
      </c>
      <c r="B14" s="34">
        <v>43555</v>
      </c>
      <c r="C14" s="33">
        <v>1983478</v>
      </c>
      <c r="D14" s="33" t="s">
        <v>9</v>
      </c>
      <c r="E14" s="35" t="s">
        <v>10</v>
      </c>
    </row>
    <row r="15" spans="1:8">
      <c r="A15" s="28">
        <v>2019</v>
      </c>
      <c r="B15" s="29">
        <v>43562</v>
      </c>
      <c r="C15" s="28">
        <v>1904449</v>
      </c>
      <c r="D15" s="28" t="s">
        <v>10</v>
      </c>
      <c r="E15" s="30" t="s">
        <v>10</v>
      </c>
    </row>
    <row r="16" spans="1:8">
      <c r="A16" s="22">
        <v>2019</v>
      </c>
      <c r="B16" s="23">
        <v>43569</v>
      </c>
      <c r="C16" s="22">
        <v>2014592</v>
      </c>
      <c r="D16" s="22" t="s">
        <v>10</v>
      </c>
      <c r="E16" s="24" t="s">
        <v>10</v>
      </c>
    </row>
    <row r="17" spans="1:5">
      <c r="A17" s="28">
        <v>2019</v>
      </c>
      <c r="B17" s="29">
        <v>43576</v>
      </c>
      <c r="C17" s="28">
        <v>1925334</v>
      </c>
      <c r="D17" s="28" t="s">
        <v>10</v>
      </c>
      <c r="E17" s="30" t="s">
        <v>10</v>
      </c>
    </row>
    <row r="18" spans="1:5">
      <c r="A18" s="22">
        <v>2019</v>
      </c>
      <c r="B18" s="23">
        <v>43583</v>
      </c>
      <c r="C18" s="22">
        <v>1986513</v>
      </c>
      <c r="D18" s="22" t="s">
        <v>10</v>
      </c>
      <c r="E18" s="24" t="s">
        <v>10</v>
      </c>
    </row>
    <row r="19" spans="1:5">
      <c r="A19" s="28">
        <v>2019</v>
      </c>
      <c r="B19" s="29">
        <v>43590</v>
      </c>
      <c r="C19" s="28">
        <v>1824835</v>
      </c>
      <c r="D19" s="28" t="s">
        <v>10</v>
      </c>
      <c r="E19" s="32" t="s">
        <v>11</v>
      </c>
    </row>
    <row r="20" spans="1:5">
      <c r="A20" s="22">
        <v>2019</v>
      </c>
      <c r="B20" s="23">
        <v>43597</v>
      </c>
      <c r="C20" s="22">
        <v>1886913</v>
      </c>
      <c r="D20" s="22" t="s">
        <v>11</v>
      </c>
      <c r="E20" s="24" t="s">
        <v>11</v>
      </c>
    </row>
    <row r="21" spans="1:5">
      <c r="A21" s="28">
        <v>2019</v>
      </c>
      <c r="B21" s="29">
        <v>43604</v>
      </c>
      <c r="C21" s="28">
        <v>1934664</v>
      </c>
      <c r="D21" s="28" t="s">
        <v>11</v>
      </c>
      <c r="E21" s="30" t="s">
        <v>11</v>
      </c>
    </row>
    <row r="22" spans="1:5">
      <c r="A22" s="22">
        <v>2019</v>
      </c>
      <c r="B22" s="23">
        <v>43611</v>
      </c>
      <c r="C22" s="22">
        <v>2032392</v>
      </c>
      <c r="D22" s="22" t="s">
        <v>11</v>
      </c>
      <c r="E22" s="24" t="s">
        <v>11</v>
      </c>
    </row>
    <row r="23" spans="1:5">
      <c r="A23" s="28">
        <v>2019</v>
      </c>
      <c r="B23" s="29">
        <v>43618</v>
      </c>
      <c r="C23" s="28">
        <v>2046936</v>
      </c>
      <c r="D23" s="28" t="s">
        <v>11</v>
      </c>
      <c r="E23" s="32" t="s">
        <v>12</v>
      </c>
    </row>
    <row r="24" spans="1:5">
      <c r="A24" s="22">
        <v>2019</v>
      </c>
      <c r="B24" s="23">
        <v>43625</v>
      </c>
      <c r="C24" s="22">
        <v>1974014</v>
      </c>
      <c r="D24" s="22" t="s">
        <v>12</v>
      </c>
      <c r="E24" s="24" t="s">
        <v>12</v>
      </c>
    </row>
    <row r="25" spans="1:5">
      <c r="A25" s="28">
        <v>2019</v>
      </c>
      <c r="B25" s="29">
        <v>43632</v>
      </c>
      <c r="C25" s="28">
        <v>1921300</v>
      </c>
      <c r="D25" s="28" t="s">
        <v>12</v>
      </c>
      <c r="E25" s="30" t="s">
        <v>12</v>
      </c>
    </row>
    <row r="26" spans="1:5">
      <c r="A26" s="22">
        <v>2019</v>
      </c>
      <c r="B26" s="23">
        <v>43639</v>
      </c>
      <c r="C26" s="22">
        <v>1888427</v>
      </c>
      <c r="D26" s="22" t="s">
        <v>12</v>
      </c>
      <c r="E26" s="24" t="s">
        <v>12</v>
      </c>
    </row>
    <row r="27" spans="1:5">
      <c r="A27" s="28">
        <v>2019</v>
      </c>
      <c r="B27" s="29">
        <v>43646</v>
      </c>
      <c r="C27" s="28">
        <v>2027045</v>
      </c>
      <c r="D27" s="28" t="s">
        <v>12</v>
      </c>
      <c r="E27" s="32" t="s">
        <v>13</v>
      </c>
    </row>
    <row r="28" spans="1:5">
      <c r="A28" s="22">
        <v>2019</v>
      </c>
      <c r="B28" s="23">
        <v>43653</v>
      </c>
      <c r="C28" s="22">
        <v>1859079</v>
      </c>
      <c r="D28" s="22" t="s">
        <v>13</v>
      </c>
      <c r="E28" s="24" t="s">
        <v>13</v>
      </c>
    </row>
    <row r="29" spans="1:5">
      <c r="A29" s="28">
        <v>2019</v>
      </c>
      <c r="B29" s="29">
        <v>43660</v>
      </c>
      <c r="C29" s="28">
        <v>2114114</v>
      </c>
      <c r="D29" s="28" t="s">
        <v>13</v>
      </c>
      <c r="E29" s="30" t="s">
        <v>13</v>
      </c>
    </row>
    <row r="30" spans="1:5">
      <c r="A30" s="22">
        <v>2019</v>
      </c>
      <c r="B30" s="23">
        <v>43667</v>
      </c>
      <c r="C30" s="22">
        <v>2131721</v>
      </c>
      <c r="D30" s="22" t="s">
        <v>13</v>
      </c>
      <c r="E30" s="24" t="s">
        <v>13</v>
      </c>
    </row>
    <row r="31" spans="1:5">
      <c r="A31" s="28">
        <v>2019</v>
      </c>
      <c r="B31" s="29">
        <v>43674</v>
      </c>
      <c r="C31" s="28">
        <v>1915464</v>
      </c>
      <c r="D31" s="28" t="s">
        <v>13</v>
      </c>
      <c r="E31" s="30" t="s">
        <v>13</v>
      </c>
    </row>
    <row r="32" spans="1:5">
      <c r="A32" s="22">
        <v>2019</v>
      </c>
      <c r="B32" s="23">
        <v>43681</v>
      </c>
      <c r="C32" s="22">
        <v>1894808</v>
      </c>
      <c r="D32" s="22" t="s">
        <v>13</v>
      </c>
      <c r="E32" s="31" t="s">
        <v>14</v>
      </c>
    </row>
    <row r="33" spans="1:5">
      <c r="A33" s="28">
        <v>2019</v>
      </c>
      <c r="B33" s="29">
        <v>43688</v>
      </c>
      <c r="C33" s="28">
        <v>1973795</v>
      </c>
      <c r="D33" s="28" t="s">
        <v>14</v>
      </c>
      <c r="E33" s="30" t="s">
        <v>14</v>
      </c>
    </row>
    <row r="34" spans="1:5">
      <c r="A34" s="22">
        <v>2019</v>
      </c>
      <c r="B34" s="23">
        <v>43695</v>
      </c>
      <c r="C34" s="22">
        <v>2005709</v>
      </c>
      <c r="D34" s="22" t="s">
        <v>14</v>
      </c>
      <c r="E34" s="24" t="s">
        <v>14</v>
      </c>
    </row>
    <row r="35" spans="1:5">
      <c r="A35" s="28">
        <v>2019</v>
      </c>
      <c r="B35" s="29">
        <v>43702</v>
      </c>
      <c r="C35" s="28">
        <v>2082273</v>
      </c>
      <c r="D35" s="28" t="s">
        <v>14</v>
      </c>
      <c r="E35" s="30" t="s">
        <v>14</v>
      </c>
    </row>
    <row r="36" spans="1:5">
      <c r="A36" s="22">
        <v>2019</v>
      </c>
      <c r="B36" s="23">
        <v>43709</v>
      </c>
      <c r="C36" s="22">
        <v>1986985</v>
      </c>
      <c r="D36" s="22" t="s">
        <v>14</v>
      </c>
      <c r="E36" s="31" t="s">
        <v>15</v>
      </c>
    </row>
    <row r="37" spans="1:5">
      <c r="A37" s="28">
        <v>2019</v>
      </c>
      <c r="B37" s="29">
        <v>43716</v>
      </c>
      <c r="C37" s="28">
        <v>1608609</v>
      </c>
      <c r="D37" s="28" t="s">
        <v>15</v>
      </c>
      <c r="E37" s="30" t="s">
        <v>15</v>
      </c>
    </row>
    <row r="38" spans="1:5">
      <c r="A38" s="22">
        <v>2019</v>
      </c>
      <c r="B38" s="23">
        <v>43723</v>
      </c>
      <c r="C38" s="22">
        <v>2094440</v>
      </c>
      <c r="D38" s="22" t="s">
        <v>15</v>
      </c>
      <c r="E38" s="24" t="s">
        <v>15</v>
      </c>
    </row>
    <row r="39" spans="1:5">
      <c r="A39" s="28">
        <v>2019</v>
      </c>
      <c r="B39" s="29">
        <v>43730</v>
      </c>
      <c r="C39" s="28">
        <v>2094648</v>
      </c>
      <c r="D39" s="28" t="s">
        <v>15</v>
      </c>
      <c r="E39" s="30" t="s">
        <v>15</v>
      </c>
    </row>
    <row r="40" spans="1:5">
      <c r="A40" s="22">
        <v>2019</v>
      </c>
      <c r="B40" s="23">
        <v>43737</v>
      </c>
      <c r="C40" s="22">
        <v>2108606</v>
      </c>
      <c r="D40" s="22" t="s">
        <v>15</v>
      </c>
      <c r="E40" s="31" t="s">
        <v>16</v>
      </c>
    </row>
    <row r="41" spans="1:5">
      <c r="A41" s="28">
        <v>2019</v>
      </c>
      <c r="B41" s="29">
        <v>43744</v>
      </c>
      <c r="C41" s="28">
        <v>2076075</v>
      </c>
      <c r="D41" s="28" t="s">
        <v>16</v>
      </c>
      <c r="E41" s="30" t="s">
        <v>16</v>
      </c>
    </row>
    <row r="42" spans="1:5">
      <c r="A42" s="22">
        <v>2019</v>
      </c>
      <c r="B42" s="23">
        <v>43751</v>
      </c>
      <c r="C42" s="22">
        <v>1957289</v>
      </c>
      <c r="D42" s="22" t="s">
        <v>16</v>
      </c>
      <c r="E42" s="24" t="s">
        <v>16</v>
      </c>
    </row>
    <row r="43" spans="1:5">
      <c r="A43" s="28">
        <v>2019</v>
      </c>
      <c r="B43" s="29">
        <v>43758</v>
      </c>
      <c r="C43" s="28">
        <v>2102434</v>
      </c>
      <c r="D43" s="28" t="s">
        <v>16</v>
      </c>
      <c r="E43" s="30" t="s">
        <v>16</v>
      </c>
    </row>
    <row r="44" spans="1:5">
      <c r="A44" s="22">
        <v>2019</v>
      </c>
      <c r="B44" s="23">
        <v>43765</v>
      </c>
      <c r="C44" s="22">
        <v>1962006</v>
      </c>
      <c r="D44" s="22" t="s">
        <v>16</v>
      </c>
      <c r="E44" s="24" t="s">
        <v>16</v>
      </c>
    </row>
    <row r="45" spans="1:5">
      <c r="A45" s="28">
        <v>2019</v>
      </c>
      <c r="B45" s="29">
        <v>43772</v>
      </c>
      <c r="C45" s="28">
        <v>1886159</v>
      </c>
      <c r="D45" s="28" t="s">
        <v>16</v>
      </c>
      <c r="E45" s="32" t="s">
        <v>17</v>
      </c>
    </row>
    <row r="46" spans="1:5">
      <c r="A46" s="22">
        <v>2019</v>
      </c>
      <c r="B46" s="23">
        <v>43779</v>
      </c>
      <c r="C46" s="22">
        <v>1907137</v>
      </c>
      <c r="D46" s="22" t="s">
        <v>17</v>
      </c>
      <c r="E46" s="24" t="s">
        <v>17</v>
      </c>
    </row>
    <row r="47" spans="1:5">
      <c r="A47" s="28">
        <v>2019</v>
      </c>
      <c r="B47" s="29">
        <v>43786</v>
      </c>
      <c r="C47" s="28">
        <v>1864393</v>
      </c>
      <c r="D47" s="28" t="s">
        <v>17</v>
      </c>
      <c r="E47" s="30" t="s">
        <v>17</v>
      </c>
    </row>
    <row r="48" spans="1:5">
      <c r="A48" s="22">
        <v>2019</v>
      </c>
      <c r="B48" s="23">
        <v>43793</v>
      </c>
      <c r="C48" s="22">
        <v>1893874</v>
      </c>
      <c r="D48" s="22" t="s">
        <v>17</v>
      </c>
      <c r="E48" s="24" t="s">
        <v>17</v>
      </c>
    </row>
    <row r="49" spans="1:5">
      <c r="A49" s="28">
        <v>2019</v>
      </c>
      <c r="B49" s="29">
        <v>43800</v>
      </c>
      <c r="C49" s="28">
        <v>1904519</v>
      </c>
      <c r="D49" s="28" t="s">
        <v>17</v>
      </c>
      <c r="E49" s="32" t="s">
        <v>18</v>
      </c>
    </row>
    <row r="50" spans="1:5">
      <c r="A50" s="22">
        <v>2019</v>
      </c>
      <c r="B50" s="23">
        <v>43807</v>
      </c>
      <c r="C50" s="22">
        <v>1928751</v>
      </c>
      <c r="D50" s="22" t="s">
        <v>18</v>
      </c>
      <c r="E50" s="24" t="s">
        <v>18</v>
      </c>
    </row>
    <row r="51" spans="1:5">
      <c r="A51" s="28">
        <v>2019</v>
      </c>
      <c r="B51" s="29">
        <v>43814</v>
      </c>
      <c r="C51" s="28">
        <v>1842818</v>
      </c>
      <c r="D51" s="28" t="s">
        <v>18</v>
      </c>
      <c r="E51" s="30" t="s">
        <v>18</v>
      </c>
    </row>
    <row r="52" spans="1:5">
      <c r="A52" s="22">
        <v>2019</v>
      </c>
      <c r="B52" s="23">
        <v>43821</v>
      </c>
      <c r="C52" s="22">
        <v>2046054</v>
      </c>
      <c r="D52" s="22" t="s">
        <v>18</v>
      </c>
      <c r="E52" s="24" t="s">
        <v>18</v>
      </c>
    </row>
    <row r="53" spans="1:5">
      <c r="A53" s="28">
        <v>2019</v>
      </c>
      <c r="B53" s="29">
        <v>43828</v>
      </c>
      <c r="C53" s="28">
        <v>1701219</v>
      </c>
      <c r="D53" s="28" t="s">
        <v>18</v>
      </c>
      <c r="E53" s="30" t="s">
        <v>18</v>
      </c>
    </row>
    <row r="54" spans="1:5">
      <c r="A54" s="22">
        <v>2020</v>
      </c>
      <c r="B54" s="23">
        <v>43835</v>
      </c>
      <c r="C54" s="22">
        <v>1846962</v>
      </c>
      <c r="D54" s="22" t="s">
        <v>7</v>
      </c>
      <c r="E54" s="24" t="s">
        <v>7</v>
      </c>
    </row>
    <row r="55" spans="1:5">
      <c r="A55" s="28">
        <v>2020</v>
      </c>
      <c r="B55" s="29">
        <v>43842</v>
      </c>
      <c r="C55" s="28">
        <v>2060635</v>
      </c>
      <c r="D55" s="28" t="s">
        <v>7</v>
      </c>
      <c r="E55" s="30" t="s">
        <v>7</v>
      </c>
    </row>
    <row r="56" spans="1:5">
      <c r="A56" s="22">
        <v>2020</v>
      </c>
      <c r="B56" s="23">
        <v>43849</v>
      </c>
      <c r="C56" s="22">
        <v>1726622</v>
      </c>
      <c r="D56" s="22" t="s">
        <v>7</v>
      </c>
      <c r="E56" s="24" t="s">
        <v>7</v>
      </c>
    </row>
    <row r="57" spans="1:5">
      <c r="A57" s="28">
        <v>2020</v>
      </c>
      <c r="B57" s="29">
        <v>43856</v>
      </c>
      <c r="C57" s="28">
        <v>1975668</v>
      </c>
      <c r="D57" s="28" t="s">
        <v>7</v>
      </c>
      <c r="E57" s="30" t="s">
        <v>7</v>
      </c>
    </row>
    <row r="58" spans="1:5">
      <c r="A58" s="22">
        <v>2020</v>
      </c>
      <c r="B58" s="23">
        <v>43863</v>
      </c>
      <c r="C58" s="22">
        <v>1982584</v>
      </c>
      <c r="D58" s="22" t="s">
        <v>7</v>
      </c>
      <c r="E58" s="31" t="s">
        <v>8</v>
      </c>
    </row>
    <row r="59" spans="1:5">
      <c r="A59" s="28">
        <v>2020</v>
      </c>
      <c r="B59" s="29">
        <v>43870</v>
      </c>
      <c r="C59" s="28">
        <v>1930942</v>
      </c>
      <c r="D59" s="28" t="s">
        <v>8</v>
      </c>
      <c r="E59" s="30" t="s">
        <v>8</v>
      </c>
    </row>
    <row r="60" spans="1:5">
      <c r="A60" s="22">
        <v>2020</v>
      </c>
      <c r="B60" s="23">
        <v>43877</v>
      </c>
      <c r="C60" s="22">
        <v>1824640</v>
      </c>
      <c r="D60" s="22" t="s">
        <v>8</v>
      </c>
      <c r="E60" s="24" t="s">
        <v>8</v>
      </c>
    </row>
    <row r="61" spans="1:5">
      <c r="A61" s="28">
        <v>2020</v>
      </c>
      <c r="B61" s="29">
        <v>43884</v>
      </c>
      <c r="C61" s="28">
        <v>1729841</v>
      </c>
      <c r="D61" s="28" t="s">
        <v>8</v>
      </c>
      <c r="E61" s="30" t="s">
        <v>8</v>
      </c>
    </row>
    <row r="62" spans="1:5">
      <c r="A62" s="22">
        <v>2020</v>
      </c>
      <c r="B62" s="23">
        <v>43891</v>
      </c>
      <c r="C62" s="22">
        <v>1707373</v>
      </c>
      <c r="D62" s="22" t="s">
        <v>8</v>
      </c>
      <c r="E62" s="31" t="s">
        <v>9</v>
      </c>
    </row>
    <row r="63" spans="1:5">
      <c r="A63" s="28">
        <v>2020</v>
      </c>
      <c r="B63" s="29">
        <v>43898</v>
      </c>
      <c r="C63" s="28">
        <v>1664186</v>
      </c>
      <c r="D63" s="28" t="s">
        <v>9</v>
      </c>
      <c r="E63" s="30" t="s">
        <v>9</v>
      </c>
    </row>
    <row r="64" spans="1:5">
      <c r="A64" s="22">
        <v>2020</v>
      </c>
      <c r="B64" s="23">
        <v>43905</v>
      </c>
      <c r="C64" s="22">
        <v>1611995</v>
      </c>
      <c r="D64" s="22" t="s">
        <v>9</v>
      </c>
      <c r="E64" s="24" t="s">
        <v>9</v>
      </c>
    </row>
    <row r="65" spans="1:5">
      <c r="A65" s="28">
        <v>2020</v>
      </c>
      <c r="B65" s="29">
        <v>43912</v>
      </c>
      <c r="C65" s="28">
        <v>1720497</v>
      </c>
      <c r="D65" s="28" t="s">
        <v>9</v>
      </c>
      <c r="E65" s="30" t="s">
        <v>9</v>
      </c>
    </row>
    <row r="66" spans="1:5">
      <c r="A66" s="22">
        <v>2020</v>
      </c>
      <c r="B66" s="23">
        <v>43919</v>
      </c>
      <c r="C66" s="22">
        <v>1771148</v>
      </c>
      <c r="D66" s="22" t="s">
        <v>9</v>
      </c>
      <c r="E66" s="31" t="s">
        <v>10</v>
      </c>
    </row>
    <row r="67" spans="1:5">
      <c r="A67" s="28">
        <v>2020</v>
      </c>
      <c r="B67" s="29">
        <v>43926</v>
      </c>
      <c r="C67" s="28">
        <v>1752317</v>
      </c>
      <c r="D67" s="28" t="s">
        <v>10</v>
      </c>
      <c r="E67" s="30" t="s">
        <v>10</v>
      </c>
    </row>
    <row r="68" spans="1:5">
      <c r="A68" s="22">
        <v>2020</v>
      </c>
      <c r="B68" s="23">
        <v>43933</v>
      </c>
      <c r="C68" s="22">
        <v>1798195</v>
      </c>
      <c r="D68" s="22" t="s">
        <v>10</v>
      </c>
      <c r="E68" s="24" t="s">
        <v>10</v>
      </c>
    </row>
    <row r="69" spans="1:5">
      <c r="A69" s="28">
        <v>2020</v>
      </c>
      <c r="B69" s="29">
        <v>43940</v>
      </c>
      <c r="C69" s="28">
        <v>1814010</v>
      </c>
      <c r="D69" s="28" t="s">
        <v>10</v>
      </c>
      <c r="E69" s="30" t="s">
        <v>10</v>
      </c>
    </row>
    <row r="70" spans="1:5">
      <c r="A70" s="22">
        <v>2020</v>
      </c>
      <c r="B70" s="23">
        <v>43947</v>
      </c>
      <c r="C70" s="22">
        <v>1961827</v>
      </c>
      <c r="D70" s="22" t="s">
        <v>10</v>
      </c>
      <c r="E70" s="24" t="s">
        <v>10</v>
      </c>
    </row>
    <row r="71" spans="1:5">
      <c r="A71" s="28">
        <v>2020</v>
      </c>
      <c r="B71" s="29">
        <v>43954</v>
      </c>
      <c r="C71" s="28">
        <v>1913128</v>
      </c>
      <c r="D71" s="28" t="s">
        <v>10</v>
      </c>
      <c r="E71" s="32" t="s">
        <v>11</v>
      </c>
    </row>
    <row r="72" spans="1:5">
      <c r="A72" s="22">
        <v>2020</v>
      </c>
      <c r="B72" s="23">
        <v>43961</v>
      </c>
      <c r="C72" s="22">
        <v>1710579</v>
      </c>
      <c r="D72" s="22" t="s">
        <v>11</v>
      </c>
      <c r="E72" s="24" t="s">
        <v>11</v>
      </c>
    </row>
    <row r="73" spans="1:5">
      <c r="A73" s="28">
        <v>2020</v>
      </c>
      <c r="B73" s="29">
        <v>43968</v>
      </c>
      <c r="C73" s="28">
        <v>1724744</v>
      </c>
      <c r="D73" s="28" t="s">
        <v>11</v>
      </c>
      <c r="E73" s="30" t="s">
        <v>11</v>
      </c>
    </row>
    <row r="74" spans="1:5">
      <c r="A74" s="22">
        <v>2020</v>
      </c>
      <c r="B74" s="23">
        <v>43975</v>
      </c>
      <c r="C74" s="22">
        <v>1833320</v>
      </c>
      <c r="D74" s="22" t="s">
        <v>11</v>
      </c>
      <c r="E74" s="24" t="s">
        <v>11</v>
      </c>
    </row>
    <row r="75" spans="1:5">
      <c r="A75" s="28">
        <v>2020</v>
      </c>
      <c r="B75" s="29">
        <v>43982</v>
      </c>
      <c r="C75" s="28">
        <v>1680332</v>
      </c>
      <c r="D75" s="28" t="s">
        <v>11</v>
      </c>
      <c r="E75" s="32" t="s">
        <v>12</v>
      </c>
    </row>
    <row r="76" spans="1:5">
      <c r="A76" s="22">
        <v>2020</v>
      </c>
      <c r="B76" s="23">
        <v>43989</v>
      </c>
      <c r="C76" s="22">
        <v>1685373</v>
      </c>
      <c r="D76" s="22" t="s">
        <v>12</v>
      </c>
      <c r="E76" s="24" t="s">
        <v>12</v>
      </c>
    </row>
    <row r="77" spans="1:5">
      <c r="A77" s="28">
        <v>2020</v>
      </c>
      <c r="B77" s="29">
        <v>43996</v>
      </c>
      <c r="C77" s="28">
        <v>1731403</v>
      </c>
      <c r="D77" s="28" t="s">
        <v>12</v>
      </c>
      <c r="E77" s="30" t="s">
        <v>12</v>
      </c>
    </row>
    <row r="78" spans="1:5">
      <c r="A78" s="22">
        <v>2020</v>
      </c>
      <c r="B78" s="23">
        <v>44003</v>
      </c>
      <c r="C78" s="22">
        <v>1774736</v>
      </c>
      <c r="D78" s="22" t="s">
        <v>12</v>
      </c>
      <c r="E78" s="24" t="s">
        <v>12</v>
      </c>
    </row>
    <row r="79" spans="1:5">
      <c r="A79" s="28">
        <v>2020</v>
      </c>
      <c r="B79" s="29">
        <v>44010</v>
      </c>
      <c r="C79" s="28">
        <v>1748649</v>
      </c>
      <c r="D79" s="28" t="s">
        <v>12</v>
      </c>
      <c r="E79" s="32" t="s">
        <v>13</v>
      </c>
    </row>
    <row r="80" spans="1:5">
      <c r="A80" s="22">
        <v>2020</v>
      </c>
      <c r="B80" s="23">
        <v>44017</v>
      </c>
      <c r="C80" s="22">
        <v>1763706</v>
      </c>
      <c r="D80" s="22" t="s">
        <v>13</v>
      </c>
      <c r="E80" s="24" t="s">
        <v>13</v>
      </c>
    </row>
    <row r="81" spans="1:5">
      <c r="A81" s="28">
        <v>2020</v>
      </c>
      <c r="B81" s="29">
        <v>44024</v>
      </c>
      <c r="C81" s="28">
        <v>1931629</v>
      </c>
      <c r="D81" s="28" t="s">
        <v>13</v>
      </c>
      <c r="E81" s="30" t="s">
        <v>13</v>
      </c>
    </row>
    <row r="82" spans="1:5">
      <c r="A82" s="22">
        <v>2020</v>
      </c>
      <c r="B82" s="23">
        <v>44031</v>
      </c>
      <c r="C82" s="22">
        <v>1947494</v>
      </c>
      <c r="D82" s="22" t="s">
        <v>13</v>
      </c>
      <c r="E82" s="24" t="s">
        <v>13</v>
      </c>
    </row>
    <row r="83" spans="1:5">
      <c r="A83" s="28">
        <v>2020</v>
      </c>
      <c r="B83" s="29">
        <v>44038</v>
      </c>
      <c r="C83" s="28">
        <v>1956656</v>
      </c>
      <c r="D83" s="28" t="s">
        <v>13</v>
      </c>
      <c r="E83" s="30" t="s">
        <v>13</v>
      </c>
    </row>
    <row r="84" spans="1:5">
      <c r="A84" s="22">
        <v>2020</v>
      </c>
      <c r="B84" s="23">
        <v>44045</v>
      </c>
      <c r="C84" s="22">
        <v>1972377</v>
      </c>
      <c r="D84" s="22" t="s">
        <v>13</v>
      </c>
      <c r="E84" s="31" t="s">
        <v>14</v>
      </c>
    </row>
    <row r="85" spans="1:5">
      <c r="A85" s="28">
        <v>2020</v>
      </c>
      <c r="B85" s="29">
        <v>44052</v>
      </c>
      <c r="C85" s="28">
        <v>2020070</v>
      </c>
      <c r="D85" s="28" t="s">
        <v>14</v>
      </c>
      <c r="E85" s="30" t="s">
        <v>14</v>
      </c>
    </row>
    <row r="86" spans="1:5">
      <c r="A86" s="22">
        <v>2020</v>
      </c>
      <c r="B86" s="23">
        <v>44059</v>
      </c>
      <c r="C86" s="22">
        <v>2153650</v>
      </c>
      <c r="D86" s="22" t="s">
        <v>14</v>
      </c>
      <c r="E86" s="24" t="s">
        <v>14</v>
      </c>
    </row>
    <row r="87" spans="1:5">
      <c r="A87" s="28">
        <v>2020</v>
      </c>
      <c r="B87" s="29">
        <v>44066</v>
      </c>
      <c r="C87" s="28">
        <v>2043129</v>
      </c>
      <c r="D87" s="28" t="s">
        <v>14</v>
      </c>
      <c r="E87" s="30" t="s">
        <v>14</v>
      </c>
    </row>
    <row r="88" spans="1:5">
      <c r="A88" s="22">
        <v>2020</v>
      </c>
      <c r="B88" s="23">
        <v>44073</v>
      </c>
      <c r="C88" s="22">
        <v>1948239</v>
      </c>
      <c r="D88" s="22" t="s">
        <v>14</v>
      </c>
      <c r="E88" s="31" t="s">
        <v>15</v>
      </c>
    </row>
    <row r="89" spans="1:5">
      <c r="A89" s="28">
        <v>2020</v>
      </c>
      <c r="B89" s="29">
        <v>44080</v>
      </c>
      <c r="C89" s="28">
        <v>2098002</v>
      </c>
      <c r="D89" s="28" t="s">
        <v>15</v>
      </c>
      <c r="E89" s="30" t="s">
        <v>15</v>
      </c>
    </row>
    <row r="90" spans="1:5">
      <c r="A90" s="22">
        <v>2020</v>
      </c>
      <c r="B90" s="23">
        <v>44087</v>
      </c>
      <c r="C90" s="22">
        <v>2027536</v>
      </c>
      <c r="D90" s="22" t="s">
        <v>15</v>
      </c>
      <c r="E90" s="24" t="s">
        <v>15</v>
      </c>
    </row>
    <row r="91" spans="1:5">
      <c r="A91" s="28">
        <v>2020</v>
      </c>
      <c r="B91" s="29">
        <v>44094</v>
      </c>
      <c r="C91" s="28">
        <v>1965348</v>
      </c>
      <c r="D91" s="28" t="s">
        <v>15</v>
      </c>
      <c r="E91" s="30" t="s">
        <v>15</v>
      </c>
    </row>
    <row r="92" spans="1:5">
      <c r="A92" s="22">
        <v>2020</v>
      </c>
      <c r="B92" s="23">
        <v>44101</v>
      </c>
      <c r="C92" s="22">
        <v>1981289</v>
      </c>
      <c r="D92" s="22" t="s">
        <v>15</v>
      </c>
      <c r="E92" s="24" t="s">
        <v>15</v>
      </c>
    </row>
    <row r="93" spans="1:5">
      <c r="A93" s="28">
        <v>2020</v>
      </c>
      <c r="B93" s="29">
        <v>44108</v>
      </c>
      <c r="C93" s="28">
        <v>1990145</v>
      </c>
      <c r="D93" s="28" t="s">
        <v>16</v>
      </c>
      <c r="E93" s="30" t="s">
        <v>16</v>
      </c>
    </row>
    <row r="94" spans="1:5">
      <c r="A94" s="22">
        <v>2020</v>
      </c>
      <c r="B94" s="23">
        <v>44115</v>
      </c>
      <c r="C94" s="22">
        <v>2068793</v>
      </c>
      <c r="D94" s="22" t="s">
        <v>16</v>
      </c>
      <c r="E94" s="24" t="s">
        <v>16</v>
      </c>
    </row>
    <row r="95" spans="1:5">
      <c r="A95" s="28">
        <v>2020</v>
      </c>
      <c r="B95" s="29">
        <v>44122</v>
      </c>
      <c r="C95" s="28">
        <v>2158111</v>
      </c>
      <c r="D95" s="28" t="s">
        <v>16</v>
      </c>
      <c r="E95" s="30" t="s">
        <v>16</v>
      </c>
    </row>
    <row r="96" spans="1:5">
      <c r="A96" s="22">
        <v>2020</v>
      </c>
      <c r="B96" s="23">
        <v>44129</v>
      </c>
      <c r="C96" s="22">
        <v>2155855</v>
      </c>
      <c r="D96" s="22" t="s">
        <v>16</v>
      </c>
      <c r="E96" s="24" t="s">
        <v>16</v>
      </c>
    </row>
    <row r="97" spans="1:5">
      <c r="A97" s="28">
        <v>2020</v>
      </c>
      <c r="B97" s="29">
        <v>44136</v>
      </c>
      <c r="C97" s="28">
        <v>1944326</v>
      </c>
      <c r="D97" s="28" t="s">
        <v>16</v>
      </c>
      <c r="E97" s="32" t="s">
        <v>17</v>
      </c>
    </row>
    <row r="98" spans="1:5">
      <c r="A98" s="22">
        <v>2020</v>
      </c>
      <c r="B98" s="23">
        <v>44143</v>
      </c>
      <c r="C98" s="22">
        <v>2051185</v>
      </c>
      <c r="D98" s="22" t="s">
        <v>17</v>
      </c>
      <c r="E98" s="24" t="s">
        <v>17</v>
      </c>
    </row>
    <row r="99" spans="1:5">
      <c r="A99" s="28">
        <v>2020</v>
      </c>
      <c r="B99" s="29">
        <v>44150</v>
      </c>
      <c r="C99" s="28">
        <v>2082711</v>
      </c>
      <c r="D99" s="28" t="s">
        <v>17</v>
      </c>
      <c r="E99" s="30" t="s">
        <v>17</v>
      </c>
    </row>
    <row r="100" spans="1:5">
      <c r="A100" s="22">
        <v>2020</v>
      </c>
      <c r="B100" s="23">
        <v>44157</v>
      </c>
      <c r="C100" s="22">
        <v>2052032</v>
      </c>
      <c r="D100" s="22" t="s">
        <v>17</v>
      </c>
      <c r="E100" s="24" t="s">
        <v>17</v>
      </c>
    </row>
    <row r="101" spans="1:5">
      <c r="A101" s="28">
        <v>2020</v>
      </c>
      <c r="B101" s="29">
        <v>44164</v>
      </c>
      <c r="C101" s="28">
        <v>2014524</v>
      </c>
      <c r="D101" s="28" t="s">
        <v>17</v>
      </c>
      <c r="E101" s="32" t="s">
        <v>18</v>
      </c>
    </row>
    <row r="102" spans="1:5">
      <c r="A102" s="22">
        <v>2020</v>
      </c>
      <c r="B102" s="23">
        <v>44171</v>
      </c>
      <c r="C102" s="22">
        <v>2176506</v>
      </c>
      <c r="D102" s="22" t="s">
        <v>18</v>
      </c>
      <c r="E102" s="24" t="s">
        <v>18</v>
      </c>
    </row>
    <row r="103" spans="1:5">
      <c r="A103" s="28">
        <v>2020</v>
      </c>
      <c r="B103" s="29">
        <v>44178</v>
      </c>
      <c r="C103" s="28">
        <v>2083775</v>
      </c>
      <c r="D103" s="28" t="s">
        <v>18</v>
      </c>
      <c r="E103" s="30" t="s">
        <v>18</v>
      </c>
    </row>
    <row r="104" spans="1:5">
      <c r="A104" s="22">
        <v>2020</v>
      </c>
      <c r="B104" s="23">
        <v>44185</v>
      </c>
      <c r="C104" s="22">
        <v>2019378</v>
      </c>
      <c r="D104" s="22" t="s">
        <v>18</v>
      </c>
      <c r="E104" s="24" t="s">
        <v>18</v>
      </c>
    </row>
    <row r="105" spans="1:5">
      <c r="A105" s="28">
        <v>2020</v>
      </c>
      <c r="B105" s="29">
        <v>44192</v>
      </c>
      <c r="C105" s="28">
        <v>1614465</v>
      </c>
      <c r="D105" s="28" t="s">
        <v>18</v>
      </c>
      <c r="E105" s="30" t="s">
        <v>18</v>
      </c>
    </row>
    <row r="106" spans="1:5">
      <c r="A106" s="26">
        <v>2021</v>
      </c>
      <c r="B106" s="25">
        <v>44199</v>
      </c>
      <c r="C106" s="26">
        <v>1738173</v>
      </c>
      <c r="D106" s="26" t="s">
        <v>7</v>
      </c>
      <c r="E106" s="27" t="s">
        <v>7</v>
      </c>
    </row>
    <row r="107" spans="1:5">
      <c r="A107" s="28">
        <v>2021</v>
      </c>
      <c r="B107" s="29">
        <v>44206</v>
      </c>
      <c r="C107" s="28">
        <v>2050499</v>
      </c>
      <c r="D107" s="28" t="s">
        <v>7</v>
      </c>
      <c r="E107" s="30" t="s">
        <v>7</v>
      </c>
    </row>
    <row r="108" spans="1:5">
      <c r="A108" s="22">
        <v>2021</v>
      </c>
      <c r="B108" s="23">
        <v>44213</v>
      </c>
      <c r="C108" s="22">
        <v>1996856</v>
      </c>
      <c r="D108" s="22" t="s">
        <v>7</v>
      </c>
      <c r="E108" s="24" t="s">
        <v>7</v>
      </c>
    </row>
    <row r="109" spans="1:5">
      <c r="A109" s="28">
        <v>2021</v>
      </c>
      <c r="B109" s="29">
        <v>44220</v>
      </c>
      <c r="C109" s="28">
        <v>1846095</v>
      </c>
      <c r="D109" s="28" t="s">
        <v>7</v>
      </c>
      <c r="E109" s="30" t="s">
        <v>7</v>
      </c>
    </row>
    <row r="110" spans="1:5">
      <c r="A110" s="22">
        <v>2021</v>
      </c>
      <c r="B110" s="23">
        <v>44227</v>
      </c>
      <c r="C110" s="22">
        <v>1908325</v>
      </c>
      <c r="D110" s="22" t="s">
        <v>7</v>
      </c>
      <c r="E110" s="24" t="s">
        <v>7</v>
      </c>
    </row>
    <row r="111" spans="1:5">
      <c r="A111" s="28">
        <v>2021</v>
      </c>
      <c r="B111" s="29">
        <v>44234</v>
      </c>
      <c r="C111" s="28">
        <v>1719159</v>
      </c>
      <c r="D111" s="28" t="s">
        <v>8</v>
      </c>
      <c r="E111" s="30" t="s">
        <v>8</v>
      </c>
    </row>
    <row r="112" spans="1:5">
      <c r="A112" s="22">
        <v>2021</v>
      </c>
      <c r="B112" s="23">
        <v>44241</v>
      </c>
      <c r="C112" s="22">
        <v>1822158</v>
      </c>
      <c r="D112" s="22" t="s">
        <v>8</v>
      </c>
      <c r="E112" s="24" t="s">
        <v>8</v>
      </c>
    </row>
    <row r="113" spans="1:5">
      <c r="A113" s="28">
        <v>2021</v>
      </c>
      <c r="B113" s="29">
        <v>44248</v>
      </c>
      <c r="C113" s="28">
        <v>1912258</v>
      </c>
      <c r="D113" s="28" t="s">
        <v>8</v>
      </c>
      <c r="E113" s="30" t="s">
        <v>8</v>
      </c>
    </row>
    <row r="114" spans="1:5">
      <c r="A114" s="22">
        <v>2021</v>
      </c>
      <c r="B114" s="23">
        <v>44255</v>
      </c>
      <c r="C114" s="22">
        <v>1721729</v>
      </c>
      <c r="D114" s="22" t="s">
        <v>8</v>
      </c>
      <c r="E114" s="24" t="s">
        <v>8</v>
      </c>
    </row>
    <row r="115" spans="1:5">
      <c r="A115" s="28">
        <v>2021</v>
      </c>
      <c r="B115" s="29">
        <v>44262</v>
      </c>
      <c r="C115" s="28">
        <v>1987401</v>
      </c>
      <c r="D115" s="28" t="s">
        <v>9</v>
      </c>
      <c r="E115" s="30" t="s">
        <v>9</v>
      </c>
    </row>
    <row r="116" spans="1:5">
      <c r="A116" s="22">
        <v>2021</v>
      </c>
      <c r="B116" s="23">
        <v>44269</v>
      </c>
      <c r="C116" s="22">
        <v>1966718</v>
      </c>
      <c r="D116" s="22" t="s">
        <v>9</v>
      </c>
      <c r="E116" s="24" t="s">
        <v>9</v>
      </c>
    </row>
    <row r="117" spans="1:5">
      <c r="A117" s="28">
        <v>2021</v>
      </c>
      <c r="B117" s="29">
        <v>44276</v>
      </c>
      <c r="C117" s="28">
        <v>1995739</v>
      </c>
      <c r="D117" s="28" t="s">
        <v>9</v>
      </c>
      <c r="E117" s="30" t="s">
        <v>9</v>
      </c>
    </row>
    <row r="118" spans="1:5">
      <c r="A118" s="22">
        <v>2021</v>
      </c>
      <c r="B118" s="23">
        <v>44283</v>
      </c>
      <c r="C118" s="22">
        <v>1962910</v>
      </c>
      <c r="D118" s="22" t="s">
        <v>9</v>
      </c>
      <c r="E118" s="24" t="s">
        <v>9</v>
      </c>
    </row>
    <row r="119" spans="1:5">
      <c r="A119" s="28">
        <v>2021</v>
      </c>
      <c r="B119" s="29">
        <v>44290</v>
      </c>
      <c r="C119" s="28">
        <v>1885168</v>
      </c>
      <c r="D119" s="28" t="s">
        <v>10</v>
      </c>
      <c r="E119" s="30" t="s">
        <v>10</v>
      </c>
    </row>
    <row r="120" spans="1:5">
      <c r="A120" s="22">
        <v>2021</v>
      </c>
      <c r="B120" s="23">
        <v>44297</v>
      </c>
      <c r="C120" s="22">
        <v>2089462</v>
      </c>
      <c r="D120" s="22" t="s">
        <v>10</v>
      </c>
      <c r="E120" s="24" t="s">
        <v>10</v>
      </c>
    </row>
    <row r="121" spans="1:5">
      <c r="A121" s="28">
        <v>2021</v>
      </c>
      <c r="B121" s="29">
        <v>44304</v>
      </c>
      <c r="C121" s="28">
        <v>1852837</v>
      </c>
      <c r="D121" s="28" t="s">
        <v>10</v>
      </c>
      <c r="E121" s="30" t="s">
        <v>10</v>
      </c>
    </row>
    <row r="122" spans="1:5">
      <c r="A122" s="22">
        <v>2021</v>
      </c>
      <c r="B122" s="23">
        <v>44311</v>
      </c>
      <c r="C122" s="22">
        <v>1906009</v>
      </c>
      <c r="D122" s="22" t="s">
        <v>10</v>
      </c>
      <c r="E122" s="24" t="s">
        <v>10</v>
      </c>
    </row>
    <row r="123" spans="1:5">
      <c r="A123" s="28">
        <v>2021</v>
      </c>
      <c r="B123" s="29">
        <v>44318</v>
      </c>
      <c r="C123" s="28">
        <v>1869496</v>
      </c>
      <c r="D123" s="28" t="s">
        <v>10</v>
      </c>
      <c r="E123" s="30" t="s">
        <v>10</v>
      </c>
    </row>
    <row r="124" spans="1:5">
      <c r="A124" s="22">
        <v>2021</v>
      </c>
      <c r="B124" s="23">
        <v>44325</v>
      </c>
      <c r="C124" s="22">
        <v>1794719</v>
      </c>
      <c r="D124" s="22" t="s">
        <v>11</v>
      </c>
      <c r="E124" s="24" t="s">
        <v>11</v>
      </c>
    </row>
    <row r="125" spans="1:5">
      <c r="A125" s="28">
        <v>2021</v>
      </c>
      <c r="B125" s="29">
        <v>44332</v>
      </c>
      <c r="C125" s="28">
        <v>1928305</v>
      </c>
      <c r="D125" s="28" t="s">
        <v>11</v>
      </c>
      <c r="E125" s="30" t="s">
        <v>11</v>
      </c>
    </row>
    <row r="126" spans="1:5">
      <c r="A126" s="22">
        <v>2021</v>
      </c>
      <c r="B126" s="23">
        <v>44339</v>
      </c>
      <c r="C126" s="22">
        <v>1982824</v>
      </c>
      <c r="D126" s="22" t="s">
        <v>11</v>
      </c>
      <c r="E126" s="24" t="s">
        <v>11</v>
      </c>
    </row>
    <row r="127" spans="1:5">
      <c r="A127" s="28">
        <v>2021</v>
      </c>
      <c r="B127" s="29">
        <v>44346</v>
      </c>
      <c r="C127" s="28">
        <v>1794227</v>
      </c>
      <c r="D127" s="28" t="s">
        <v>11</v>
      </c>
      <c r="E127" s="30" t="s">
        <v>11</v>
      </c>
    </row>
    <row r="128" spans="1:5">
      <c r="A128" s="22">
        <v>2021</v>
      </c>
      <c r="B128" s="23">
        <v>44353</v>
      </c>
      <c r="C128" s="22">
        <v>2012951</v>
      </c>
      <c r="D128" s="22" t="s">
        <v>12</v>
      </c>
      <c r="E128" s="24" t="s">
        <v>12</v>
      </c>
    </row>
    <row r="129" spans="1:5">
      <c r="A129" s="28">
        <v>2021</v>
      </c>
      <c r="B129" s="29">
        <v>44360</v>
      </c>
      <c r="C129" s="28">
        <v>1905716</v>
      </c>
      <c r="D129" s="28" t="s">
        <v>12</v>
      </c>
      <c r="E129" s="30" t="s">
        <v>12</v>
      </c>
    </row>
    <row r="130" spans="1:5">
      <c r="A130" s="22">
        <v>2021</v>
      </c>
      <c r="B130" s="23">
        <v>44367</v>
      </c>
      <c r="C130" s="22">
        <v>1827198</v>
      </c>
      <c r="D130" s="22" t="s">
        <v>12</v>
      </c>
      <c r="E130" s="24" t="s">
        <v>12</v>
      </c>
    </row>
    <row r="131" spans="1:5">
      <c r="A131" s="28">
        <v>2021</v>
      </c>
      <c r="B131" s="29">
        <v>44374</v>
      </c>
      <c r="C131" s="28">
        <v>1896223</v>
      </c>
      <c r="D131" s="28" t="s">
        <v>12</v>
      </c>
      <c r="E131" s="30" t="s">
        <v>12</v>
      </c>
    </row>
    <row r="132" spans="1:5">
      <c r="A132" s="22">
        <v>2021</v>
      </c>
      <c r="B132" s="23">
        <v>44381</v>
      </c>
      <c r="C132" s="22">
        <v>1806053</v>
      </c>
      <c r="D132" s="22" t="s">
        <v>13</v>
      </c>
      <c r="E132" s="24" t="s">
        <v>13</v>
      </c>
    </row>
    <row r="133" spans="1:5">
      <c r="A133" s="28">
        <v>2021</v>
      </c>
      <c r="B133" s="29">
        <v>44388</v>
      </c>
      <c r="C133" s="28">
        <v>1869762</v>
      </c>
      <c r="D133" s="28" t="s">
        <v>13</v>
      </c>
      <c r="E133" s="30" t="s">
        <v>13</v>
      </c>
    </row>
    <row r="134" spans="1:5">
      <c r="A134" s="22">
        <v>2021</v>
      </c>
      <c r="B134" s="23">
        <v>44396</v>
      </c>
      <c r="C134" s="22">
        <v>1834819</v>
      </c>
      <c r="D134" s="22" t="s">
        <v>13</v>
      </c>
      <c r="E134" s="24" t="s">
        <v>13</v>
      </c>
    </row>
    <row r="135" spans="1:5">
      <c r="A135" s="28">
        <v>2021</v>
      </c>
      <c r="B135" s="29">
        <v>44402</v>
      </c>
      <c r="C135" s="28">
        <v>1875205</v>
      </c>
      <c r="D135" s="28" t="s">
        <v>13</v>
      </c>
      <c r="E135" s="30" t="s">
        <v>13</v>
      </c>
    </row>
    <row r="136" spans="1:5">
      <c r="A136" s="22">
        <v>2021</v>
      </c>
      <c r="B136" s="23">
        <v>44409</v>
      </c>
      <c r="C136" s="22">
        <v>1959160</v>
      </c>
      <c r="D136" s="22" t="s">
        <v>13</v>
      </c>
      <c r="E136" s="24" t="s">
        <v>13</v>
      </c>
    </row>
    <row r="137" spans="1:5">
      <c r="A137" s="28">
        <v>2021</v>
      </c>
      <c r="B137" s="29">
        <v>44416</v>
      </c>
      <c r="C137" s="28">
        <v>1929809</v>
      </c>
      <c r="D137" s="28" t="s">
        <v>14</v>
      </c>
      <c r="E137" s="30" t="s">
        <v>14</v>
      </c>
    </row>
    <row r="138" spans="1:5">
      <c r="A138" s="22">
        <v>2021</v>
      </c>
      <c r="B138" s="23">
        <v>44423</v>
      </c>
      <c r="C138" s="22">
        <v>1902643</v>
      </c>
      <c r="D138" s="22" t="s">
        <v>14</v>
      </c>
      <c r="E138" s="24" t="s">
        <v>14</v>
      </c>
    </row>
    <row r="139" spans="1:5">
      <c r="A139" s="28">
        <v>2021</v>
      </c>
      <c r="B139" s="29">
        <v>44431</v>
      </c>
      <c r="C139" s="28">
        <v>1833497</v>
      </c>
      <c r="D139" s="28" t="s">
        <v>14</v>
      </c>
      <c r="E139" s="30" t="s">
        <v>14</v>
      </c>
    </row>
    <row r="140" spans="1:5">
      <c r="A140" s="22">
        <v>2021</v>
      </c>
      <c r="B140" s="23">
        <v>44437</v>
      </c>
      <c r="C140" s="22">
        <v>1754641</v>
      </c>
      <c r="D140" s="22" t="s">
        <v>14</v>
      </c>
      <c r="E140" s="24" t="s">
        <v>14</v>
      </c>
    </row>
    <row r="141" spans="1:5">
      <c r="A141" s="28">
        <v>2021</v>
      </c>
      <c r="B141" s="29">
        <v>44444</v>
      </c>
      <c r="C141" s="28">
        <v>1521418</v>
      </c>
      <c r="D141" s="28" t="s">
        <v>15</v>
      </c>
      <c r="E141" s="30" t="s">
        <v>15</v>
      </c>
    </row>
    <row r="142" spans="1:5">
      <c r="A142" s="22">
        <v>2021</v>
      </c>
      <c r="B142" s="23">
        <v>44451</v>
      </c>
      <c r="C142" s="22">
        <v>1751272</v>
      </c>
      <c r="D142" s="22" t="s">
        <v>15</v>
      </c>
      <c r="E142" s="24" t="s">
        <v>15</v>
      </c>
    </row>
    <row r="143" spans="1:5">
      <c r="A143" s="28">
        <v>2021</v>
      </c>
      <c r="B143" s="29">
        <v>44458</v>
      </c>
      <c r="C143" s="28">
        <v>1827118</v>
      </c>
      <c r="D143" s="28" t="s">
        <v>15</v>
      </c>
      <c r="E143" s="30" t="s">
        <v>15</v>
      </c>
    </row>
    <row r="144" spans="1:5">
      <c r="A144" s="22">
        <v>2021</v>
      </c>
      <c r="B144" s="23">
        <v>44465</v>
      </c>
      <c r="C144" s="22">
        <v>1680253</v>
      </c>
      <c r="D144" s="22" t="s">
        <v>15</v>
      </c>
      <c r="E144" s="24" t="s">
        <v>15</v>
      </c>
    </row>
    <row r="145" spans="1:5">
      <c r="A145" s="28">
        <v>2021</v>
      </c>
      <c r="B145" s="29">
        <v>44472</v>
      </c>
      <c r="C145" s="28">
        <v>1847496</v>
      </c>
      <c r="D145" s="28" t="s">
        <v>16</v>
      </c>
      <c r="E145" s="30" t="s">
        <v>16</v>
      </c>
    </row>
    <row r="146" spans="1:5">
      <c r="A146" s="22">
        <v>2021</v>
      </c>
      <c r="B146" s="23">
        <v>44479</v>
      </c>
      <c r="C146" s="22">
        <v>1772806</v>
      </c>
      <c r="D146" s="22" t="s">
        <v>16</v>
      </c>
      <c r="E146" s="24" t="s">
        <v>16</v>
      </c>
    </row>
    <row r="147" spans="1:5">
      <c r="A147" s="28">
        <v>2021</v>
      </c>
      <c r="B147" s="29">
        <v>44486</v>
      </c>
      <c r="C147" s="28">
        <v>1597843</v>
      </c>
      <c r="D147" s="28" t="s">
        <v>16</v>
      </c>
      <c r="E147" s="30" t="s">
        <v>16</v>
      </c>
    </row>
    <row r="148" spans="1:5">
      <c r="A148" s="22">
        <v>2021</v>
      </c>
      <c r="B148" s="23">
        <v>44493</v>
      </c>
      <c r="C148" s="22">
        <v>1702527</v>
      </c>
      <c r="D148" s="22" t="s">
        <v>16</v>
      </c>
      <c r="E148" s="24" t="s">
        <v>16</v>
      </c>
    </row>
    <row r="149" spans="1:5">
      <c r="A149" s="28">
        <v>2021</v>
      </c>
      <c r="B149" s="29">
        <v>44500</v>
      </c>
      <c r="C149" s="28">
        <v>1632495</v>
      </c>
      <c r="D149" s="28" t="s">
        <v>16</v>
      </c>
      <c r="E149" s="30" t="s">
        <v>16</v>
      </c>
    </row>
    <row r="150" spans="1:5">
      <c r="A150" s="22">
        <v>2021</v>
      </c>
      <c r="B150" s="23">
        <v>44507</v>
      </c>
      <c r="C150" s="22">
        <v>1771718</v>
      </c>
      <c r="D150" s="22" t="s">
        <v>17</v>
      </c>
      <c r="E150" s="24" t="s">
        <v>17</v>
      </c>
    </row>
    <row r="151" spans="1:5">
      <c r="A151" s="28">
        <v>2021</v>
      </c>
      <c r="B151" s="29">
        <v>44514</v>
      </c>
      <c r="C151" s="28">
        <v>1822254</v>
      </c>
      <c r="D151" s="28" t="s">
        <v>17</v>
      </c>
      <c r="E151" s="30" t="s">
        <v>17</v>
      </c>
    </row>
    <row r="152" spans="1:5">
      <c r="A152" s="22">
        <v>2021</v>
      </c>
      <c r="B152" s="23">
        <v>44521</v>
      </c>
      <c r="C152" s="22">
        <v>1774309</v>
      </c>
      <c r="D152" s="22" t="s">
        <v>17</v>
      </c>
      <c r="E152" s="24" t="s">
        <v>17</v>
      </c>
    </row>
    <row r="153" spans="1:5">
      <c r="A153" s="28">
        <v>2021</v>
      </c>
      <c r="B153" s="29">
        <v>44528</v>
      </c>
      <c r="C153" s="28">
        <v>1639645</v>
      </c>
      <c r="D153" s="28" t="s">
        <v>17</v>
      </c>
      <c r="E153" s="30" t="s">
        <v>17</v>
      </c>
    </row>
    <row r="154" spans="1:5">
      <c r="A154" s="22">
        <v>2021</v>
      </c>
      <c r="B154" s="23">
        <v>44535</v>
      </c>
      <c r="C154" s="22">
        <v>1760446</v>
      </c>
      <c r="D154" s="22" t="s">
        <v>18</v>
      </c>
      <c r="E154" s="24" t="s">
        <v>18</v>
      </c>
    </row>
    <row r="155" spans="1:5">
      <c r="A155" s="28">
        <v>2021</v>
      </c>
      <c r="B155" s="29">
        <v>44542</v>
      </c>
      <c r="C155" s="28">
        <v>1761610</v>
      </c>
      <c r="D155" s="28" t="s">
        <v>18</v>
      </c>
      <c r="E155" s="30" t="s">
        <v>18</v>
      </c>
    </row>
    <row r="156" spans="1:5">
      <c r="A156" s="22">
        <v>2021</v>
      </c>
      <c r="B156" s="23">
        <v>44549</v>
      </c>
      <c r="C156" s="22">
        <v>1810111</v>
      </c>
      <c r="D156" s="22" t="s">
        <v>18</v>
      </c>
      <c r="E156" s="24" t="s">
        <v>18</v>
      </c>
    </row>
    <row r="157" spans="1:5">
      <c r="A157" s="28">
        <v>2021</v>
      </c>
      <c r="B157" s="29">
        <v>44556</v>
      </c>
      <c r="C157" s="28">
        <v>1418853</v>
      </c>
      <c r="D157" s="28" t="s">
        <v>18</v>
      </c>
      <c r="E157" s="30" t="s">
        <v>18</v>
      </c>
    </row>
    <row r="158" spans="1:5">
      <c r="A158" s="22">
        <v>2022</v>
      </c>
      <c r="B158" s="23">
        <v>44563</v>
      </c>
      <c r="C158" s="22">
        <v>1315079</v>
      </c>
      <c r="D158" s="22" t="s">
        <v>7</v>
      </c>
      <c r="E158" s="24" t="s">
        <v>7</v>
      </c>
    </row>
    <row r="159" spans="1:5">
      <c r="A159" s="28">
        <v>2022</v>
      </c>
      <c r="B159" s="29">
        <v>44570</v>
      </c>
      <c r="C159" s="28">
        <v>1660730</v>
      </c>
      <c r="D159" s="28" t="s">
        <v>7</v>
      </c>
      <c r="E159" s="30" t="s">
        <v>7</v>
      </c>
    </row>
    <row r="160" spans="1:5">
      <c r="A160" s="22">
        <v>2022</v>
      </c>
      <c r="B160" s="23">
        <v>44577</v>
      </c>
      <c r="C160" s="22">
        <v>1788647</v>
      </c>
      <c r="D160" s="22" t="s">
        <v>7</v>
      </c>
      <c r="E160" s="24" t="s">
        <v>7</v>
      </c>
    </row>
    <row r="161" spans="1:5">
      <c r="A161" s="28">
        <v>2022</v>
      </c>
      <c r="B161" s="29">
        <v>44584</v>
      </c>
      <c r="C161" s="28">
        <v>1471098</v>
      </c>
      <c r="D161" s="28" t="s">
        <v>7</v>
      </c>
      <c r="E161" s="30" t="s">
        <v>7</v>
      </c>
    </row>
    <row r="162" spans="1:5">
      <c r="A162" s="22">
        <v>2022</v>
      </c>
      <c r="B162" s="23">
        <v>44591</v>
      </c>
      <c r="C162" s="22">
        <v>1567378</v>
      </c>
      <c r="D162" s="22" t="s">
        <v>7</v>
      </c>
      <c r="E162" s="24" t="s">
        <v>7</v>
      </c>
    </row>
    <row r="163" spans="1:5">
      <c r="A163" s="28">
        <v>2022</v>
      </c>
      <c r="B163" s="29">
        <v>44598</v>
      </c>
      <c r="C163" s="28">
        <v>1742009</v>
      </c>
      <c r="D163" s="28" t="s">
        <v>8</v>
      </c>
      <c r="E163" s="30" t="s">
        <v>8</v>
      </c>
    </row>
    <row r="164" spans="1:5">
      <c r="A164" s="22">
        <v>2022</v>
      </c>
      <c r="B164" s="23">
        <v>44605</v>
      </c>
      <c r="C164" s="22">
        <v>1675289</v>
      </c>
      <c r="D164" s="22" t="s">
        <v>8</v>
      </c>
      <c r="E164" s="24" t="s">
        <v>8</v>
      </c>
    </row>
    <row r="165" spans="1:5">
      <c r="A165" s="28">
        <v>2022</v>
      </c>
      <c r="B165" s="29">
        <v>44612</v>
      </c>
      <c r="C165" s="28">
        <v>1672086</v>
      </c>
      <c r="D165" s="28" t="s">
        <v>8</v>
      </c>
      <c r="E165" s="30" t="s">
        <v>8</v>
      </c>
    </row>
    <row r="166" spans="1:5">
      <c r="A166" s="22">
        <v>2022</v>
      </c>
      <c r="B166" s="23">
        <v>44619</v>
      </c>
      <c r="C166" s="22">
        <v>1685570</v>
      </c>
      <c r="D166" s="22" t="s">
        <v>8</v>
      </c>
      <c r="E166" s="24" t="s">
        <v>8</v>
      </c>
    </row>
    <row r="167" spans="1:5">
      <c r="A167" s="28">
        <v>2022</v>
      </c>
      <c r="B167" s="29">
        <v>44626</v>
      </c>
      <c r="C167" s="28">
        <v>1685072</v>
      </c>
      <c r="D167" s="28" t="s">
        <v>9</v>
      </c>
      <c r="E167" s="30" t="s">
        <v>9</v>
      </c>
    </row>
    <row r="168" spans="1:5">
      <c r="A168" s="22">
        <v>2022</v>
      </c>
      <c r="B168" s="23">
        <v>44633</v>
      </c>
      <c r="C168" s="22">
        <v>1602015</v>
      </c>
      <c r="D168" s="22" t="s">
        <v>9</v>
      </c>
      <c r="E168" s="24" t="s">
        <v>9</v>
      </c>
    </row>
    <row r="169" spans="1:5">
      <c r="A169" s="28">
        <v>2022</v>
      </c>
      <c r="B169" s="29">
        <v>44640</v>
      </c>
      <c r="C169" s="28">
        <v>1598489</v>
      </c>
      <c r="D169" s="28" t="s">
        <v>9</v>
      </c>
      <c r="E169" s="30" t="s">
        <v>9</v>
      </c>
    </row>
    <row r="170" spans="1:5">
      <c r="A170" s="22">
        <v>2022</v>
      </c>
      <c r="B170" s="23">
        <v>44647</v>
      </c>
      <c r="C170" s="22">
        <v>1730409</v>
      </c>
      <c r="D170" s="22" t="s">
        <v>9</v>
      </c>
      <c r="E170" s="24" t="s">
        <v>9</v>
      </c>
    </row>
    <row r="171" spans="1:5">
      <c r="A171" s="28">
        <v>2022</v>
      </c>
      <c r="B171" s="29">
        <v>44654</v>
      </c>
      <c r="C171" s="28">
        <v>1679551</v>
      </c>
      <c r="D171" s="28" t="s">
        <v>10</v>
      </c>
      <c r="E171" s="30" t="s">
        <v>10</v>
      </c>
    </row>
    <row r="172" spans="1:5">
      <c r="A172" s="22">
        <v>2022</v>
      </c>
      <c r="B172" s="23">
        <v>44661</v>
      </c>
      <c r="C172" s="22">
        <v>1624606</v>
      </c>
      <c r="D172" s="22" t="s">
        <v>10</v>
      </c>
      <c r="E172" s="24" t="s">
        <v>10</v>
      </c>
    </row>
    <row r="173" spans="1:5">
      <c r="A173" s="28">
        <v>2022</v>
      </c>
      <c r="B173" s="29">
        <v>44668</v>
      </c>
      <c r="C173" s="28">
        <v>1638680</v>
      </c>
      <c r="D173" s="28" t="s">
        <v>10</v>
      </c>
      <c r="E173" s="30" t="s">
        <v>10</v>
      </c>
    </row>
    <row r="174" spans="1:5">
      <c r="A174" s="22">
        <v>2022</v>
      </c>
      <c r="B174" s="23">
        <v>44675</v>
      </c>
      <c r="C174" s="22">
        <v>1653407</v>
      </c>
      <c r="D174" s="22" t="s">
        <v>10</v>
      </c>
      <c r="E174" s="24" t="s">
        <v>10</v>
      </c>
    </row>
    <row r="175" spans="1:5">
      <c r="A175" s="28">
        <v>2022</v>
      </c>
      <c r="B175" s="29">
        <v>44682</v>
      </c>
      <c r="C175" s="28">
        <v>1705684</v>
      </c>
      <c r="D175" s="28" t="s">
        <v>10</v>
      </c>
      <c r="E175" s="30" t="s">
        <v>10</v>
      </c>
    </row>
    <row r="176" spans="1:5">
      <c r="A176" s="22">
        <v>2022</v>
      </c>
      <c r="B176" s="23">
        <v>44689</v>
      </c>
      <c r="C176" s="22">
        <v>1616232</v>
      </c>
      <c r="D176" s="22" t="s">
        <v>11</v>
      </c>
      <c r="E176" s="24" t="s">
        <v>11</v>
      </c>
    </row>
    <row r="177" spans="1:5">
      <c r="A177" s="28">
        <v>2022</v>
      </c>
      <c r="B177" s="29">
        <v>44696</v>
      </c>
      <c r="C177" s="28">
        <v>1786258</v>
      </c>
      <c r="D177" s="28" t="s">
        <v>11</v>
      </c>
      <c r="E177" s="30" t="s">
        <v>11</v>
      </c>
    </row>
    <row r="178" spans="1:5">
      <c r="A178" s="22">
        <v>2022</v>
      </c>
      <c r="B178" s="23">
        <v>44703</v>
      </c>
      <c r="C178" s="22">
        <v>1738244</v>
      </c>
      <c r="D178" s="22" t="s">
        <v>11</v>
      </c>
      <c r="E178" s="24" t="s">
        <v>11</v>
      </c>
    </row>
    <row r="179" spans="1:5">
      <c r="A179" s="28">
        <v>2022</v>
      </c>
      <c r="B179" s="29">
        <v>44710</v>
      </c>
      <c r="C179" s="28">
        <v>1695380</v>
      </c>
      <c r="D179" s="28" t="s">
        <v>11</v>
      </c>
      <c r="E179" s="30" t="s">
        <v>11</v>
      </c>
    </row>
    <row r="180" spans="1:5">
      <c r="A180" s="22">
        <v>2022</v>
      </c>
      <c r="B180" s="23">
        <v>44717</v>
      </c>
      <c r="C180" s="22">
        <v>1690267</v>
      </c>
      <c r="D180" s="22" t="s">
        <v>12</v>
      </c>
      <c r="E180" s="24" t="s">
        <v>12</v>
      </c>
    </row>
    <row r="181" spans="1:5">
      <c r="A181" s="28">
        <v>2022</v>
      </c>
      <c r="B181" s="29">
        <v>44724</v>
      </c>
      <c r="C181" s="28">
        <v>1724149</v>
      </c>
      <c r="D181" s="28" t="s">
        <v>12</v>
      </c>
      <c r="E181" s="30" t="s">
        <v>12</v>
      </c>
    </row>
    <row r="182" spans="1:5">
      <c r="A182" s="22">
        <v>2022</v>
      </c>
      <c r="B182" s="23">
        <v>44731</v>
      </c>
      <c r="C182" s="22">
        <v>1768619</v>
      </c>
      <c r="D182" s="22" t="s">
        <v>12</v>
      </c>
      <c r="E182" s="24" t="s">
        <v>12</v>
      </c>
    </row>
    <row r="183" spans="1:5">
      <c r="A183" s="28">
        <v>2022</v>
      </c>
      <c r="B183" s="29">
        <v>44738</v>
      </c>
      <c r="C183" s="28">
        <v>1752807</v>
      </c>
      <c r="D183" s="28" t="s">
        <v>12</v>
      </c>
      <c r="E183" s="30" t="s">
        <v>12</v>
      </c>
    </row>
    <row r="184" spans="1:5">
      <c r="A184" s="22">
        <v>2022</v>
      </c>
      <c r="B184" s="23">
        <v>44745</v>
      </c>
      <c r="C184" s="22">
        <v>1584606</v>
      </c>
      <c r="D184" s="22" t="s">
        <v>13</v>
      </c>
      <c r="E184" s="24" t="s">
        <v>13</v>
      </c>
    </row>
    <row r="185" spans="1:5">
      <c r="A185" s="28">
        <v>2022</v>
      </c>
      <c r="B185" s="29">
        <v>44752</v>
      </c>
      <c r="C185" s="28">
        <v>1532120</v>
      </c>
      <c r="D185" s="28" t="s">
        <v>13</v>
      </c>
      <c r="E185" s="30" t="s">
        <v>13</v>
      </c>
    </row>
    <row r="186" spans="1:5">
      <c r="A186" s="22">
        <v>2022</v>
      </c>
      <c r="B186" s="23">
        <v>44759</v>
      </c>
      <c r="C186" s="22">
        <v>1697610</v>
      </c>
      <c r="D186" s="22" t="s">
        <v>13</v>
      </c>
      <c r="E186" s="24" t="s">
        <v>13</v>
      </c>
    </row>
    <row r="187" spans="1:5">
      <c r="A187" s="28">
        <v>2022</v>
      </c>
      <c r="B187" s="29">
        <v>44766</v>
      </c>
      <c r="C187" s="28">
        <v>1771686</v>
      </c>
      <c r="D187" s="28" t="s">
        <v>13</v>
      </c>
      <c r="E187" s="30" t="s">
        <v>13</v>
      </c>
    </row>
    <row r="188" spans="1:5">
      <c r="A188" s="22">
        <v>2022</v>
      </c>
      <c r="B188" s="23">
        <v>44773</v>
      </c>
      <c r="C188" s="22">
        <v>1758101</v>
      </c>
      <c r="D188" s="22" t="s">
        <v>13</v>
      </c>
      <c r="E188" s="24" t="s">
        <v>13</v>
      </c>
    </row>
    <row r="189" spans="1:5">
      <c r="A189" s="28">
        <v>2022</v>
      </c>
      <c r="B189" s="29">
        <v>44780</v>
      </c>
      <c r="C189" s="28">
        <v>1680682</v>
      </c>
      <c r="D189" s="28" t="s">
        <v>14</v>
      </c>
      <c r="E189" s="30" t="s">
        <v>14</v>
      </c>
    </row>
    <row r="190" spans="1:5">
      <c r="A190" s="22">
        <v>2022</v>
      </c>
      <c r="B190" s="23">
        <v>44787</v>
      </c>
      <c r="C190" s="22">
        <v>1749972</v>
      </c>
      <c r="D190" s="22" t="s">
        <v>14</v>
      </c>
      <c r="E190" s="24" t="s">
        <v>14</v>
      </c>
    </row>
    <row r="191" spans="1:5">
      <c r="A191" s="28">
        <v>2022</v>
      </c>
      <c r="B191" s="29">
        <v>44794</v>
      </c>
      <c r="C191" s="28">
        <v>1878202</v>
      </c>
      <c r="D191" s="28" t="s">
        <v>14</v>
      </c>
      <c r="E191" s="30" t="s">
        <v>14</v>
      </c>
    </row>
    <row r="192" spans="1:5">
      <c r="A192" s="22">
        <v>2022</v>
      </c>
      <c r="B192" s="23">
        <v>44801</v>
      </c>
      <c r="C192" s="22">
        <v>1776061</v>
      </c>
      <c r="D192" s="22" t="s">
        <v>14</v>
      </c>
      <c r="E192" s="24" t="s">
        <v>14</v>
      </c>
    </row>
    <row r="193" spans="1:5">
      <c r="A193" s="28">
        <v>2022</v>
      </c>
      <c r="B193" s="29">
        <v>44808</v>
      </c>
      <c r="C193" s="28">
        <v>1659393</v>
      </c>
      <c r="D193" s="28" t="s">
        <v>15</v>
      </c>
      <c r="E193" s="30" t="s">
        <v>15</v>
      </c>
    </row>
    <row r="194" spans="1:5">
      <c r="A194" s="22">
        <v>2022</v>
      </c>
      <c r="B194" s="23">
        <v>44815</v>
      </c>
      <c r="C194" s="22">
        <v>1585170</v>
      </c>
      <c r="D194" s="22" t="s">
        <v>15</v>
      </c>
      <c r="E194" s="24" t="s">
        <v>15</v>
      </c>
    </row>
    <row r="195" spans="1:5">
      <c r="A195" s="28">
        <v>2022</v>
      </c>
      <c r="B195" s="29">
        <v>44822</v>
      </c>
      <c r="C195" s="28">
        <v>1764480</v>
      </c>
      <c r="D195" s="28" t="s">
        <v>15</v>
      </c>
      <c r="E195" s="30" t="s">
        <v>15</v>
      </c>
    </row>
    <row r="196" spans="1:5">
      <c r="A196" s="22">
        <v>2022</v>
      </c>
      <c r="B196" s="23">
        <v>44829</v>
      </c>
      <c r="C196" s="22">
        <v>1930041</v>
      </c>
      <c r="D196" s="22" t="s">
        <v>15</v>
      </c>
      <c r="E196" s="24" t="s">
        <v>15</v>
      </c>
    </row>
    <row r="197" spans="1:5">
      <c r="A197" s="28">
        <v>2022</v>
      </c>
      <c r="B197" s="29">
        <v>44836</v>
      </c>
      <c r="C197" s="28">
        <v>1659680</v>
      </c>
      <c r="D197" s="28" t="s">
        <v>16</v>
      </c>
      <c r="E197" s="30" t="s">
        <v>16</v>
      </c>
    </row>
    <row r="198" spans="1:5">
      <c r="A198" s="22">
        <v>2022</v>
      </c>
      <c r="B198" s="23">
        <v>44843</v>
      </c>
      <c r="C198" s="22">
        <v>1688023</v>
      </c>
      <c r="D198" s="22" t="s">
        <v>16</v>
      </c>
      <c r="E198" s="24" t="s">
        <v>16</v>
      </c>
    </row>
    <row r="199" spans="1:5">
      <c r="A199" s="28">
        <v>2022</v>
      </c>
      <c r="B199" s="29">
        <v>44850</v>
      </c>
      <c r="C199" s="28">
        <v>1887532</v>
      </c>
      <c r="D199" s="28" t="s">
        <v>16</v>
      </c>
      <c r="E199" s="30" t="s">
        <v>16</v>
      </c>
    </row>
    <row r="200" spans="1:5">
      <c r="A200" s="22">
        <v>2022</v>
      </c>
      <c r="B200" s="23">
        <v>44857</v>
      </c>
      <c r="C200" s="22">
        <v>1896759</v>
      </c>
      <c r="D200" s="22" t="s">
        <v>16</v>
      </c>
      <c r="E200" s="24" t="s">
        <v>16</v>
      </c>
    </row>
    <row r="201" spans="1:5">
      <c r="A201" s="28">
        <v>2022</v>
      </c>
      <c r="B201" s="29">
        <v>44864</v>
      </c>
      <c r="C201" s="28">
        <v>1863555</v>
      </c>
      <c r="D201" s="28" t="s">
        <v>16</v>
      </c>
      <c r="E201" s="30" t="s">
        <v>16</v>
      </c>
    </row>
    <row r="202" spans="1:5">
      <c r="A202" s="22">
        <v>2022</v>
      </c>
      <c r="B202" s="23">
        <v>44871</v>
      </c>
      <c r="C202" s="22">
        <v>1827323</v>
      </c>
      <c r="D202" s="22" t="s">
        <v>17</v>
      </c>
      <c r="E202" s="24" t="s">
        <v>17</v>
      </c>
    </row>
    <row r="203" spans="1:5">
      <c r="A203" s="28">
        <v>2022</v>
      </c>
      <c r="B203" s="29">
        <v>44878</v>
      </c>
      <c r="C203" s="28">
        <v>1588238</v>
      </c>
      <c r="D203" s="28" t="s">
        <v>17</v>
      </c>
      <c r="E203" s="30" t="s">
        <v>17</v>
      </c>
    </row>
    <row r="204" spans="1:5">
      <c r="A204" s="22">
        <v>2022</v>
      </c>
      <c r="B204" s="23">
        <v>44885</v>
      </c>
      <c r="C204" s="22">
        <v>1972864</v>
      </c>
      <c r="D204" s="22" t="s">
        <v>17</v>
      </c>
      <c r="E204" s="24" t="s">
        <v>17</v>
      </c>
    </row>
    <row r="205" spans="1:5">
      <c r="A205" s="28">
        <v>2022</v>
      </c>
      <c r="B205" s="29">
        <v>44892</v>
      </c>
      <c r="C205" s="28">
        <v>1701879</v>
      </c>
      <c r="D205" s="28" t="s">
        <v>17</v>
      </c>
      <c r="E205" s="30" t="s">
        <v>17</v>
      </c>
    </row>
    <row r="206" spans="1:5">
      <c r="A206" s="22">
        <v>2022</v>
      </c>
      <c r="B206" s="23">
        <v>44899</v>
      </c>
      <c r="C206" s="22">
        <v>1992374</v>
      </c>
      <c r="D206" s="22" t="s">
        <v>18</v>
      </c>
      <c r="E206" s="24" t="s">
        <v>18</v>
      </c>
    </row>
    <row r="207" spans="1:5">
      <c r="A207" s="28">
        <v>2022</v>
      </c>
      <c r="B207" s="29">
        <v>44906</v>
      </c>
      <c r="C207" s="28">
        <v>1994606</v>
      </c>
      <c r="D207" s="28" t="s">
        <v>18</v>
      </c>
      <c r="E207" s="30" t="s">
        <v>18</v>
      </c>
    </row>
    <row r="208" spans="1:5">
      <c r="A208" s="22">
        <v>2022</v>
      </c>
      <c r="B208" s="23">
        <v>44913</v>
      </c>
      <c r="C208" s="22">
        <v>2029219</v>
      </c>
      <c r="D208" s="22" t="s">
        <v>18</v>
      </c>
      <c r="E208" s="24" t="s">
        <v>18</v>
      </c>
    </row>
    <row r="209" spans="1:5">
      <c r="A209" s="28">
        <v>2022</v>
      </c>
      <c r="B209" s="29">
        <v>44920</v>
      </c>
      <c r="C209" s="28">
        <v>1395206</v>
      </c>
      <c r="D209" s="28" t="s">
        <v>18</v>
      </c>
      <c r="E209" s="30" t="s">
        <v>18</v>
      </c>
    </row>
    <row r="210" spans="1:5">
      <c r="A210" s="22">
        <v>2023</v>
      </c>
      <c r="B210" s="23">
        <v>44927</v>
      </c>
      <c r="C210" s="22">
        <v>1615910</v>
      </c>
      <c r="D210" s="22" t="s">
        <v>7</v>
      </c>
      <c r="E210" s="24" t="s">
        <v>7</v>
      </c>
    </row>
    <row r="211" spans="1:5">
      <c r="A211" s="28">
        <v>2023</v>
      </c>
      <c r="B211" s="29">
        <v>44934</v>
      </c>
      <c r="C211" s="28">
        <v>1943000</v>
      </c>
      <c r="D211" s="28" t="s">
        <v>7</v>
      </c>
      <c r="E211" s="30" t="s">
        <v>7</v>
      </c>
    </row>
    <row r="212" spans="1:5">
      <c r="A212" s="22">
        <v>2023</v>
      </c>
      <c r="B212" s="23">
        <v>44941</v>
      </c>
      <c r="C212" s="22">
        <v>1972748</v>
      </c>
      <c r="D212" s="22" t="s">
        <v>7</v>
      </c>
      <c r="E212" s="24" t="s">
        <v>7</v>
      </c>
    </row>
    <row r="213" spans="1:5">
      <c r="A213" s="28">
        <v>2023</v>
      </c>
      <c r="B213" s="29">
        <v>44948</v>
      </c>
      <c r="C213" s="28">
        <v>2041740</v>
      </c>
      <c r="D213" s="28" t="s">
        <v>7</v>
      </c>
      <c r="E213" s="30" t="s">
        <v>7</v>
      </c>
    </row>
    <row r="214" spans="1:5">
      <c r="A214" s="22">
        <v>2023</v>
      </c>
      <c r="B214" s="23">
        <v>44955</v>
      </c>
      <c r="C214" s="22">
        <v>1891717</v>
      </c>
      <c r="D214" s="22" t="s">
        <v>7</v>
      </c>
      <c r="E214" s="24" t="s">
        <v>7</v>
      </c>
    </row>
    <row r="215" spans="1:5">
      <c r="A215" s="28">
        <v>2023</v>
      </c>
      <c r="B215" s="29">
        <v>44962</v>
      </c>
      <c r="C215" s="28">
        <v>1924377</v>
      </c>
      <c r="D215" s="28" t="s">
        <v>8</v>
      </c>
      <c r="E215" s="30" t="s">
        <v>8</v>
      </c>
    </row>
    <row r="216" spans="1:5">
      <c r="A216" s="22">
        <v>2023</v>
      </c>
      <c r="B216" s="23">
        <v>44969</v>
      </c>
      <c r="C216" s="22">
        <v>1875160</v>
      </c>
      <c r="D216" s="22" t="s">
        <v>8</v>
      </c>
      <c r="E216" s="24" t="s">
        <v>8</v>
      </c>
    </row>
    <row r="217" spans="1:5">
      <c r="A217" s="28">
        <v>2023</v>
      </c>
      <c r="B217" s="29">
        <v>44976</v>
      </c>
      <c r="C217" s="28">
        <v>1905391</v>
      </c>
      <c r="D217" s="28" t="s">
        <v>8</v>
      </c>
      <c r="E217" s="30" t="s">
        <v>8</v>
      </c>
    </row>
    <row r="218" spans="1:5">
      <c r="A218" s="22">
        <v>2023</v>
      </c>
      <c r="B218" s="23">
        <v>44983</v>
      </c>
      <c r="C218" s="22">
        <v>1817215</v>
      </c>
      <c r="D218" s="22" t="s">
        <v>8</v>
      </c>
      <c r="E218" s="24" t="s">
        <v>8</v>
      </c>
    </row>
    <row r="219" spans="1:5">
      <c r="A219" s="28">
        <v>2023</v>
      </c>
      <c r="B219" s="29">
        <v>44990</v>
      </c>
      <c r="C219" s="28">
        <v>1731454</v>
      </c>
      <c r="D219" s="28" t="s">
        <v>9</v>
      </c>
      <c r="E219" s="30" t="s">
        <v>9</v>
      </c>
    </row>
    <row r="220" spans="1:5">
      <c r="A220" s="22">
        <v>2023</v>
      </c>
      <c r="B220" s="23">
        <v>44997</v>
      </c>
      <c r="C220" s="22">
        <v>1738844</v>
      </c>
      <c r="D220" s="22" t="s">
        <v>9</v>
      </c>
      <c r="E220" s="24" t="s">
        <v>9</v>
      </c>
    </row>
    <row r="221" spans="1:5">
      <c r="A221" s="28">
        <v>2023</v>
      </c>
      <c r="B221" s="29">
        <v>45004</v>
      </c>
      <c r="C221" s="28">
        <v>1696676</v>
      </c>
      <c r="D221" s="28" t="s">
        <v>9</v>
      </c>
      <c r="E221" s="30" t="s">
        <v>9</v>
      </c>
    </row>
    <row r="222" spans="1:5">
      <c r="A222" s="22">
        <v>2023</v>
      </c>
      <c r="B222" s="23">
        <v>45011</v>
      </c>
      <c r="C222" s="22">
        <v>1809967</v>
      </c>
      <c r="D222" s="22" t="s">
        <v>9</v>
      </c>
      <c r="E222" s="24" t="s">
        <v>9</v>
      </c>
    </row>
    <row r="223" spans="1:5">
      <c r="A223" s="28">
        <v>2023</v>
      </c>
      <c r="B223" s="29">
        <v>45018</v>
      </c>
      <c r="C223" s="28">
        <v>1989107</v>
      </c>
      <c r="D223" s="28" t="s">
        <v>10</v>
      </c>
      <c r="E223" s="30" t="s">
        <v>10</v>
      </c>
    </row>
    <row r="224" spans="1:5">
      <c r="A224" s="22">
        <v>2023</v>
      </c>
      <c r="B224" s="23">
        <v>45025</v>
      </c>
      <c r="C224" s="22">
        <v>1954364</v>
      </c>
      <c r="D224" s="22" t="s">
        <v>10</v>
      </c>
      <c r="E224" s="24" t="s">
        <v>10</v>
      </c>
    </row>
    <row r="225" spans="1:5">
      <c r="A225" s="28">
        <v>2023</v>
      </c>
      <c r="B225" s="29">
        <v>45032</v>
      </c>
      <c r="C225" s="28">
        <v>2084884</v>
      </c>
      <c r="D225" s="28" t="s">
        <v>10</v>
      </c>
      <c r="E225" s="30" t="s">
        <v>10</v>
      </c>
    </row>
    <row r="226" spans="1:5">
      <c r="A226" s="22">
        <v>2023</v>
      </c>
      <c r="B226" s="23">
        <v>45039</v>
      </c>
      <c r="C226" s="22">
        <v>2113358</v>
      </c>
      <c r="D226" s="22" t="s">
        <v>10</v>
      </c>
      <c r="E226" s="24" t="s">
        <v>10</v>
      </c>
    </row>
    <row r="227" spans="1:5">
      <c r="A227" s="28">
        <v>2023</v>
      </c>
      <c r="B227" s="29">
        <v>45046</v>
      </c>
      <c r="C227" s="28">
        <v>2003973</v>
      </c>
      <c r="D227" s="28" t="s">
        <v>10</v>
      </c>
      <c r="E227" s="30" t="s">
        <v>10</v>
      </c>
    </row>
    <row r="228" spans="1:5">
      <c r="A228" s="22">
        <v>2023</v>
      </c>
      <c r="B228" s="23">
        <v>45053</v>
      </c>
      <c r="C228" s="22">
        <v>1990096</v>
      </c>
      <c r="D228" s="22" t="s">
        <v>11</v>
      </c>
      <c r="E228" s="24" t="s">
        <v>11</v>
      </c>
    </row>
    <row r="229" spans="1:5">
      <c r="A229" s="28">
        <v>2023</v>
      </c>
      <c r="B229" s="29">
        <v>45060</v>
      </c>
      <c r="C229" s="28">
        <v>2045957</v>
      </c>
      <c r="D229" s="28" t="s">
        <v>11</v>
      </c>
      <c r="E229" s="30" t="s">
        <v>11</v>
      </c>
    </row>
    <row r="230" spans="1:5">
      <c r="A230" s="22">
        <v>2023</v>
      </c>
      <c r="B230" s="23">
        <v>45067</v>
      </c>
      <c r="C230" s="22">
        <v>2058996</v>
      </c>
      <c r="D230" s="22" t="s">
        <v>11</v>
      </c>
      <c r="E230" s="24" t="s">
        <v>11</v>
      </c>
    </row>
    <row r="231" spans="1:5">
      <c r="A231" s="28">
        <v>2023</v>
      </c>
      <c r="B231" s="29">
        <v>45074</v>
      </c>
      <c r="C231" s="28">
        <v>2080010</v>
      </c>
      <c r="D231" s="28" t="s">
        <v>11</v>
      </c>
      <c r="E231" s="30" t="s">
        <v>11</v>
      </c>
    </row>
    <row r="232" spans="1:5">
      <c r="A232" s="22">
        <v>2023</v>
      </c>
      <c r="B232" s="23">
        <v>45081</v>
      </c>
      <c r="C232" s="22">
        <v>2084208</v>
      </c>
      <c r="D232" s="22" t="s">
        <v>12</v>
      </c>
      <c r="E232" s="24" t="s">
        <v>12</v>
      </c>
    </row>
    <row r="233" spans="1:5">
      <c r="A233" s="28">
        <v>2023</v>
      </c>
      <c r="B233" s="29">
        <v>45088</v>
      </c>
      <c r="C233" s="28">
        <v>2002057</v>
      </c>
      <c r="D233" s="28" t="s">
        <v>12</v>
      </c>
      <c r="E233" s="30" t="s">
        <v>12</v>
      </c>
    </row>
    <row r="234" spans="1:5">
      <c r="A234" s="22">
        <v>2023</v>
      </c>
      <c r="B234" s="23">
        <v>45095</v>
      </c>
      <c r="C234" s="22">
        <v>1995206</v>
      </c>
      <c r="D234" s="22" t="s">
        <v>12</v>
      </c>
      <c r="E234" s="24" t="s">
        <v>12</v>
      </c>
    </row>
    <row r="235" spans="1:5">
      <c r="A235" s="28">
        <v>2023</v>
      </c>
      <c r="B235" s="29">
        <v>45102</v>
      </c>
      <c r="C235" s="28">
        <v>2201230</v>
      </c>
      <c r="D235" s="28" t="s">
        <v>12</v>
      </c>
      <c r="E235" s="30" t="s">
        <v>12</v>
      </c>
    </row>
    <row r="236" spans="1:5">
      <c r="A236" s="22">
        <v>2023</v>
      </c>
      <c r="B236" s="23">
        <v>45109</v>
      </c>
      <c r="C236" s="22">
        <v>2238206</v>
      </c>
      <c r="D236" s="22" t="s">
        <v>13</v>
      </c>
      <c r="E236" s="24" t="s">
        <v>13</v>
      </c>
    </row>
    <row r="237" spans="1:5">
      <c r="A237" s="28">
        <v>2023</v>
      </c>
      <c r="B237" s="29">
        <v>45116</v>
      </c>
      <c r="C237" s="28">
        <v>2008945</v>
      </c>
      <c r="D237" s="28" t="s">
        <v>13</v>
      </c>
      <c r="E237" s="30" t="s">
        <v>13</v>
      </c>
    </row>
    <row r="238" spans="1:5">
      <c r="A238" s="22">
        <v>2023</v>
      </c>
      <c r="B238" s="23">
        <v>45123</v>
      </c>
      <c r="C238" s="22">
        <v>2304492</v>
      </c>
      <c r="D238" s="22" t="s">
        <v>13</v>
      </c>
      <c r="E238" s="24" t="s">
        <v>13</v>
      </c>
    </row>
    <row r="239" spans="1:5">
      <c r="A239" s="28">
        <v>2023</v>
      </c>
      <c r="B239" s="29">
        <v>45130</v>
      </c>
      <c r="C239" s="28">
        <v>2180331</v>
      </c>
      <c r="D239" s="28" t="s">
        <v>13</v>
      </c>
      <c r="E239" s="30" t="s">
        <v>13</v>
      </c>
    </row>
    <row r="240" spans="1:5">
      <c r="A240" s="22">
        <v>2023</v>
      </c>
      <c r="B240" s="23">
        <v>45137</v>
      </c>
      <c r="C240" s="22">
        <v>2220184</v>
      </c>
      <c r="D240" s="22" t="s">
        <v>13</v>
      </c>
      <c r="E240" s="24" t="s">
        <v>13</v>
      </c>
    </row>
    <row r="241" spans="1:5">
      <c r="A241" s="28">
        <v>2023</v>
      </c>
      <c r="B241" s="29">
        <v>45144</v>
      </c>
      <c r="C241" s="28">
        <v>2226539</v>
      </c>
      <c r="D241" s="28" t="s">
        <v>14</v>
      </c>
      <c r="E241" s="30" t="s">
        <v>14</v>
      </c>
    </row>
    <row r="242" spans="1:5">
      <c r="A242" s="22">
        <v>2023</v>
      </c>
      <c r="B242" s="23">
        <v>45151</v>
      </c>
      <c r="C242" s="22">
        <v>2240146</v>
      </c>
      <c r="D242" s="22" t="s">
        <v>14</v>
      </c>
      <c r="E242" s="24" t="s">
        <v>14</v>
      </c>
    </row>
    <row r="243" spans="1:5">
      <c r="A243" s="28">
        <v>2023</v>
      </c>
      <c r="B243" s="29">
        <v>45158</v>
      </c>
      <c r="C243" s="28">
        <v>1982307</v>
      </c>
      <c r="D243" s="28" t="s">
        <v>14</v>
      </c>
      <c r="E243" s="30" t="s">
        <v>14</v>
      </c>
    </row>
    <row r="244" spans="1:5">
      <c r="A244" s="22">
        <v>2023</v>
      </c>
      <c r="B244" s="23">
        <v>45165</v>
      </c>
      <c r="C244" s="22">
        <v>1880966</v>
      </c>
      <c r="D244" s="22" t="s">
        <v>14</v>
      </c>
      <c r="E244" s="24" t="s">
        <v>14</v>
      </c>
    </row>
    <row r="245" spans="1:5">
      <c r="A245" s="28">
        <v>2023</v>
      </c>
      <c r="B245" s="29">
        <v>45172</v>
      </c>
      <c r="C245" s="28">
        <v>2024434</v>
      </c>
      <c r="D245" s="28" t="s">
        <v>15</v>
      </c>
      <c r="E245" s="30" t="s">
        <v>15</v>
      </c>
    </row>
    <row r="246" spans="1:5">
      <c r="A246" s="22">
        <v>2023</v>
      </c>
      <c r="B246" s="23">
        <v>45179</v>
      </c>
      <c r="C246" s="22">
        <v>1951485</v>
      </c>
      <c r="D246" s="22" t="s">
        <v>15</v>
      </c>
      <c r="E246" s="24" t="s">
        <v>15</v>
      </c>
    </row>
    <row r="247" spans="1:5">
      <c r="A247" s="28">
        <v>2023</v>
      </c>
      <c r="B247" s="29">
        <v>45186</v>
      </c>
      <c r="C247" s="28">
        <v>2181823</v>
      </c>
      <c r="D247" s="28" t="s">
        <v>15</v>
      </c>
      <c r="E247" s="30" t="s">
        <v>15</v>
      </c>
    </row>
    <row r="248" spans="1:5">
      <c r="A248" s="22">
        <v>2023</v>
      </c>
      <c r="B248" s="23">
        <v>45193</v>
      </c>
      <c r="C248" s="22">
        <v>2092484</v>
      </c>
      <c r="D248" s="22" t="s">
        <v>15</v>
      </c>
      <c r="E248" s="24" t="s">
        <v>15</v>
      </c>
    </row>
    <row r="249" spans="1:5">
      <c r="A249" s="28">
        <v>2023</v>
      </c>
      <c r="B249" s="29">
        <v>45200</v>
      </c>
      <c r="C249" s="28">
        <v>2129416</v>
      </c>
      <c r="D249" s="28" t="s">
        <v>16</v>
      </c>
      <c r="E249" s="30" t="s">
        <v>16</v>
      </c>
    </row>
    <row r="250" spans="1:5">
      <c r="A250" s="22">
        <v>2023</v>
      </c>
      <c r="B250" s="23">
        <v>45207</v>
      </c>
      <c r="C250" s="22">
        <v>2149448</v>
      </c>
      <c r="D250" s="22" t="s">
        <v>16</v>
      </c>
      <c r="E250" s="24" t="s">
        <v>16</v>
      </c>
    </row>
    <row r="251" spans="1:5">
      <c r="A251" s="28">
        <v>2023</v>
      </c>
      <c r="B251" s="29">
        <v>45214</v>
      </c>
      <c r="C251" s="28">
        <v>2312856</v>
      </c>
      <c r="D251" s="28" t="s">
        <v>16</v>
      </c>
      <c r="E251" s="30" t="s">
        <v>16</v>
      </c>
    </row>
    <row r="252" spans="1:5">
      <c r="A252" s="22">
        <v>2023</v>
      </c>
      <c r="B252" s="23">
        <v>45221</v>
      </c>
      <c r="C252" s="22">
        <v>2220673</v>
      </c>
      <c r="D252" s="22" t="s">
        <v>16</v>
      </c>
      <c r="E252" s="24" t="s">
        <v>16</v>
      </c>
    </row>
    <row r="253" spans="1:5">
      <c r="A253" s="28">
        <v>2023</v>
      </c>
      <c r="B253" s="29">
        <v>45228</v>
      </c>
      <c r="C253" s="28">
        <v>2029141</v>
      </c>
      <c r="D253" s="28" t="s">
        <v>16</v>
      </c>
      <c r="E253" s="30" t="s">
        <v>16</v>
      </c>
    </row>
    <row r="254" spans="1:5">
      <c r="A254" s="22">
        <v>2023</v>
      </c>
      <c r="B254" s="23">
        <v>45235</v>
      </c>
      <c r="C254" s="22">
        <v>2120709</v>
      </c>
      <c r="D254" s="22" t="s">
        <v>17</v>
      </c>
      <c r="E254" s="24" t="s">
        <v>17</v>
      </c>
    </row>
    <row r="255" spans="1:5">
      <c r="A255" s="28">
        <v>2023</v>
      </c>
      <c r="B255" s="29">
        <v>45242</v>
      </c>
      <c r="C255" s="28">
        <v>2008488</v>
      </c>
      <c r="D255" s="28" t="s">
        <v>17</v>
      </c>
      <c r="E255" s="30" t="s">
        <v>17</v>
      </c>
    </row>
    <row r="256" spans="1:5">
      <c r="A256" s="22">
        <v>2023</v>
      </c>
      <c r="B256" s="23">
        <v>45249</v>
      </c>
      <c r="C256" s="22">
        <v>2093053</v>
      </c>
      <c r="D256" s="22" t="s">
        <v>17</v>
      </c>
      <c r="E256" s="24" t="s">
        <v>17</v>
      </c>
    </row>
    <row r="257" spans="1:5">
      <c r="A257" s="28">
        <v>2023</v>
      </c>
      <c r="B257" s="29">
        <v>45256</v>
      </c>
      <c r="C257" s="28">
        <v>1863033</v>
      </c>
      <c r="D257" s="28" t="s">
        <v>17</v>
      </c>
      <c r="E257" s="30" t="s">
        <v>17</v>
      </c>
    </row>
    <row r="258" spans="1:5">
      <c r="A258" s="22">
        <v>2023</v>
      </c>
      <c r="B258" s="23">
        <v>45263</v>
      </c>
      <c r="C258" s="22">
        <v>2004234</v>
      </c>
      <c r="D258" s="22" t="s">
        <v>18</v>
      </c>
      <c r="E258" s="24" t="s">
        <v>18</v>
      </c>
    </row>
    <row r="259" spans="1:5">
      <c r="A259" s="28">
        <v>2023</v>
      </c>
      <c r="B259" s="29">
        <v>45270</v>
      </c>
      <c r="C259" s="28">
        <v>2121538</v>
      </c>
      <c r="D259" s="28" t="s">
        <v>18</v>
      </c>
      <c r="E259" s="30" t="s">
        <v>18</v>
      </c>
    </row>
    <row r="260" spans="1:5">
      <c r="A260" s="22">
        <v>2023</v>
      </c>
      <c r="B260" s="23">
        <v>45277</v>
      </c>
      <c r="C260" s="22">
        <v>2032689</v>
      </c>
      <c r="D260" s="22" t="s">
        <v>18</v>
      </c>
      <c r="E260" s="24" t="s">
        <v>18</v>
      </c>
    </row>
    <row r="261" spans="1:5">
      <c r="A261" s="28">
        <v>2023</v>
      </c>
      <c r="B261" s="29">
        <v>45284</v>
      </c>
      <c r="C261" s="28">
        <v>1900968</v>
      </c>
      <c r="D261" s="28" t="s">
        <v>18</v>
      </c>
      <c r="E261" s="30" t="s">
        <v>18</v>
      </c>
    </row>
    <row r="262" spans="1:5">
      <c r="A262" s="22">
        <v>2023</v>
      </c>
      <c r="B262" s="23">
        <v>45291</v>
      </c>
      <c r="C262" s="22">
        <v>1773286</v>
      </c>
      <c r="D262" s="22" t="s">
        <v>18</v>
      </c>
      <c r="E262" s="24" t="s">
        <v>18</v>
      </c>
    </row>
    <row r="263" spans="1:5">
      <c r="A263" s="28">
        <v>2024</v>
      </c>
      <c r="B263" s="29">
        <v>45298</v>
      </c>
      <c r="C263" s="28">
        <v>1997248</v>
      </c>
      <c r="D263" s="28" t="s">
        <v>7</v>
      </c>
      <c r="E263" s="30" t="s">
        <v>7</v>
      </c>
    </row>
    <row r="264" spans="1:5">
      <c r="A264" s="22">
        <v>2024</v>
      </c>
      <c r="B264" s="23">
        <v>45305</v>
      </c>
      <c r="C264" s="22">
        <v>1954271</v>
      </c>
      <c r="D264" s="22" t="s">
        <v>7</v>
      </c>
      <c r="E264" s="24" t="s">
        <v>7</v>
      </c>
    </row>
    <row r="265" spans="1:5">
      <c r="A265" s="28">
        <v>2024</v>
      </c>
      <c r="B265" s="29">
        <v>45312</v>
      </c>
      <c r="C265" s="28">
        <v>2075223</v>
      </c>
      <c r="D265" s="28" t="s">
        <v>7</v>
      </c>
      <c r="E265" s="30" t="s">
        <v>7</v>
      </c>
    </row>
    <row r="266" spans="1:5">
      <c r="A266" s="22">
        <v>2024</v>
      </c>
      <c r="B266" s="23">
        <v>45319</v>
      </c>
      <c r="C266" s="22">
        <v>2103289</v>
      </c>
      <c r="D266" s="22" t="s">
        <v>7</v>
      </c>
      <c r="E266" s="24" t="s">
        <v>7</v>
      </c>
    </row>
    <row r="267" spans="1:5">
      <c r="A267" s="28">
        <v>2024</v>
      </c>
      <c r="B267" s="29">
        <v>45326</v>
      </c>
      <c r="C267" s="28">
        <v>2168560</v>
      </c>
      <c r="D267" s="28" t="s">
        <v>7</v>
      </c>
      <c r="E267" s="30" t="s">
        <v>7</v>
      </c>
    </row>
    <row r="268" spans="1:5">
      <c r="A268" s="22">
        <v>2024</v>
      </c>
      <c r="B268" s="23">
        <v>45333</v>
      </c>
      <c r="C268" s="22">
        <v>2127011</v>
      </c>
      <c r="D268" s="22" t="s">
        <v>8</v>
      </c>
      <c r="E268" s="24" t="s">
        <v>8</v>
      </c>
    </row>
    <row r="269" spans="1:5">
      <c r="A269" s="28">
        <v>2024</v>
      </c>
      <c r="B269" s="29">
        <v>45340</v>
      </c>
      <c r="C269" s="28">
        <v>2113450</v>
      </c>
      <c r="D269" s="28" t="s">
        <v>8</v>
      </c>
      <c r="E269" s="30" t="s">
        <v>8</v>
      </c>
    </row>
    <row r="270" spans="1:5">
      <c r="A270" s="22">
        <v>2024</v>
      </c>
      <c r="B270" s="23">
        <v>45347</v>
      </c>
      <c r="C270" s="22">
        <v>2119635</v>
      </c>
      <c r="D270" s="22" t="s">
        <v>8</v>
      </c>
      <c r="E270" s="24" t="s">
        <v>8</v>
      </c>
    </row>
    <row r="271" spans="1:5">
      <c r="A271" s="28">
        <v>2024</v>
      </c>
      <c r="B271" s="29">
        <v>45354</v>
      </c>
      <c r="C271" s="28">
        <v>2087559</v>
      </c>
      <c r="D271" s="28" t="s">
        <v>8</v>
      </c>
      <c r="E271" s="30" t="s">
        <v>8</v>
      </c>
    </row>
    <row r="272" spans="1:5">
      <c r="A272" s="22">
        <v>2024</v>
      </c>
      <c r="B272" s="23">
        <v>45361</v>
      </c>
      <c r="C272" s="22">
        <v>1958914</v>
      </c>
      <c r="D272" s="22" t="s">
        <v>9</v>
      </c>
      <c r="E272" s="24" t="s">
        <v>9</v>
      </c>
    </row>
    <row r="273" spans="1:5">
      <c r="A273" s="28">
        <v>2024</v>
      </c>
      <c r="B273" s="29">
        <v>45368</v>
      </c>
      <c r="C273" s="28">
        <v>1975054</v>
      </c>
      <c r="D273" s="28" t="s">
        <v>9</v>
      </c>
      <c r="E273" s="30" t="s">
        <v>9</v>
      </c>
    </row>
    <row r="274" spans="1:5">
      <c r="A274" s="22">
        <v>2024</v>
      </c>
      <c r="B274" s="23">
        <v>45375</v>
      </c>
      <c r="C274" s="22">
        <v>2034994</v>
      </c>
      <c r="D274" s="22" t="s">
        <v>9</v>
      </c>
      <c r="E274" s="24" t="s">
        <v>9</v>
      </c>
    </row>
    <row r="275" spans="1:5">
      <c r="A275" s="28">
        <v>2024</v>
      </c>
      <c r="B275" s="29">
        <v>45382</v>
      </c>
      <c r="C275" s="28">
        <v>1975012</v>
      </c>
      <c r="D275" s="28" t="s">
        <v>9</v>
      </c>
      <c r="E275" s="30" t="s">
        <v>9</v>
      </c>
    </row>
    <row r="276" spans="1:5">
      <c r="A276" s="22">
        <v>2024</v>
      </c>
      <c r="B276" s="23">
        <v>45389</v>
      </c>
      <c r="C276" s="22">
        <v>2018917</v>
      </c>
      <c r="D276" s="22" t="s">
        <v>10</v>
      </c>
      <c r="E276" s="24" t="s">
        <v>10</v>
      </c>
    </row>
    <row r="277" spans="1:5">
      <c r="A277" s="28">
        <v>2024</v>
      </c>
      <c r="B277" s="29">
        <v>45396</v>
      </c>
      <c r="C277" s="28">
        <v>1896735</v>
      </c>
      <c r="D277" s="28" t="s">
        <v>10</v>
      </c>
      <c r="E277" s="30" t="s">
        <v>10</v>
      </c>
    </row>
    <row r="278" spans="1:5">
      <c r="A278" s="22">
        <v>2024</v>
      </c>
      <c r="B278" s="23">
        <v>45403</v>
      </c>
      <c r="C278" s="22">
        <v>2023429</v>
      </c>
      <c r="D278" s="22" t="s">
        <v>10</v>
      </c>
      <c r="E278" s="24" t="s">
        <v>10</v>
      </c>
    </row>
    <row r="279" spans="1:5">
      <c r="A279" s="28">
        <v>2024</v>
      </c>
      <c r="B279" s="29">
        <v>45410</v>
      </c>
      <c r="C279" s="28">
        <v>1996297</v>
      </c>
      <c r="D279" s="28" t="s">
        <v>10</v>
      </c>
      <c r="E279" s="30" t="s">
        <v>10</v>
      </c>
    </row>
    <row r="280" spans="1:5">
      <c r="A280" s="22">
        <v>2024</v>
      </c>
      <c r="B280" s="23">
        <v>45417</v>
      </c>
      <c r="C280" s="22">
        <v>2071434</v>
      </c>
      <c r="D280" s="22" t="s">
        <v>10</v>
      </c>
      <c r="E280" s="24" t="s">
        <v>10</v>
      </c>
    </row>
    <row r="281" spans="1:5">
      <c r="A281" s="28">
        <v>2024</v>
      </c>
      <c r="B281" s="29">
        <v>45424</v>
      </c>
      <c r="C281" s="28">
        <v>1938766</v>
      </c>
      <c r="D281" s="28" t="s">
        <v>11</v>
      </c>
      <c r="E281" s="30" t="s">
        <v>11</v>
      </c>
    </row>
    <row r="282" spans="1:5">
      <c r="A282" s="22">
        <v>2024</v>
      </c>
      <c r="B282" s="23">
        <v>45431</v>
      </c>
      <c r="C282" s="22">
        <v>1910729</v>
      </c>
      <c r="D282" s="22" t="s">
        <v>11</v>
      </c>
      <c r="E282" s="24" t="s">
        <v>11</v>
      </c>
    </row>
    <row r="283" spans="1:5">
      <c r="A283" s="28">
        <v>2024</v>
      </c>
      <c r="B283" s="29">
        <v>45438</v>
      </c>
      <c r="C283" s="28">
        <v>1854989</v>
      </c>
      <c r="D283" s="28" t="s">
        <v>11</v>
      </c>
      <c r="E283" s="30" t="s">
        <v>11</v>
      </c>
    </row>
    <row r="284" spans="1:5">
      <c r="A284" s="22">
        <v>2024</v>
      </c>
      <c r="B284" s="23">
        <v>45445</v>
      </c>
      <c r="C284" s="22">
        <v>2122399</v>
      </c>
      <c r="D284" s="22" t="s">
        <v>11</v>
      </c>
      <c r="E284" s="24" t="s">
        <v>11</v>
      </c>
    </row>
    <row r="285" spans="1:5">
      <c r="A285" s="28">
        <v>2024</v>
      </c>
      <c r="B285" s="29">
        <v>45452</v>
      </c>
      <c r="C285" s="28">
        <v>2083502</v>
      </c>
      <c r="D285" s="28" t="s">
        <v>12</v>
      </c>
      <c r="E285" s="30" t="s">
        <v>12</v>
      </c>
    </row>
    <row r="286" spans="1:5">
      <c r="A286" s="22">
        <v>2024</v>
      </c>
      <c r="B286" s="23">
        <v>45459</v>
      </c>
      <c r="C286" s="22">
        <v>1927043</v>
      </c>
      <c r="D286" s="22" t="s">
        <v>12</v>
      </c>
      <c r="E286" s="24" t="s">
        <v>12</v>
      </c>
    </row>
    <row r="287" spans="1:5">
      <c r="A287" s="28">
        <v>2024</v>
      </c>
      <c r="B287" s="29">
        <v>45466</v>
      </c>
      <c r="C287" s="28">
        <v>2031859</v>
      </c>
      <c r="D287" s="28" t="s">
        <v>12</v>
      </c>
      <c r="E287" s="30" t="s">
        <v>12</v>
      </c>
    </row>
    <row r="288" spans="1:5">
      <c r="A288" s="22">
        <v>2024</v>
      </c>
      <c r="B288" s="23">
        <v>45473</v>
      </c>
      <c r="C288" s="22">
        <v>2079905</v>
      </c>
      <c r="D288" s="22" t="s">
        <v>12</v>
      </c>
      <c r="E288" s="24" t="s">
        <v>12</v>
      </c>
    </row>
    <row r="289" spans="1:5">
      <c r="A289" s="28">
        <v>2024</v>
      </c>
      <c r="B289" s="29">
        <v>45480</v>
      </c>
      <c r="C289" s="28">
        <v>1812318</v>
      </c>
      <c r="D289" s="28" t="s">
        <v>13</v>
      </c>
      <c r="E289" s="30" t="s">
        <v>13</v>
      </c>
    </row>
    <row r="290" spans="1:5">
      <c r="A290" s="22">
        <v>2024</v>
      </c>
      <c r="B290" s="23">
        <v>45487</v>
      </c>
      <c r="C290" s="22">
        <v>2080500</v>
      </c>
      <c r="D290" s="22" t="s">
        <v>13</v>
      </c>
      <c r="E290" s="24" t="s">
        <v>13</v>
      </c>
    </row>
    <row r="291" spans="1:5">
      <c r="A291" s="28">
        <v>2024</v>
      </c>
      <c r="B291" s="29">
        <v>45494</v>
      </c>
      <c r="C291" s="28">
        <v>2088718</v>
      </c>
      <c r="D291" s="28" t="s">
        <v>13</v>
      </c>
      <c r="E291" s="30" t="s">
        <v>13</v>
      </c>
    </row>
    <row r="292" spans="1:5">
      <c r="A292" s="22">
        <v>2024</v>
      </c>
      <c r="B292" s="23">
        <v>45501</v>
      </c>
      <c r="C292" s="22">
        <v>2130985</v>
      </c>
      <c r="D292" s="22" t="s">
        <v>13</v>
      </c>
      <c r="E292" s="24" t="s">
        <v>13</v>
      </c>
    </row>
    <row r="293" spans="1:5">
      <c r="A293" s="28">
        <v>2024</v>
      </c>
      <c r="B293" s="29">
        <v>45508</v>
      </c>
      <c r="C293" s="28">
        <v>2136667</v>
      </c>
      <c r="D293" s="28" t="s">
        <v>13</v>
      </c>
      <c r="E293" s="30" t="s">
        <v>13</v>
      </c>
    </row>
    <row r="294" spans="1:5">
      <c r="A294" s="22">
        <v>2024</v>
      </c>
      <c r="B294" s="23">
        <v>45515</v>
      </c>
      <c r="C294" s="22">
        <v>1831205</v>
      </c>
      <c r="D294" s="22" t="s">
        <v>14</v>
      </c>
      <c r="E294" s="24" t="s">
        <v>14</v>
      </c>
    </row>
    <row r="295" spans="1:5">
      <c r="A295" s="28">
        <v>2024</v>
      </c>
      <c r="B295" s="29">
        <v>45522</v>
      </c>
      <c r="C295" s="28">
        <v>1984356</v>
      </c>
      <c r="D295" s="28" t="s">
        <v>14</v>
      </c>
      <c r="E295" s="30" t="s">
        <v>14</v>
      </c>
    </row>
    <row r="296" spans="1:5">
      <c r="A296" s="22">
        <v>2024</v>
      </c>
      <c r="B296" s="23">
        <v>45529</v>
      </c>
      <c r="C296" s="22">
        <v>2072215</v>
      </c>
      <c r="D296" s="22" t="s">
        <v>14</v>
      </c>
      <c r="E296" s="24" t="s">
        <v>14</v>
      </c>
    </row>
    <row r="297" spans="1:5">
      <c r="A297" s="28">
        <v>2024</v>
      </c>
      <c r="B297" s="29">
        <v>45536</v>
      </c>
      <c r="C297" s="28">
        <v>2047011</v>
      </c>
      <c r="D297" s="28" t="s">
        <v>14</v>
      </c>
      <c r="E297" s="30" t="s">
        <v>14</v>
      </c>
    </row>
    <row r="298" spans="1:5">
      <c r="A298" s="22">
        <v>2024</v>
      </c>
      <c r="B298" s="23">
        <v>45543</v>
      </c>
      <c r="C298" s="22">
        <v>1858143</v>
      </c>
      <c r="D298" s="22" t="s">
        <v>15</v>
      </c>
      <c r="E298" s="24" t="s">
        <v>15</v>
      </c>
    </row>
    <row r="299" spans="1:5">
      <c r="A299" s="28">
        <v>2024</v>
      </c>
      <c r="B299" s="29">
        <v>45550</v>
      </c>
      <c r="C299" s="28">
        <v>2154565</v>
      </c>
      <c r="D299" s="28" t="s">
        <v>15</v>
      </c>
      <c r="E299" s="30" t="s">
        <v>15</v>
      </c>
    </row>
    <row r="300" spans="1:5">
      <c r="A300" s="22">
        <v>2024</v>
      </c>
      <c r="B300" s="23">
        <v>45557</v>
      </c>
      <c r="C300" s="22">
        <v>2090283</v>
      </c>
      <c r="D300" s="22" t="s">
        <v>15</v>
      </c>
      <c r="E300" s="24" t="s">
        <v>15</v>
      </c>
    </row>
    <row r="301" spans="1:5">
      <c r="A301" s="28">
        <v>2024</v>
      </c>
      <c r="B301" s="29">
        <v>45564</v>
      </c>
      <c r="C301" s="28">
        <v>2222246</v>
      </c>
      <c r="D301" s="28" t="s">
        <v>15</v>
      </c>
      <c r="E301" s="30" t="s">
        <v>15</v>
      </c>
    </row>
    <row r="302" spans="1:5">
      <c r="A302" s="22">
        <v>2024</v>
      </c>
      <c r="B302" s="23">
        <v>45571</v>
      </c>
      <c r="C302" s="22">
        <v>1200357</v>
      </c>
      <c r="D302" s="22" t="s">
        <v>16</v>
      </c>
      <c r="E302" s="24" t="s">
        <v>16</v>
      </c>
    </row>
    <row r="303" spans="1:5">
      <c r="A303" s="28">
        <v>2024</v>
      </c>
      <c r="B303" s="29">
        <v>45578</v>
      </c>
      <c r="C303" s="28">
        <v>1991646</v>
      </c>
      <c r="D303" s="28" t="s">
        <v>16</v>
      </c>
      <c r="E303" s="30" t="s">
        <v>16</v>
      </c>
    </row>
    <row r="304" spans="1:5">
      <c r="A304" s="22">
        <v>2024</v>
      </c>
      <c r="B304" s="23">
        <v>45585</v>
      </c>
      <c r="C304" s="22">
        <v>2081002</v>
      </c>
      <c r="D304" s="22" t="s">
        <v>16</v>
      </c>
      <c r="E304" s="24" t="s">
        <v>16</v>
      </c>
    </row>
    <row r="305" spans="1:5">
      <c r="A305" s="28">
        <v>2024</v>
      </c>
      <c r="B305" s="29">
        <v>45592</v>
      </c>
      <c r="C305" s="28">
        <v>2151622</v>
      </c>
      <c r="D305" s="28" t="s">
        <v>16</v>
      </c>
      <c r="E305" s="30" t="s">
        <v>16</v>
      </c>
    </row>
    <row r="306" spans="1:5">
      <c r="A306" s="22">
        <v>2024</v>
      </c>
      <c r="B306" s="23">
        <v>45599</v>
      </c>
      <c r="C306" s="22">
        <v>2135115</v>
      </c>
      <c r="D306" s="22" t="s">
        <v>16</v>
      </c>
      <c r="E306" s="24" t="s">
        <v>16</v>
      </c>
    </row>
    <row r="307" spans="1:5">
      <c r="A307" s="28">
        <v>2024</v>
      </c>
      <c r="B307" s="29">
        <v>45606</v>
      </c>
      <c r="C307" s="28">
        <v>2056410</v>
      </c>
      <c r="D307" s="28" t="s">
        <v>17</v>
      </c>
      <c r="E307" s="30" t="s">
        <v>17</v>
      </c>
    </row>
    <row r="308" spans="1:5">
      <c r="A308" s="22">
        <v>2024</v>
      </c>
      <c r="B308" s="23">
        <v>45613</v>
      </c>
      <c r="C308" s="22">
        <v>1972044</v>
      </c>
      <c r="D308" s="22" t="s">
        <v>17</v>
      </c>
      <c r="E308" s="24" t="s">
        <v>17</v>
      </c>
    </row>
    <row r="309" spans="1:5">
      <c r="A309" s="28">
        <v>2024</v>
      </c>
      <c r="B309" s="29">
        <v>45620</v>
      </c>
      <c r="C309" s="28">
        <v>2114323</v>
      </c>
      <c r="D309" s="28" t="s">
        <v>17</v>
      </c>
      <c r="E309" s="30" t="s">
        <v>17</v>
      </c>
    </row>
    <row r="310" spans="1:5">
      <c r="A310" s="22">
        <v>2024</v>
      </c>
      <c r="B310" s="23">
        <v>45627</v>
      </c>
      <c r="C310" s="22">
        <v>2087088</v>
      </c>
      <c r="D310" s="22" t="s">
        <v>17</v>
      </c>
      <c r="E310" s="24" t="s">
        <v>17</v>
      </c>
    </row>
    <row r="311" spans="1:5">
      <c r="A311" s="28">
        <v>2024</v>
      </c>
      <c r="B311" s="29">
        <v>45634</v>
      </c>
      <c r="C311" s="28">
        <v>2061561</v>
      </c>
      <c r="D311" s="28" t="s">
        <v>18</v>
      </c>
      <c r="E311" s="30" t="s">
        <v>18</v>
      </c>
    </row>
    <row r="312" spans="1:5">
      <c r="A312" s="22">
        <v>2024</v>
      </c>
      <c r="B312" s="23">
        <v>45641</v>
      </c>
      <c r="C312" s="22">
        <v>1979805</v>
      </c>
      <c r="D312" s="22" t="s">
        <v>18</v>
      </c>
      <c r="E312" s="24" t="s">
        <v>18</v>
      </c>
    </row>
    <row r="313" spans="1:5">
      <c r="A313" s="28">
        <v>2024</v>
      </c>
      <c r="B313" s="29">
        <v>45648</v>
      </c>
      <c r="C313" s="28">
        <v>2070427</v>
      </c>
      <c r="D313" s="28" t="s">
        <v>18</v>
      </c>
      <c r="E313" s="30" t="s">
        <v>18</v>
      </c>
    </row>
    <row r="314" spans="1:5">
      <c r="A314" s="22">
        <v>2024</v>
      </c>
      <c r="B314" s="23">
        <v>45655</v>
      </c>
      <c r="C314" s="22">
        <v>1817413</v>
      </c>
      <c r="D314" s="22" t="s">
        <v>18</v>
      </c>
      <c r="E314" s="24" t="s">
        <v>18</v>
      </c>
    </row>
    <row r="315" spans="1:5">
      <c r="A315" s="28">
        <v>2025</v>
      </c>
      <c r="B315" s="29">
        <v>45662</v>
      </c>
      <c r="C315" s="28">
        <v>1754437</v>
      </c>
      <c r="D315" s="28" t="s">
        <v>7</v>
      </c>
      <c r="E315" s="30" t="s">
        <v>7</v>
      </c>
    </row>
    <row r="316" spans="1:5">
      <c r="A316" s="22">
        <v>2025</v>
      </c>
      <c r="B316" s="23">
        <v>45669</v>
      </c>
      <c r="C316" s="22">
        <v>2061903</v>
      </c>
      <c r="D316" s="22" t="s">
        <v>7</v>
      </c>
      <c r="E316" s="24" t="s">
        <v>7</v>
      </c>
    </row>
    <row r="317" spans="1:5">
      <c r="A317" s="28">
        <v>2025</v>
      </c>
      <c r="B317" s="29">
        <v>45676</v>
      </c>
      <c r="C317" s="28">
        <v>2096091</v>
      </c>
      <c r="D317" s="28" t="s">
        <v>7</v>
      </c>
      <c r="E317" s="30" t="s">
        <v>7</v>
      </c>
    </row>
    <row r="318" spans="1:5">
      <c r="A318" s="22">
        <v>2025</v>
      </c>
      <c r="B318" s="23">
        <v>45683</v>
      </c>
      <c r="C318" s="22">
        <v>1894540</v>
      </c>
      <c r="D318" s="22" t="s">
        <v>7</v>
      </c>
      <c r="E318" s="24" t="s">
        <v>7</v>
      </c>
    </row>
    <row r="319" spans="1:5">
      <c r="A319" s="28">
        <v>2025</v>
      </c>
      <c r="B319" s="29">
        <v>45690</v>
      </c>
      <c r="C319" s="28">
        <v>2091064</v>
      </c>
      <c r="D319" s="28" t="s">
        <v>7</v>
      </c>
      <c r="E319" s="30" t="s">
        <v>7</v>
      </c>
    </row>
    <row r="320" spans="1:5">
      <c r="A320" s="22">
        <v>2025</v>
      </c>
      <c r="B320" s="23">
        <v>45697</v>
      </c>
      <c r="C320" s="22">
        <v>2109942</v>
      </c>
      <c r="D320" s="22" t="s">
        <v>8</v>
      </c>
      <c r="E320" s="24" t="s">
        <v>8</v>
      </c>
    </row>
    <row r="321" spans="1:5">
      <c r="A321" s="28">
        <v>2025</v>
      </c>
      <c r="B321" s="29">
        <v>45704</v>
      </c>
      <c r="C321" s="28">
        <v>2026134</v>
      </c>
      <c r="D321" s="28" t="s">
        <v>8</v>
      </c>
      <c r="E321" s="30" t="s">
        <v>8</v>
      </c>
    </row>
    <row r="322" spans="1:5">
      <c r="A322" s="22">
        <v>2025</v>
      </c>
      <c r="B322" s="23">
        <v>45711</v>
      </c>
      <c r="C322" s="22">
        <v>2131693</v>
      </c>
      <c r="D322" s="22" t="s">
        <v>8</v>
      </c>
      <c r="E322" s="24" t="s">
        <v>8</v>
      </c>
    </row>
    <row r="323" spans="1:5">
      <c r="A323" s="28">
        <v>2025</v>
      </c>
      <c r="B323" s="29">
        <v>45718</v>
      </c>
      <c r="C323" s="28">
        <v>2221381</v>
      </c>
      <c r="D323" s="28" t="s">
        <v>8</v>
      </c>
      <c r="E323" s="30" t="s">
        <v>8</v>
      </c>
    </row>
    <row r="324" spans="1:5">
      <c r="A324" s="22">
        <v>2025</v>
      </c>
      <c r="B324" s="23">
        <v>45725</v>
      </c>
      <c r="C324" s="22">
        <v>2107418</v>
      </c>
      <c r="D324" s="22" t="s">
        <v>9</v>
      </c>
      <c r="E324" s="24" t="s">
        <v>9</v>
      </c>
    </row>
    <row r="325" spans="1:5">
      <c r="A325" s="28">
        <v>2025</v>
      </c>
      <c r="B325" s="29">
        <v>45732</v>
      </c>
      <c r="C325" s="28">
        <v>2130005</v>
      </c>
      <c r="D325" s="28" t="s">
        <v>9</v>
      </c>
      <c r="E325" s="30" t="s">
        <v>9</v>
      </c>
    </row>
    <row r="326" spans="1:5">
      <c r="A326" s="22">
        <v>2025</v>
      </c>
      <c r="B326" s="23">
        <v>45739</v>
      </c>
      <c r="C326" s="22">
        <v>2086520</v>
      </c>
      <c r="D326" s="22" t="s">
        <v>9</v>
      </c>
      <c r="E326" s="24" t="s">
        <v>9</v>
      </c>
    </row>
    <row r="327" spans="1:5">
      <c r="A327" s="28">
        <v>2025</v>
      </c>
      <c r="B327" s="29">
        <v>45746</v>
      </c>
      <c r="C327" s="28">
        <v>2238090</v>
      </c>
      <c r="D327" s="28" t="s">
        <v>9</v>
      </c>
      <c r="E327" s="30" t="s">
        <v>9</v>
      </c>
    </row>
    <row r="328" spans="1:5">
      <c r="A328" s="22">
        <v>2025</v>
      </c>
      <c r="B328" s="23">
        <v>45753</v>
      </c>
      <c r="C328" s="22">
        <v>2037081</v>
      </c>
      <c r="D328" s="22" t="s">
        <v>10</v>
      </c>
      <c r="E328" s="24" t="s">
        <v>10</v>
      </c>
    </row>
    <row r="329" spans="1:5">
      <c r="A329" s="28">
        <v>2025</v>
      </c>
      <c r="B329" s="29">
        <v>45760</v>
      </c>
      <c r="C329" s="28">
        <v>2268172</v>
      </c>
      <c r="D329" s="28" t="s">
        <v>10</v>
      </c>
      <c r="E329" s="30" t="s">
        <v>10</v>
      </c>
    </row>
    <row r="330" spans="1:5">
      <c r="A330" s="22">
        <v>2025</v>
      </c>
      <c r="B330" s="23">
        <v>45767</v>
      </c>
      <c r="C330" s="22">
        <v>2151448</v>
      </c>
      <c r="D330" s="22" t="s">
        <v>10</v>
      </c>
      <c r="E330" s="24" t="s">
        <v>10</v>
      </c>
    </row>
    <row r="331" spans="1:5">
      <c r="A331" s="28">
        <v>2025</v>
      </c>
      <c r="B331" s="29">
        <v>45774</v>
      </c>
      <c r="C331" s="28">
        <v>2298419</v>
      </c>
      <c r="D331" s="28" t="s">
        <v>10</v>
      </c>
      <c r="E331" s="30" t="s">
        <v>10</v>
      </c>
    </row>
    <row r="332" spans="1:5">
      <c r="A332" s="22">
        <v>2025</v>
      </c>
      <c r="B332" s="23">
        <v>45781</v>
      </c>
      <c r="C332" s="22">
        <v>2243783</v>
      </c>
      <c r="D332" s="22" t="s">
        <v>10</v>
      </c>
      <c r="E332" s="24" t="s">
        <v>10</v>
      </c>
    </row>
    <row r="333" spans="1:5">
      <c r="A333" s="28">
        <v>2025</v>
      </c>
      <c r="B333" s="29">
        <v>45788</v>
      </c>
      <c r="C333" s="28">
        <v>2137510</v>
      </c>
      <c r="D333" s="28" t="s">
        <v>11</v>
      </c>
      <c r="E333" s="30" t="s">
        <v>11</v>
      </c>
    </row>
    <row r="334" spans="1:5">
      <c r="A334" s="22">
        <v>2025</v>
      </c>
      <c r="B334" s="23">
        <v>45795</v>
      </c>
      <c r="C334" s="22">
        <v>2193614</v>
      </c>
      <c r="D334" s="22" t="s">
        <v>11</v>
      </c>
      <c r="E334" s="24" t="s">
        <v>11</v>
      </c>
    </row>
    <row r="335" spans="1:5">
      <c r="A335" s="28">
        <v>2025</v>
      </c>
      <c r="B335" s="29">
        <v>45802</v>
      </c>
      <c r="C335" s="28">
        <v>2226017</v>
      </c>
      <c r="D335" s="28" t="s">
        <v>11</v>
      </c>
      <c r="E335" s="30" t="s">
        <v>11</v>
      </c>
    </row>
    <row r="336" spans="1:5">
      <c r="A336" s="22">
        <v>2025</v>
      </c>
      <c r="B336" s="23">
        <v>45809</v>
      </c>
      <c r="C336" s="22">
        <v>1975269</v>
      </c>
      <c r="D336" s="22" t="s">
        <v>11</v>
      </c>
      <c r="E336" s="24" t="s">
        <v>11</v>
      </c>
    </row>
    <row r="337" spans="1:5">
      <c r="A337" s="28">
        <v>2025</v>
      </c>
      <c r="B337" s="29">
        <v>45816</v>
      </c>
      <c r="C337" s="28">
        <v>2076178</v>
      </c>
      <c r="D337" s="28" t="s">
        <v>12</v>
      </c>
      <c r="E337" s="30" t="s">
        <v>12</v>
      </c>
    </row>
    <row r="338" spans="1:5">
      <c r="A338" s="22">
        <v>2025</v>
      </c>
      <c r="B338" s="23">
        <v>45823</v>
      </c>
      <c r="C338" s="22">
        <v>1998399</v>
      </c>
      <c r="D338" s="22" t="s">
        <v>12</v>
      </c>
      <c r="E338" s="24" t="s">
        <v>12</v>
      </c>
    </row>
    <row r="339" spans="1:5">
      <c r="A339" s="28">
        <v>2025</v>
      </c>
      <c r="B339" s="29">
        <v>45830</v>
      </c>
      <c r="C339" s="28">
        <v>2106846</v>
      </c>
      <c r="D339" s="28" t="s">
        <v>12</v>
      </c>
      <c r="E339" s="30" t="s">
        <v>12</v>
      </c>
    </row>
    <row r="340" spans="1:5">
      <c r="A340" s="22">
        <v>2025</v>
      </c>
      <c r="B340" s="23">
        <v>45837</v>
      </c>
      <c r="C340" s="22">
        <v>2093077</v>
      </c>
      <c r="D340" s="22" t="s">
        <v>12</v>
      </c>
      <c r="E340" s="24" t="s">
        <v>12</v>
      </c>
    </row>
    <row r="341" spans="1:5">
      <c r="A341" s="28">
        <v>2025</v>
      </c>
      <c r="B341" s="29">
        <v>45844</v>
      </c>
      <c r="C341" s="28">
        <v>1972250</v>
      </c>
      <c r="D341" s="28" t="s">
        <v>13</v>
      </c>
      <c r="E341" s="30" t="s">
        <v>13</v>
      </c>
    </row>
    <row r="342" spans="1:5">
      <c r="A342" s="22">
        <v>2025</v>
      </c>
      <c r="B342" s="23">
        <v>45851</v>
      </c>
      <c r="C342" s="22">
        <v>2443109</v>
      </c>
      <c r="D342" s="22" t="s">
        <v>13</v>
      </c>
      <c r="E342" s="24" t="s">
        <v>13</v>
      </c>
    </row>
    <row r="343" spans="1:5">
      <c r="A343" s="28">
        <v>2025</v>
      </c>
      <c r="B343" s="29">
        <v>45858</v>
      </c>
      <c r="C343" s="28">
        <v>2343752</v>
      </c>
      <c r="D343" s="28" t="s">
        <v>13</v>
      </c>
      <c r="E343" s="30" t="s">
        <v>13</v>
      </c>
    </row>
    <row r="344" spans="1:5">
      <c r="A344" s="22">
        <v>2025</v>
      </c>
      <c r="B344" s="23">
        <v>45865</v>
      </c>
      <c r="C344" s="22">
        <v>2273915</v>
      </c>
      <c r="D344" s="22" t="s">
        <v>13</v>
      </c>
      <c r="E344" s="24" t="s">
        <v>13</v>
      </c>
    </row>
    <row r="345" spans="1:5">
      <c r="A345" s="28">
        <v>2025</v>
      </c>
      <c r="B345" s="29">
        <v>45872</v>
      </c>
      <c r="C345" s="28">
        <v>2174969</v>
      </c>
      <c r="D345" s="28" t="s">
        <v>13</v>
      </c>
      <c r="E345" s="30" t="s">
        <v>13</v>
      </c>
    </row>
    <row r="346" spans="1:5">
      <c r="A346" s="22">
        <v>2025</v>
      </c>
      <c r="B346" s="23">
        <v>45879</v>
      </c>
      <c r="C346" s="22">
        <v>2303446</v>
      </c>
      <c r="D346" s="22" t="s">
        <v>14</v>
      </c>
      <c r="E346" s="24" t="s">
        <v>14</v>
      </c>
    </row>
    <row r="347" spans="1:5">
      <c r="A347" s="28">
        <v>2025</v>
      </c>
      <c r="B347" s="29">
        <v>45886</v>
      </c>
      <c r="C347" s="28">
        <v>2180931</v>
      </c>
      <c r="D347" s="28" t="s">
        <v>14</v>
      </c>
      <c r="E347" s="30" t="s">
        <v>14</v>
      </c>
    </row>
    <row r="348" spans="1:5">
      <c r="A348" s="22">
        <v>2025</v>
      </c>
      <c r="B348" s="23">
        <v>45893</v>
      </c>
      <c r="C348" s="22">
        <v>2193080</v>
      </c>
      <c r="D348" s="22" t="s">
        <v>14</v>
      </c>
      <c r="E348" s="24" t="s">
        <v>14</v>
      </c>
    </row>
    <row r="349" spans="1:5">
      <c r="A349" s="28">
        <v>2025</v>
      </c>
      <c r="B349" s="29">
        <v>45900</v>
      </c>
      <c r="C349" s="28">
        <v>2438149</v>
      </c>
      <c r="D349" s="28" t="s">
        <v>14</v>
      </c>
      <c r="E349" s="30" t="s">
        <v>14</v>
      </c>
    </row>
    <row r="350" spans="1:5">
      <c r="A350" s="22">
        <v>2025</v>
      </c>
      <c r="B350" s="23">
        <v>45907</v>
      </c>
      <c r="C350" s="22">
        <v>2116378</v>
      </c>
      <c r="D350" s="22" t="s">
        <v>15</v>
      </c>
      <c r="E350" s="24" t="s">
        <v>15</v>
      </c>
    </row>
    <row r="351" spans="1:5">
      <c r="A351" s="28">
        <v>2025</v>
      </c>
      <c r="B351" s="29">
        <v>45914</v>
      </c>
      <c r="C351" s="28">
        <v>2252086</v>
      </c>
      <c r="D351" s="28" t="s">
        <v>15</v>
      </c>
      <c r="E351" s="30" t="s">
        <v>15</v>
      </c>
    </row>
    <row r="352" spans="1:5">
      <c r="A352" s="22">
        <v>2025</v>
      </c>
      <c r="B352" s="23">
        <v>45921</v>
      </c>
      <c r="C352" s="22">
        <v>2264291</v>
      </c>
      <c r="D352" s="22" t="s">
        <v>15</v>
      </c>
      <c r="E352" s="24" t="s">
        <v>15</v>
      </c>
    </row>
  </sheetData>
  <autoFilter ref="B1:E352" xr:uid="{4BA16F50-3882-4E27-B33F-4F767D386276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selection activeCell="C35" sqref="C35"/>
    </sheetView>
  </sheetViews>
  <sheetFormatPr defaultRowHeight="15"/>
  <cols>
    <col min="2" max="2" width="13.5703125" bestFit="1" customWidth="1"/>
    <col min="3" max="3" width="12.42578125" style="2" bestFit="1" customWidth="1"/>
    <col min="7" max="7" width="9.85546875" bestFit="1" customWidth="1"/>
  </cols>
  <sheetData>
    <row r="1" spans="1:7" ht="31.5">
      <c r="A1" s="1" t="s">
        <v>19</v>
      </c>
    </row>
    <row r="2" spans="1:7">
      <c r="A2" t="s">
        <v>20</v>
      </c>
      <c r="B2" t="s">
        <v>21</v>
      </c>
      <c r="C2" s="2" t="s">
        <v>22</v>
      </c>
      <c r="E2" t="s">
        <v>20</v>
      </c>
      <c r="F2" t="s">
        <v>3</v>
      </c>
      <c r="G2" s="2" t="s">
        <v>22</v>
      </c>
    </row>
    <row r="3" spans="1:7">
      <c r="A3" s="3">
        <v>2025</v>
      </c>
      <c r="B3" s="4" t="s">
        <v>7</v>
      </c>
      <c r="C3" s="2">
        <v>1038521.7142857142</v>
      </c>
      <c r="E3" s="3">
        <v>2025</v>
      </c>
      <c r="F3" s="5">
        <v>45658</v>
      </c>
      <c r="G3" s="2">
        <f>SUM(C3:C7)</f>
        <v>8574844.1428571437</v>
      </c>
    </row>
    <row r="4" spans="1:7">
      <c r="A4" s="3">
        <v>2025</v>
      </c>
      <c r="B4" s="4" t="s">
        <v>7</v>
      </c>
      <c r="C4" s="2">
        <v>1754437</v>
      </c>
      <c r="E4" s="3">
        <v>2025</v>
      </c>
      <c r="F4" s="5">
        <v>45689</v>
      </c>
      <c r="G4" s="2">
        <f>SUM(C8:C12)</f>
        <v>8324953.9999999991</v>
      </c>
    </row>
    <row r="5" spans="1:7">
      <c r="A5" s="3">
        <v>2025</v>
      </c>
      <c r="B5" s="4" t="s">
        <v>7</v>
      </c>
      <c r="C5" s="2">
        <v>2061903</v>
      </c>
      <c r="E5" s="3">
        <v>2025</v>
      </c>
      <c r="F5" s="5">
        <v>45717</v>
      </c>
      <c r="G5" s="2">
        <f>SUM(C13:C18)</f>
        <v>9489305.8571428563</v>
      </c>
    </row>
    <row r="6" spans="1:7">
      <c r="A6" s="3">
        <v>2025</v>
      </c>
      <c r="B6" s="4" t="s">
        <v>7</v>
      </c>
      <c r="C6" s="2">
        <v>2096091</v>
      </c>
      <c r="E6" s="3">
        <v>2025</v>
      </c>
      <c r="F6" s="5">
        <v>45748</v>
      </c>
      <c r="G6" s="2">
        <f>SUM(C19:C23)</f>
        <v>9368719</v>
      </c>
    </row>
    <row r="7" spans="1:7">
      <c r="A7" s="3">
        <v>2025</v>
      </c>
      <c r="B7" s="6" t="s">
        <v>7</v>
      </c>
      <c r="C7" s="2">
        <v>1623891.4285714284</v>
      </c>
      <c r="E7" s="3">
        <v>2025</v>
      </c>
      <c r="F7" s="5">
        <v>45778</v>
      </c>
      <c r="G7" s="2">
        <f>SUM(C24:C28)</f>
        <v>9785960.7142857146</v>
      </c>
    </row>
    <row r="8" spans="1:7">
      <c r="A8" s="3">
        <v>2025</v>
      </c>
      <c r="B8" s="7" t="s">
        <v>8</v>
      </c>
      <c r="C8" s="2">
        <v>270648.57142857142</v>
      </c>
      <c r="E8" s="3">
        <v>2025</v>
      </c>
      <c r="F8" s="5">
        <v>45809</v>
      </c>
      <c r="G8" s="2">
        <f>SUM(C29:C33)</f>
        <v>8754714</v>
      </c>
    </row>
    <row r="9" spans="1:7">
      <c r="A9" s="3">
        <v>2025</v>
      </c>
      <c r="B9" s="8" t="s">
        <v>8</v>
      </c>
      <c r="C9" s="2">
        <v>2091064</v>
      </c>
      <c r="E9" s="3">
        <v>2025</v>
      </c>
      <c r="F9" s="5">
        <v>45839</v>
      </c>
      <c r="G9" s="2">
        <f>SUM(C34:C38)</f>
        <v>9878391</v>
      </c>
    </row>
    <row r="10" spans="1:7">
      <c r="A10" s="3">
        <v>2025</v>
      </c>
      <c r="B10" s="8" t="s">
        <v>8</v>
      </c>
      <c r="C10" s="2">
        <v>2109942</v>
      </c>
      <c r="E10" s="3">
        <v>2025</v>
      </c>
      <c r="F10" s="5">
        <v>45870</v>
      </c>
      <c r="G10" s="2">
        <f>SUM(C39:C44)</f>
        <v>9850423</v>
      </c>
    </row>
    <row r="11" spans="1:7">
      <c r="A11" s="3">
        <v>2025</v>
      </c>
      <c r="B11" s="8" t="s">
        <v>8</v>
      </c>
      <c r="C11" s="2">
        <v>2026134</v>
      </c>
      <c r="E11" s="3">
        <v>2025</v>
      </c>
      <c r="F11" s="5">
        <v>45901</v>
      </c>
      <c r="G11" s="2">
        <f>SUM(C45:C48)</f>
        <v>8722597</v>
      </c>
    </row>
    <row r="12" spans="1:7">
      <c r="A12" s="3">
        <v>2025</v>
      </c>
      <c r="B12" s="7" t="s">
        <v>8</v>
      </c>
      <c r="C12" s="2">
        <v>1827165.4285714284</v>
      </c>
    </row>
    <row r="13" spans="1:7">
      <c r="A13" s="3">
        <v>2025</v>
      </c>
      <c r="B13" s="6" t="s">
        <v>9</v>
      </c>
      <c r="C13" s="2">
        <v>304527.57142857142</v>
      </c>
    </row>
    <row r="14" spans="1:7">
      <c r="A14" s="3">
        <v>2025</v>
      </c>
      <c r="B14" s="4" t="s">
        <v>9</v>
      </c>
      <c r="C14" s="2">
        <v>2221381</v>
      </c>
    </row>
    <row r="15" spans="1:7">
      <c r="A15" s="3">
        <v>2025</v>
      </c>
      <c r="B15" s="4" t="s">
        <v>9</v>
      </c>
      <c r="C15" s="2">
        <v>2107418</v>
      </c>
    </row>
    <row r="16" spans="1:7">
      <c r="A16" s="3">
        <v>2025</v>
      </c>
      <c r="B16" s="4" t="s">
        <v>9</v>
      </c>
      <c r="C16" s="2">
        <v>2130005</v>
      </c>
    </row>
    <row r="17" spans="1:7">
      <c r="A17" s="3">
        <v>2025</v>
      </c>
      <c r="B17" s="4" t="s">
        <v>9</v>
      </c>
      <c r="C17" s="2">
        <v>2086520</v>
      </c>
    </row>
    <row r="18" spans="1:7">
      <c r="A18" s="3">
        <v>2025</v>
      </c>
      <c r="B18" s="6" t="s">
        <v>9</v>
      </c>
      <c r="C18" s="2">
        <v>639454.28571428568</v>
      </c>
    </row>
    <row r="19" spans="1:7">
      <c r="A19" s="3">
        <v>2025</v>
      </c>
      <c r="B19" s="7" t="s">
        <v>10</v>
      </c>
      <c r="C19" s="2">
        <v>1598635.7142857143</v>
      </c>
    </row>
    <row r="20" spans="1:7">
      <c r="A20" s="3">
        <v>2025</v>
      </c>
      <c r="B20" s="8" t="s">
        <v>10</v>
      </c>
      <c r="C20" s="2">
        <v>2037081</v>
      </c>
    </row>
    <row r="21" spans="1:7">
      <c r="A21" s="3">
        <v>2025</v>
      </c>
      <c r="B21" s="8" t="s">
        <v>10</v>
      </c>
      <c r="C21" s="2">
        <v>2268172</v>
      </c>
    </row>
    <row r="22" spans="1:7">
      <c r="A22" s="3">
        <v>2025</v>
      </c>
      <c r="B22" s="8" t="s">
        <v>10</v>
      </c>
      <c r="C22" s="2">
        <v>2151448</v>
      </c>
      <c r="G22" t="s">
        <v>23</v>
      </c>
    </row>
    <row r="23" spans="1:7">
      <c r="A23" s="3">
        <v>2025</v>
      </c>
      <c r="B23" s="7" t="s">
        <v>10</v>
      </c>
      <c r="C23" s="2">
        <v>1313382.2857142857</v>
      </c>
    </row>
    <row r="24" spans="1:7">
      <c r="A24" s="3">
        <v>2025</v>
      </c>
      <c r="B24" s="6" t="s">
        <v>11</v>
      </c>
      <c r="C24" s="2">
        <v>985036.7142857142</v>
      </c>
    </row>
    <row r="25" spans="1:7">
      <c r="A25" s="3">
        <v>2025</v>
      </c>
      <c r="B25" s="4" t="s">
        <v>11</v>
      </c>
      <c r="C25" s="2">
        <v>2243783</v>
      </c>
    </row>
    <row r="26" spans="1:7">
      <c r="A26" s="3">
        <v>2025</v>
      </c>
      <c r="B26" s="4" t="s">
        <v>11</v>
      </c>
      <c r="C26" s="2">
        <v>2137510</v>
      </c>
    </row>
    <row r="27" spans="1:7">
      <c r="A27" s="3">
        <v>2025</v>
      </c>
      <c r="B27" s="4" t="s">
        <v>11</v>
      </c>
      <c r="C27" s="2">
        <v>2193614</v>
      </c>
    </row>
    <row r="28" spans="1:7">
      <c r="A28" s="3">
        <v>2025</v>
      </c>
      <c r="B28" s="4" t="s">
        <v>11</v>
      </c>
      <c r="C28" s="2">
        <v>2226017</v>
      </c>
    </row>
    <row r="29" spans="1:7">
      <c r="A29" s="3">
        <v>2025</v>
      </c>
      <c r="B29" s="8" t="s">
        <v>12</v>
      </c>
      <c r="C29" s="2">
        <v>1975269</v>
      </c>
    </row>
    <row r="30" spans="1:7">
      <c r="A30" s="3">
        <v>2025</v>
      </c>
      <c r="B30" s="8" t="s">
        <v>12</v>
      </c>
      <c r="C30" s="2">
        <v>2076178</v>
      </c>
    </row>
    <row r="31" spans="1:7">
      <c r="A31" s="3">
        <v>2025</v>
      </c>
      <c r="B31" s="8" t="s">
        <v>12</v>
      </c>
      <c r="C31" s="2">
        <v>1998399</v>
      </c>
    </row>
    <row r="32" spans="1:7">
      <c r="A32" s="3">
        <v>2025</v>
      </c>
      <c r="B32" s="8" t="s">
        <v>12</v>
      </c>
      <c r="C32" s="2">
        <v>2106846</v>
      </c>
    </row>
    <row r="33" spans="1:3">
      <c r="A33" s="3">
        <v>2025</v>
      </c>
      <c r="B33" s="7" t="s">
        <v>12</v>
      </c>
      <c r="C33" s="2">
        <v>598022</v>
      </c>
    </row>
    <row r="34" spans="1:3">
      <c r="A34" s="3">
        <v>2025</v>
      </c>
      <c r="B34" s="6" t="s">
        <v>13</v>
      </c>
      <c r="C34" s="2">
        <v>1495055</v>
      </c>
    </row>
    <row r="35" spans="1:3">
      <c r="A35" s="3">
        <v>2025</v>
      </c>
      <c r="B35" s="4" t="s">
        <v>13</v>
      </c>
      <c r="C35" s="2">
        <v>1972250</v>
      </c>
    </row>
    <row r="36" spans="1:3">
      <c r="A36" s="3">
        <v>2025</v>
      </c>
      <c r="B36" s="4" t="s">
        <v>13</v>
      </c>
      <c r="C36" s="2">
        <v>2443109</v>
      </c>
    </row>
    <row r="37" spans="1:3">
      <c r="A37" s="3">
        <v>2025</v>
      </c>
      <c r="B37" s="4" t="s">
        <v>13</v>
      </c>
      <c r="C37" s="2">
        <v>2343752</v>
      </c>
    </row>
    <row r="38" spans="1:3">
      <c r="A38" s="3">
        <v>2025</v>
      </c>
      <c r="B38" s="6" t="s">
        <v>13</v>
      </c>
      <c r="C38" s="2">
        <v>1624225</v>
      </c>
    </row>
    <row r="39" spans="1:3">
      <c r="A39" s="3">
        <v>2025</v>
      </c>
      <c r="B39" s="7" t="s">
        <v>14</v>
      </c>
      <c r="C39" s="2">
        <v>649690</v>
      </c>
    </row>
    <row r="40" spans="1:3">
      <c r="A40" s="3">
        <v>2025</v>
      </c>
      <c r="B40" s="8" t="s">
        <v>14</v>
      </c>
      <c r="C40" s="2">
        <v>2174969</v>
      </c>
    </row>
    <row r="41" spans="1:3">
      <c r="A41" s="3">
        <v>2025</v>
      </c>
      <c r="B41" s="8" t="s">
        <v>14</v>
      </c>
      <c r="C41" s="2">
        <v>2303446</v>
      </c>
    </row>
    <row r="42" spans="1:3">
      <c r="A42" s="3">
        <v>2025</v>
      </c>
      <c r="B42" s="8" t="s">
        <v>14</v>
      </c>
      <c r="C42" s="2">
        <v>2180931</v>
      </c>
    </row>
    <row r="43" spans="1:3">
      <c r="A43" s="3">
        <v>2025</v>
      </c>
      <c r="B43" s="8" t="s">
        <v>14</v>
      </c>
      <c r="C43" s="2">
        <v>2193080</v>
      </c>
    </row>
    <row r="44" spans="1:3">
      <c r="A44" s="3">
        <v>2025</v>
      </c>
      <c r="B44" s="7" t="s">
        <v>14</v>
      </c>
      <c r="C44" s="2">
        <v>348307</v>
      </c>
    </row>
    <row r="45" spans="1:3">
      <c r="A45" s="3">
        <v>2025</v>
      </c>
      <c r="B45" s="6" t="s">
        <v>15</v>
      </c>
      <c r="C45" s="2">
        <v>2089842</v>
      </c>
    </row>
    <row r="46" spans="1:3">
      <c r="A46" s="3">
        <v>2025</v>
      </c>
      <c r="B46" s="4" t="s">
        <v>15</v>
      </c>
      <c r="C46" s="2">
        <v>2116378</v>
      </c>
    </row>
    <row r="47" spans="1:3">
      <c r="A47" s="3">
        <v>2025</v>
      </c>
      <c r="B47" s="4" t="s">
        <v>15</v>
      </c>
      <c r="C47" s="2">
        <v>2252086</v>
      </c>
    </row>
    <row r="48" spans="1:3">
      <c r="A48" s="3">
        <v>2025</v>
      </c>
      <c r="B48" s="4" t="s">
        <v>15</v>
      </c>
      <c r="C48" s="2">
        <v>2264291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FBCD-6398-41F8-BED0-4D041B8A5DB0}">
  <dimension ref="A1:BH54"/>
  <sheetViews>
    <sheetView workbookViewId="0">
      <selection activeCell="K18" sqref="K18"/>
    </sheetView>
  </sheetViews>
  <sheetFormatPr defaultRowHeight="15"/>
  <cols>
    <col min="1" max="1" width="22" bestFit="1" customWidth="1"/>
    <col min="2" max="2" width="9.42578125" bestFit="1" customWidth="1"/>
    <col min="3" max="6" width="10.42578125" bestFit="1" customWidth="1"/>
    <col min="7" max="7" width="9.42578125" bestFit="1" customWidth="1"/>
    <col min="8" max="10" width="10.42578125" bestFit="1" customWidth="1"/>
    <col min="11" max="11" width="9.42578125" bestFit="1" customWidth="1"/>
    <col min="12" max="14" width="10.42578125" bestFit="1" customWidth="1"/>
    <col min="17" max="19" width="9.42578125" bestFit="1" customWidth="1"/>
    <col min="21" max="23" width="9.42578125" bestFit="1" customWidth="1"/>
    <col min="25" max="27" width="9.42578125" bestFit="1" customWidth="1"/>
    <col min="29" max="32" width="9.42578125" bestFit="1" customWidth="1"/>
    <col min="34" max="36" width="9.42578125" bestFit="1" customWidth="1"/>
    <col min="38" max="40" width="9.42578125" bestFit="1" customWidth="1"/>
    <col min="43" max="45" width="9.42578125" bestFit="1" customWidth="1"/>
    <col min="47" max="52" width="9.42578125" bestFit="1" customWidth="1"/>
  </cols>
  <sheetData>
    <row r="1" spans="1:60">
      <c r="A1" t="str">
        <f>[2]ToC!A2</f>
        <v>Figure 3‑2. Weekly Number of Containerships Awaiting to Dock at U.S. Ports by Coast, October 3, 2023 – December 3, 2024</v>
      </c>
      <c r="BE1" s="12" t="s">
        <v>1</v>
      </c>
      <c r="BF1" s="13" t="s">
        <v>24</v>
      </c>
      <c r="BG1" s="13" t="s">
        <v>25</v>
      </c>
      <c r="BH1" s="13" t="s">
        <v>26</v>
      </c>
    </row>
    <row r="2" spans="1:60" s="15" customFormat="1">
      <c r="A2" s="12"/>
      <c r="B2" s="14">
        <v>45559</v>
      </c>
      <c r="C2" s="14">
        <v>45566</v>
      </c>
      <c r="D2" s="14">
        <v>45573</v>
      </c>
      <c r="E2" s="14">
        <v>45580</v>
      </c>
      <c r="F2" s="14">
        <v>45587</v>
      </c>
      <c r="G2" s="14">
        <v>45596</v>
      </c>
      <c r="H2" s="14">
        <v>45601</v>
      </c>
      <c r="I2" s="14">
        <v>45608</v>
      </c>
      <c r="J2" s="14">
        <v>45615</v>
      </c>
      <c r="K2" s="14">
        <v>45622</v>
      </c>
      <c r="L2" s="14">
        <v>45629</v>
      </c>
      <c r="M2" s="14">
        <v>45636</v>
      </c>
      <c r="N2" s="14">
        <v>45643</v>
      </c>
      <c r="O2" s="14">
        <v>45657</v>
      </c>
      <c r="P2" s="14">
        <v>45664</v>
      </c>
      <c r="Q2" s="14">
        <v>45671</v>
      </c>
      <c r="R2" s="14">
        <v>45678</v>
      </c>
      <c r="S2" s="14">
        <v>45685</v>
      </c>
      <c r="T2" s="14">
        <v>45692</v>
      </c>
      <c r="U2" s="14">
        <v>45699</v>
      </c>
      <c r="V2" s="14">
        <v>45706</v>
      </c>
      <c r="W2" s="14">
        <v>45713</v>
      </c>
      <c r="X2" s="14">
        <v>45720</v>
      </c>
      <c r="Y2" s="14">
        <v>45727</v>
      </c>
      <c r="Z2" s="14">
        <v>45734</v>
      </c>
      <c r="AA2" s="14">
        <v>45741</v>
      </c>
      <c r="AB2" s="14">
        <v>45748</v>
      </c>
      <c r="AC2" s="14">
        <v>45755</v>
      </c>
      <c r="AD2" s="14">
        <v>45762</v>
      </c>
      <c r="AE2" s="14">
        <v>45769</v>
      </c>
      <c r="AF2" s="14">
        <v>45776</v>
      </c>
      <c r="AG2" s="14">
        <v>45783</v>
      </c>
      <c r="AH2" s="14">
        <v>45790</v>
      </c>
      <c r="AI2" s="14">
        <v>45797</v>
      </c>
      <c r="AJ2" s="14">
        <v>45804</v>
      </c>
      <c r="AK2" s="14">
        <v>45811</v>
      </c>
      <c r="AL2" s="14">
        <v>45818</v>
      </c>
      <c r="AM2" s="14">
        <v>45825</v>
      </c>
      <c r="AN2" s="14">
        <v>45832</v>
      </c>
      <c r="AO2" s="14">
        <v>45839</v>
      </c>
      <c r="AP2" s="14">
        <v>45846</v>
      </c>
      <c r="AQ2" s="14">
        <v>45853</v>
      </c>
      <c r="AR2" s="14">
        <v>45860</v>
      </c>
      <c r="AS2" s="14">
        <v>45867</v>
      </c>
      <c r="AT2" s="14">
        <v>45874</v>
      </c>
      <c r="AU2" s="14">
        <v>45881</v>
      </c>
      <c r="AV2" s="14">
        <v>45888</v>
      </c>
      <c r="AW2" s="14">
        <v>45895</v>
      </c>
      <c r="AX2" s="14">
        <v>45902</v>
      </c>
      <c r="AY2" s="14">
        <v>45909</v>
      </c>
      <c r="AZ2" s="14">
        <v>45916</v>
      </c>
      <c r="BA2" s="14">
        <v>45923</v>
      </c>
      <c r="BB2" s="14">
        <v>45930</v>
      </c>
      <c r="BE2" s="14">
        <v>45559</v>
      </c>
      <c r="BF2" s="16">
        <v>2</v>
      </c>
      <c r="BG2" s="16">
        <v>15</v>
      </c>
      <c r="BH2" s="16">
        <v>2</v>
      </c>
    </row>
    <row r="3" spans="1:60">
      <c r="A3" s="13" t="s">
        <v>24</v>
      </c>
      <c r="B3" s="16">
        <v>2</v>
      </c>
      <c r="C3" s="16">
        <v>5</v>
      </c>
      <c r="D3" s="16">
        <v>3</v>
      </c>
      <c r="E3" s="16">
        <v>2</v>
      </c>
      <c r="F3" s="16">
        <v>2</v>
      </c>
      <c r="G3" s="16">
        <v>3</v>
      </c>
      <c r="H3" s="16">
        <v>2</v>
      </c>
      <c r="I3" s="16">
        <v>2</v>
      </c>
      <c r="J3" s="16">
        <v>3</v>
      </c>
      <c r="K3" s="16">
        <v>0</v>
      </c>
      <c r="L3" s="16">
        <v>2</v>
      </c>
      <c r="M3" s="16">
        <v>1</v>
      </c>
      <c r="N3" s="16">
        <v>2</v>
      </c>
      <c r="O3" s="16">
        <v>3</v>
      </c>
      <c r="P3" s="16">
        <v>5</v>
      </c>
      <c r="Q3" s="16">
        <v>7</v>
      </c>
      <c r="R3" s="16">
        <v>5</v>
      </c>
      <c r="S3" s="16">
        <v>4</v>
      </c>
      <c r="T3" s="16">
        <v>5</v>
      </c>
      <c r="U3" s="16">
        <v>3</v>
      </c>
      <c r="V3" s="16">
        <v>3</v>
      </c>
      <c r="W3" s="16">
        <v>4</v>
      </c>
      <c r="X3" s="16">
        <v>1</v>
      </c>
      <c r="Y3" s="16">
        <v>0</v>
      </c>
      <c r="Z3" s="16">
        <v>1</v>
      </c>
      <c r="AA3" s="16">
        <v>1</v>
      </c>
      <c r="AB3" s="16">
        <v>1</v>
      </c>
      <c r="AC3" s="16">
        <v>0</v>
      </c>
      <c r="AD3" s="16">
        <v>3</v>
      </c>
      <c r="AE3" s="16">
        <v>2</v>
      </c>
      <c r="AF3" s="16">
        <v>1</v>
      </c>
      <c r="AG3" s="16">
        <v>0</v>
      </c>
      <c r="AH3" s="16">
        <v>1</v>
      </c>
      <c r="AI3" s="16">
        <v>1</v>
      </c>
      <c r="AJ3" s="16">
        <v>3</v>
      </c>
      <c r="AK3" s="16">
        <v>2</v>
      </c>
      <c r="AL3" s="16">
        <v>1</v>
      </c>
      <c r="AM3" s="16">
        <v>2</v>
      </c>
      <c r="AN3" s="16">
        <v>1</v>
      </c>
      <c r="AO3" s="16">
        <v>1</v>
      </c>
      <c r="AP3" s="16">
        <v>2</v>
      </c>
      <c r="AQ3" s="16">
        <v>1</v>
      </c>
      <c r="AR3" s="16">
        <v>1</v>
      </c>
      <c r="AS3" s="16">
        <v>1</v>
      </c>
      <c r="AT3" s="16">
        <v>2</v>
      </c>
      <c r="AU3" s="16">
        <v>1</v>
      </c>
      <c r="AV3" s="16">
        <v>3</v>
      </c>
      <c r="AW3" s="16">
        <v>2</v>
      </c>
      <c r="AX3" s="16">
        <v>0</v>
      </c>
      <c r="AY3" s="16">
        <v>0</v>
      </c>
      <c r="AZ3" s="16">
        <v>1</v>
      </c>
      <c r="BA3" s="16">
        <v>2</v>
      </c>
      <c r="BB3" s="16">
        <v>1</v>
      </c>
      <c r="BE3" s="14">
        <v>45566</v>
      </c>
      <c r="BF3" s="16">
        <v>5</v>
      </c>
      <c r="BG3" s="16">
        <v>24</v>
      </c>
      <c r="BH3" s="16">
        <v>2</v>
      </c>
    </row>
    <row r="4" spans="1:60">
      <c r="A4" s="13" t="s">
        <v>25</v>
      </c>
      <c r="B4" s="16">
        <v>15</v>
      </c>
      <c r="C4" s="16">
        <v>24</v>
      </c>
      <c r="D4" s="16">
        <v>13</v>
      </c>
      <c r="E4" s="16">
        <v>19</v>
      </c>
      <c r="F4" s="16">
        <v>19</v>
      </c>
      <c r="G4" s="16">
        <v>16</v>
      </c>
      <c r="H4" s="16">
        <v>24</v>
      </c>
      <c r="I4" s="16">
        <v>19</v>
      </c>
      <c r="J4" s="16">
        <v>16</v>
      </c>
      <c r="K4" s="16">
        <v>16</v>
      </c>
      <c r="L4" s="16">
        <v>11</v>
      </c>
      <c r="M4" s="16">
        <v>10</v>
      </c>
      <c r="N4" s="16">
        <v>9</v>
      </c>
      <c r="O4" s="16">
        <v>16</v>
      </c>
      <c r="P4" s="16">
        <v>11</v>
      </c>
      <c r="Q4" s="16">
        <v>12</v>
      </c>
      <c r="R4" s="16">
        <v>14</v>
      </c>
      <c r="S4" s="16">
        <v>28</v>
      </c>
      <c r="T4" s="16">
        <v>26</v>
      </c>
      <c r="U4" s="16">
        <v>30</v>
      </c>
      <c r="V4" s="16">
        <v>30</v>
      </c>
      <c r="W4" s="16">
        <v>26</v>
      </c>
      <c r="X4" s="16">
        <v>14</v>
      </c>
      <c r="Y4" s="16">
        <v>18</v>
      </c>
      <c r="Z4" s="16">
        <v>14</v>
      </c>
      <c r="AA4" s="16">
        <v>22</v>
      </c>
      <c r="AB4" s="16">
        <v>17</v>
      </c>
      <c r="AC4" s="16">
        <v>8</v>
      </c>
      <c r="AD4" s="16">
        <v>7</v>
      </c>
      <c r="AE4" s="16">
        <v>9</v>
      </c>
      <c r="AF4" s="16">
        <v>6</v>
      </c>
      <c r="AG4" s="16">
        <v>8</v>
      </c>
      <c r="AH4" s="16">
        <v>2</v>
      </c>
      <c r="AI4" s="16">
        <v>3</v>
      </c>
      <c r="AJ4" s="16">
        <v>5</v>
      </c>
      <c r="AK4" s="16">
        <v>6</v>
      </c>
      <c r="AL4" s="16">
        <v>3</v>
      </c>
      <c r="AM4" s="16">
        <v>3</v>
      </c>
      <c r="AN4" s="16">
        <v>3</v>
      </c>
      <c r="AO4" s="16">
        <v>8</v>
      </c>
      <c r="AP4" s="16">
        <v>5</v>
      </c>
      <c r="AQ4" s="16">
        <v>8</v>
      </c>
      <c r="AR4" s="16">
        <v>7</v>
      </c>
      <c r="AS4" s="16">
        <v>6</v>
      </c>
      <c r="AT4" s="16">
        <v>12</v>
      </c>
      <c r="AU4" s="16">
        <v>10</v>
      </c>
      <c r="AV4" s="16">
        <v>5</v>
      </c>
      <c r="AW4" s="16">
        <v>12</v>
      </c>
      <c r="AX4" s="16">
        <v>20</v>
      </c>
      <c r="AY4" s="16">
        <v>8</v>
      </c>
      <c r="AZ4" s="16">
        <v>2</v>
      </c>
      <c r="BA4" s="16">
        <v>9</v>
      </c>
      <c r="BB4" s="16">
        <v>6</v>
      </c>
      <c r="BE4" s="14">
        <v>45573</v>
      </c>
      <c r="BF4" s="16">
        <v>3</v>
      </c>
      <c r="BG4" s="16">
        <v>13</v>
      </c>
      <c r="BH4" s="16">
        <v>2</v>
      </c>
    </row>
    <row r="5" spans="1:60">
      <c r="A5" s="13" t="s">
        <v>26</v>
      </c>
      <c r="B5" s="16">
        <v>2</v>
      </c>
      <c r="C5" s="16">
        <v>2</v>
      </c>
      <c r="D5" s="16">
        <v>2</v>
      </c>
      <c r="E5" s="16">
        <v>3</v>
      </c>
      <c r="F5" s="16">
        <v>2</v>
      </c>
      <c r="G5" s="16">
        <v>4</v>
      </c>
      <c r="H5" s="16">
        <v>1</v>
      </c>
      <c r="I5" s="16">
        <v>3</v>
      </c>
      <c r="J5" s="16">
        <v>0</v>
      </c>
      <c r="K5" s="16">
        <v>2</v>
      </c>
      <c r="L5" s="16">
        <v>1</v>
      </c>
      <c r="M5" s="16">
        <v>1</v>
      </c>
      <c r="N5" s="16">
        <v>2</v>
      </c>
      <c r="O5" s="16">
        <v>4</v>
      </c>
      <c r="P5" s="16">
        <v>3</v>
      </c>
      <c r="Q5" s="16">
        <v>1</v>
      </c>
      <c r="R5" s="16">
        <v>2</v>
      </c>
      <c r="S5" s="16">
        <v>3</v>
      </c>
      <c r="T5" s="16">
        <v>5</v>
      </c>
      <c r="U5" s="16">
        <v>9</v>
      </c>
      <c r="V5" s="16">
        <v>4</v>
      </c>
      <c r="W5" s="16">
        <v>4</v>
      </c>
      <c r="X5" s="16">
        <v>2</v>
      </c>
      <c r="Y5" s="16">
        <v>5</v>
      </c>
      <c r="Z5" s="16">
        <v>1</v>
      </c>
      <c r="AA5" s="16">
        <v>2</v>
      </c>
      <c r="AB5" s="16">
        <v>5</v>
      </c>
      <c r="AC5" s="16">
        <v>1</v>
      </c>
      <c r="AD5" s="16">
        <v>2</v>
      </c>
      <c r="AE5" s="16">
        <v>4</v>
      </c>
      <c r="AF5" s="16">
        <v>0</v>
      </c>
      <c r="AG5" s="16">
        <v>0</v>
      </c>
      <c r="AH5" s="16">
        <v>1</v>
      </c>
      <c r="AI5" s="16">
        <v>3</v>
      </c>
      <c r="AJ5" s="16">
        <v>2</v>
      </c>
      <c r="AK5" s="16">
        <v>1</v>
      </c>
      <c r="AL5" s="16">
        <v>0</v>
      </c>
      <c r="AM5" s="16">
        <v>2</v>
      </c>
      <c r="AN5" s="16">
        <v>0</v>
      </c>
      <c r="AO5" s="16">
        <v>5</v>
      </c>
      <c r="AP5" s="16">
        <v>2</v>
      </c>
      <c r="AQ5" s="16">
        <v>5</v>
      </c>
      <c r="AR5" s="16">
        <v>4</v>
      </c>
      <c r="AS5" s="16">
        <v>0</v>
      </c>
      <c r="AT5" s="16">
        <v>0</v>
      </c>
      <c r="AU5" s="16">
        <v>1</v>
      </c>
      <c r="AV5" s="16">
        <v>1</v>
      </c>
      <c r="AW5" s="16">
        <v>1</v>
      </c>
      <c r="AX5" s="16">
        <v>2</v>
      </c>
      <c r="AY5" s="16">
        <v>2</v>
      </c>
      <c r="AZ5" s="16">
        <v>1</v>
      </c>
      <c r="BA5" s="16">
        <v>1</v>
      </c>
      <c r="BB5" s="16">
        <v>2</v>
      </c>
      <c r="BE5" s="14">
        <v>45580</v>
      </c>
      <c r="BF5" s="16">
        <v>2</v>
      </c>
      <c r="BG5" s="16">
        <v>19</v>
      </c>
      <c r="BH5" s="16">
        <v>3</v>
      </c>
    </row>
    <row r="6" spans="1:60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E6" s="14">
        <v>45587</v>
      </c>
      <c r="BF6" s="16">
        <v>2</v>
      </c>
      <c r="BG6" s="16">
        <v>19</v>
      </c>
      <c r="BH6" s="16">
        <v>2</v>
      </c>
    </row>
    <row r="7" spans="1:60">
      <c r="BE7" s="14">
        <v>45596</v>
      </c>
      <c r="BF7" s="16">
        <v>3</v>
      </c>
      <c r="BG7" s="16">
        <v>16</v>
      </c>
      <c r="BH7" s="16">
        <v>4</v>
      </c>
    </row>
    <row r="8" spans="1:60">
      <c r="A8" s="12" t="s">
        <v>1</v>
      </c>
      <c r="BE8" s="14">
        <v>45601</v>
      </c>
      <c r="BF8" s="16">
        <v>2</v>
      </c>
      <c r="BG8" s="16">
        <v>24</v>
      </c>
      <c r="BH8" s="16">
        <v>1</v>
      </c>
    </row>
    <row r="9" spans="1:60">
      <c r="BE9" s="14">
        <v>45608</v>
      </c>
      <c r="BF9" s="16">
        <v>2</v>
      </c>
      <c r="BG9" s="16">
        <v>19</v>
      </c>
      <c r="BH9" s="16">
        <v>3</v>
      </c>
    </row>
    <row r="10" spans="1:60">
      <c r="BE10" s="14">
        <v>45615</v>
      </c>
      <c r="BF10" s="16">
        <v>3</v>
      </c>
      <c r="BG10" s="16">
        <v>16</v>
      </c>
      <c r="BH10" s="16">
        <v>0</v>
      </c>
    </row>
    <row r="11" spans="1:60">
      <c r="BE11" s="14">
        <v>45622</v>
      </c>
      <c r="BF11" s="16">
        <v>0</v>
      </c>
      <c r="BG11" s="16">
        <v>16</v>
      </c>
      <c r="BH11" s="16">
        <v>2</v>
      </c>
    </row>
    <row r="12" spans="1:60">
      <c r="BE12" s="14">
        <v>45629</v>
      </c>
      <c r="BF12" s="16">
        <v>2</v>
      </c>
      <c r="BG12" s="16">
        <v>11</v>
      </c>
      <c r="BH12" s="16">
        <v>1</v>
      </c>
    </row>
    <row r="13" spans="1:60">
      <c r="BE13" s="14">
        <v>45636</v>
      </c>
      <c r="BF13" s="16">
        <v>1</v>
      </c>
      <c r="BG13" s="16">
        <v>10</v>
      </c>
      <c r="BH13" s="16">
        <v>1</v>
      </c>
    </row>
    <row r="14" spans="1:60">
      <c r="BE14" s="14">
        <v>45643</v>
      </c>
      <c r="BF14" s="16">
        <v>2</v>
      </c>
      <c r="BG14" s="16">
        <v>9</v>
      </c>
      <c r="BH14" s="16">
        <v>2</v>
      </c>
    </row>
    <row r="15" spans="1:60">
      <c r="BE15" s="14">
        <v>45657</v>
      </c>
      <c r="BF15" s="16">
        <v>3</v>
      </c>
      <c r="BG15" s="16">
        <v>16</v>
      </c>
      <c r="BH15" s="16">
        <v>4</v>
      </c>
    </row>
    <row r="16" spans="1:60">
      <c r="BE16" s="14">
        <v>45664</v>
      </c>
      <c r="BF16" s="16">
        <v>5</v>
      </c>
      <c r="BG16" s="16">
        <v>11</v>
      </c>
      <c r="BH16" s="16">
        <v>3</v>
      </c>
    </row>
    <row r="17" spans="57:60">
      <c r="BE17" s="14">
        <v>45671</v>
      </c>
      <c r="BF17" s="16">
        <v>7</v>
      </c>
      <c r="BG17" s="16">
        <v>12</v>
      </c>
      <c r="BH17" s="16">
        <v>1</v>
      </c>
    </row>
    <row r="18" spans="57:60">
      <c r="BE18" s="14">
        <v>45678</v>
      </c>
      <c r="BF18" s="16">
        <v>5</v>
      </c>
      <c r="BG18" s="16">
        <v>14</v>
      </c>
      <c r="BH18" s="16">
        <v>2</v>
      </c>
    </row>
    <row r="19" spans="57:60">
      <c r="BE19" s="14">
        <v>45685</v>
      </c>
      <c r="BF19" s="16">
        <v>4</v>
      </c>
      <c r="BG19" s="16">
        <v>28</v>
      </c>
      <c r="BH19" s="16">
        <v>3</v>
      </c>
    </row>
    <row r="20" spans="57:60">
      <c r="BE20" s="14">
        <v>45692</v>
      </c>
      <c r="BF20" s="16">
        <v>5</v>
      </c>
      <c r="BG20" s="16">
        <v>26</v>
      </c>
      <c r="BH20" s="16">
        <v>5</v>
      </c>
    </row>
    <row r="21" spans="57:60">
      <c r="BE21" s="14">
        <v>45699</v>
      </c>
      <c r="BF21" s="16">
        <v>3</v>
      </c>
      <c r="BG21" s="16">
        <v>30</v>
      </c>
      <c r="BH21" s="16">
        <v>9</v>
      </c>
    </row>
    <row r="22" spans="57:60">
      <c r="BE22" s="14">
        <v>45706</v>
      </c>
      <c r="BF22" s="16">
        <v>3</v>
      </c>
      <c r="BG22" s="16">
        <v>30</v>
      </c>
      <c r="BH22" s="16">
        <v>4</v>
      </c>
    </row>
    <row r="23" spans="57:60">
      <c r="BE23" s="14">
        <v>45713</v>
      </c>
      <c r="BF23" s="16">
        <v>4</v>
      </c>
      <c r="BG23" s="16">
        <v>26</v>
      </c>
      <c r="BH23" s="16">
        <v>4</v>
      </c>
    </row>
    <row r="24" spans="57:60">
      <c r="BE24" s="14">
        <v>45720</v>
      </c>
      <c r="BF24" s="16">
        <v>1</v>
      </c>
      <c r="BG24" s="16">
        <v>14</v>
      </c>
      <c r="BH24" s="16">
        <v>2</v>
      </c>
    </row>
    <row r="25" spans="57:60">
      <c r="BE25" s="14">
        <v>45727</v>
      </c>
      <c r="BF25" s="16">
        <v>0</v>
      </c>
      <c r="BG25" s="16">
        <v>18</v>
      </c>
      <c r="BH25" s="16">
        <v>5</v>
      </c>
    </row>
    <row r="26" spans="57:60">
      <c r="BE26" s="14">
        <v>45734</v>
      </c>
      <c r="BF26" s="16">
        <v>1</v>
      </c>
      <c r="BG26" s="16">
        <v>14</v>
      </c>
      <c r="BH26" s="16">
        <v>1</v>
      </c>
    </row>
    <row r="27" spans="57:60">
      <c r="BE27" s="14">
        <v>45741</v>
      </c>
      <c r="BF27" s="16">
        <v>1</v>
      </c>
      <c r="BG27" s="16">
        <v>22</v>
      </c>
      <c r="BH27" s="16">
        <v>2</v>
      </c>
    </row>
    <row r="28" spans="57:60">
      <c r="BE28" s="14">
        <v>45748</v>
      </c>
      <c r="BF28" s="16">
        <v>1</v>
      </c>
      <c r="BG28" s="16">
        <v>17</v>
      </c>
      <c r="BH28" s="16">
        <v>5</v>
      </c>
    </row>
    <row r="29" spans="57:60">
      <c r="BE29" s="14">
        <v>45755</v>
      </c>
      <c r="BF29" s="16">
        <v>0</v>
      </c>
      <c r="BG29" s="16">
        <v>8</v>
      </c>
      <c r="BH29" s="16">
        <v>1</v>
      </c>
    </row>
    <row r="30" spans="57:60">
      <c r="BE30" s="14">
        <v>45762</v>
      </c>
      <c r="BF30" s="16">
        <v>3</v>
      </c>
      <c r="BG30" s="16">
        <v>7</v>
      </c>
      <c r="BH30" s="16">
        <v>2</v>
      </c>
    </row>
    <row r="31" spans="57:60">
      <c r="BE31" s="14">
        <v>45769</v>
      </c>
      <c r="BF31" s="16">
        <v>2</v>
      </c>
      <c r="BG31" s="16">
        <v>9</v>
      </c>
      <c r="BH31" s="16">
        <v>4</v>
      </c>
    </row>
    <row r="32" spans="57:60">
      <c r="BE32" s="14">
        <v>45776</v>
      </c>
      <c r="BF32" s="16">
        <v>1</v>
      </c>
      <c r="BG32" s="16">
        <v>6</v>
      </c>
      <c r="BH32" s="16">
        <v>0</v>
      </c>
    </row>
    <row r="33" spans="57:60">
      <c r="BE33" s="14">
        <v>45783</v>
      </c>
      <c r="BF33" s="16">
        <v>0</v>
      </c>
      <c r="BG33" s="16">
        <v>8</v>
      </c>
      <c r="BH33" s="16">
        <v>0</v>
      </c>
    </row>
    <row r="34" spans="57:60">
      <c r="BE34" s="14">
        <v>45790</v>
      </c>
      <c r="BF34" s="16">
        <v>1</v>
      </c>
      <c r="BG34" s="16">
        <v>2</v>
      </c>
      <c r="BH34" s="16">
        <v>1</v>
      </c>
    </row>
    <row r="35" spans="57:60">
      <c r="BE35" s="14">
        <v>45797</v>
      </c>
      <c r="BF35" s="16">
        <v>1</v>
      </c>
      <c r="BG35" s="16">
        <v>3</v>
      </c>
      <c r="BH35" s="16">
        <v>3</v>
      </c>
    </row>
    <row r="36" spans="57:60">
      <c r="BE36" s="14">
        <v>45804</v>
      </c>
      <c r="BF36" s="16">
        <v>3</v>
      </c>
      <c r="BG36" s="16">
        <v>5</v>
      </c>
      <c r="BH36" s="16">
        <v>2</v>
      </c>
    </row>
    <row r="37" spans="57:60">
      <c r="BE37" s="14">
        <v>45811</v>
      </c>
      <c r="BF37" s="16">
        <v>2</v>
      </c>
      <c r="BG37" s="16">
        <v>6</v>
      </c>
      <c r="BH37" s="16">
        <v>1</v>
      </c>
    </row>
    <row r="38" spans="57:60">
      <c r="BE38" s="14">
        <v>45818</v>
      </c>
      <c r="BF38" s="16">
        <v>1</v>
      </c>
      <c r="BG38" s="16">
        <v>3</v>
      </c>
      <c r="BH38" s="16">
        <v>0</v>
      </c>
    </row>
    <row r="39" spans="57:60">
      <c r="BE39" s="14">
        <v>45825</v>
      </c>
      <c r="BF39" s="16">
        <v>2</v>
      </c>
      <c r="BG39" s="16">
        <v>3</v>
      </c>
      <c r="BH39" s="16">
        <v>2</v>
      </c>
    </row>
    <row r="40" spans="57:60">
      <c r="BE40" s="14">
        <v>45832</v>
      </c>
      <c r="BF40" s="16">
        <v>1</v>
      </c>
      <c r="BG40" s="16">
        <v>3</v>
      </c>
      <c r="BH40" s="16">
        <v>0</v>
      </c>
    </row>
    <row r="41" spans="57:60">
      <c r="BE41" s="14">
        <v>45839</v>
      </c>
      <c r="BF41" s="16">
        <v>1</v>
      </c>
      <c r="BG41" s="16">
        <v>8</v>
      </c>
      <c r="BH41" s="16">
        <v>5</v>
      </c>
    </row>
    <row r="42" spans="57:60">
      <c r="BE42" s="14">
        <v>45846</v>
      </c>
      <c r="BF42" s="16">
        <v>2</v>
      </c>
      <c r="BG42" s="16">
        <v>5</v>
      </c>
      <c r="BH42" s="16">
        <v>2</v>
      </c>
    </row>
    <row r="43" spans="57:60">
      <c r="BE43" s="14">
        <v>45853</v>
      </c>
      <c r="BF43" s="16">
        <v>1</v>
      </c>
      <c r="BG43" s="16">
        <v>8</v>
      </c>
      <c r="BH43" s="16">
        <v>5</v>
      </c>
    </row>
    <row r="44" spans="57:60">
      <c r="BE44" s="14">
        <v>45860</v>
      </c>
      <c r="BF44" s="16">
        <v>1</v>
      </c>
      <c r="BG44" s="16">
        <v>7</v>
      </c>
      <c r="BH44" s="16">
        <v>4</v>
      </c>
    </row>
    <row r="45" spans="57:60">
      <c r="BE45" s="14">
        <v>45867</v>
      </c>
      <c r="BF45" s="16">
        <v>1</v>
      </c>
      <c r="BG45" s="16">
        <v>6</v>
      </c>
      <c r="BH45" s="16">
        <v>0</v>
      </c>
    </row>
    <row r="46" spans="57:60">
      <c r="BE46" s="14">
        <v>45874</v>
      </c>
      <c r="BF46" s="16">
        <v>2</v>
      </c>
      <c r="BG46" s="16">
        <v>12</v>
      </c>
      <c r="BH46" s="16">
        <v>0</v>
      </c>
    </row>
    <row r="47" spans="57:60">
      <c r="BE47" s="14">
        <v>45881</v>
      </c>
      <c r="BF47" s="16">
        <v>1</v>
      </c>
      <c r="BG47" s="16">
        <v>10</v>
      </c>
      <c r="BH47" s="16">
        <v>1</v>
      </c>
    </row>
    <row r="48" spans="57:60">
      <c r="BE48" s="14">
        <v>45888</v>
      </c>
      <c r="BF48" s="16">
        <v>3</v>
      </c>
      <c r="BG48" s="16">
        <v>5</v>
      </c>
      <c r="BH48" s="16">
        <v>1</v>
      </c>
    </row>
    <row r="49" spans="57:60">
      <c r="BE49" s="14">
        <v>45895</v>
      </c>
      <c r="BF49" s="16">
        <v>2</v>
      </c>
      <c r="BG49" s="16">
        <v>12</v>
      </c>
      <c r="BH49" s="16">
        <v>1</v>
      </c>
    </row>
    <row r="50" spans="57:60">
      <c r="BE50" s="14">
        <v>45902</v>
      </c>
      <c r="BF50" s="16">
        <v>0</v>
      </c>
      <c r="BG50" s="16">
        <v>20</v>
      </c>
      <c r="BH50" s="16">
        <v>2</v>
      </c>
    </row>
    <row r="51" spans="57:60">
      <c r="BE51" s="14">
        <v>45909</v>
      </c>
      <c r="BF51" s="16">
        <v>0</v>
      </c>
      <c r="BG51" s="16">
        <v>8</v>
      </c>
      <c r="BH51" s="16">
        <v>2</v>
      </c>
    </row>
    <row r="52" spans="57:60">
      <c r="BE52" s="14">
        <v>45916</v>
      </c>
      <c r="BF52" s="16">
        <v>1</v>
      </c>
      <c r="BG52" s="16">
        <v>2</v>
      </c>
      <c r="BH52" s="16">
        <v>1</v>
      </c>
    </row>
    <row r="53" spans="57:60">
      <c r="BE53" s="14">
        <v>45923</v>
      </c>
      <c r="BF53" s="16">
        <v>2</v>
      </c>
      <c r="BG53" s="16">
        <v>9</v>
      </c>
      <c r="BH53" s="16">
        <v>1</v>
      </c>
    </row>
    <row r="54" spans="57:60">
      <c r="BE54" s="14">
        <v>45930</v>
      </c>
      <c r="BF54" s="16">
        <v>1</v>
      </c>
      <c r="BG54" s="16">
        <v>6</v>
      </c>
      <c r="BH54" s="16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4D2C-951A-499C-A0E0-9C1F1BE2DF31}">
  <dimension ref="A1:D26"/>
  <sheetViews>
    <sheetView workbookViewId="0">
      <selection activeCell="J19" sqref="J19"/>
    </sheetView>
  </sheetViews>
  <sheetFormatPr defaultRowHeight="15"/>
  <cols>
    <col min="1" max="1" width="41.7109375" customWidth="1"/>
    <col min="2" max="2" width="17.28515625" customWidth="1"/>
    <col min="3" max="3" width="13.140625" customWidth="1"/>
  </cols>
  <sheetData>
    <row r="1" spans="1:4" ht="60">
      <c r="A1" s="9" t="s">
        <v>27</v>
      </c>
      <c r="B1" s="10" t="s">
        <v>28</v>
      </c>
      <c r="C1" s="10" t="s">
        <v>29</v>
      </c>
      <c r="D1" s="10" t="s">
        <v>30</v>
      </c>
    </row>
    <row r="2" spans="1:4">
      <c r="A2" s="9" t="s">
        <v>31</v>
      </c>
      <c r="B2" s="11">
        <v>8</v>
      </c>
      <c r="C2" s="11">
        <v>8</v>
      </c>
      <c r="D2" s="11">
        <v>16</v>
      </c>
    </row>
    <row r="3" spans="1:4">
      <c r="A3" s="9" t="s">
        <v>32</v>
      </c>
      <c r="B3" s="11">
        <v>0</v>
      </c>
      <c r="C3" s="11">
        <v>3</v>
      </c>
      <c r="D3" s="11">
        <v>3</v>
      </c>
    </row>
    <row r="4" spans="1:4">
      <c r="A4" s="9" t="s">
        <v>33</v>
      </c>
      <c r="B4" s="11">
        <v>8</v>
      </c>
      <c r="C4" s="11">
        <v>16</v>
      </c>
      <c r="D4" s="11">
        <v>24</v>
      </c>
    </row>
    <row r="5" spans="1:4">
      <c r="A5" s="9" t="s">
        <v>34</v>
      </c>
      <c r="B5" s="11">
        <v>6</v>
      </c>
      <c r="C5" s="11">
        <v>0</v>
      </c>
      <c r="D5" s="11">
        <v>6</v>
      </c>
    </row>
    <row r="6" spans="1:4">
      <c r="A6" s="9" t="s">
        <v>35</v>
      </c>
      <c r="B6" s="11">
        <v>0</v>
      </c>
      <c r="C6" s="11">
        <v>5</v>
      </c>
      <c r="D6" s="11">
        <v>5</v>
      </c>
    </row>
    <row r="7" spans="1:4">
      <c r="A7" s="9" t="s">
        <v>36</v>
      </c>
      <c r="B7" s="11">
        <v>5</v>
      </c>
      <c r="C7" s="11">
        <v>2</v>
      </c>
      <c r="D7" s="11">
        <v>7</v>
      </c>
    </row>
    <row r="8" spans="1:4">
      <c r="A8" s="9" t="s">
        <v>37</v>
      </c>
      <c r="B8" s="11">
        <v>26</v>
      </c>
      <c r="C8" s="11">
        <v>44</v>
      </c>
      <c r="D8" s="11">
        <v>70</v>
      </c>
    </row>
    <row r="9" spans="1:4">
      <c r="A9" s="9" t="s">
        <v>38</v>
      </c>
      <c r="B9" s="11">
        <v>6</v>
      </c>
      <c r="C9" s="11">
        <v>9</v>
      </c>
      <c r="D9" s="11">
        <v>15</v>
      </c>
    </row>
    <row r="10" spans="1:4">
      <c r="A10" s="9" t="s">
        <v>39</v>
      </c>
      <c r="B10" s="11">
        <v>0</v>
      </c>
      <c r="C10" s="11">
        <v>3</v>
      </c>
      <c r="D10" s="11">
        <v>3</v>
      </c>
    </row>
    <row r="11" spans="1:4">
      <c r="A11" s="9" t="s">
        <v>40</v>
      </c>
      <c r="B11" s="9">
        <v>3</v>
      </c>
      <c r="C11" s="9">
        <v>4</v>
      </c>
      <c r="D11" s="9">
        <v>7</v>
      </c>
    </row>
    <row r="12" spans="1:4">
      <c r="A12" s="9" t="s">
        <v>41</v>
      </c>
      <c r="B12" s="11">
        <v>22</v>
      </c>
      <c r="C12" s="11">
        <v>3</v>
      </c>
      <c r="D12" s="11">
        <v>25</v>
      </c>
    </row>
    <row r="13" spans="1:4">
      <c r="A13" s="9" t="s">
        <v>42</v>
      </c>
      <c r="B13" s="11">
        <v>27</v>
      </c>
      <c r="C13" s="11">
        <v>10</v>
      </c>
      <c r="D13" s="11">
        <v>37</v>
      </c>
    </row>
    <row r="14" spans="1:4">
      <c r="A14" s="9" t="s">
        <v>43</v>
      </c>
      <c r="B14" s="11">
        <v>2</v>
      </c>
      <c r="C14" s="11">
        <v>73</v>
      </c>
      <c r="D14" s="11">
        <v>75</v>
      </c>
    </row>
    <row r="15" spans="1:4">
      <c r="A15" s="9" t="s">
        <v>44</v>
      </c>
      <c r="B15" s="11">
        <v>19</v>
      </c>
      <c r="C15" s="11">
        <v>65</v>
      </c>
      <c r="D15" s="11">
        <v>84</v>
      </c>
    </row>
    <row r="16" spans="1:4">
      <c r="A16" s="9" t="s">
        <v>45</v>
      </c>
      <c r="B16" s="11">
        <v>4</v>
      </c>
      <c r="C16" s="11">
        <v>5</v>
      </c>
      <c r="D16" s="11">
        <v>9</v>
      </c>
    </row>
    <row r="17" spans="1:4">
      <c r="A17" s="9" t="s">
        <v>46</v>
      </c>
      <c r="B17" s="11">
        <v>16</v>
      </c>
      <c r="C17" s="11">
        <v>17</v>
      </c>
      <c r="D17" s="11">
        <v>33</v>
      </c>
    </row>
    <row r="18" spans="1:4">
      <c r="A18" s="9" t="s">
        <v>47</v>
      </c>
      <c r="B18" s="11">
        <v>38</v>
      </c>
      <c r="C18" s="11">
        <v>0</v>
      </c>
      <c r="D18" s="11">
        <v>38</v>
      </c>
    </row>
    <row r="19" spans="1:4">
      <c r="A19" s="9" t="s">
        <v>48</v>
      </c>
      <c r="B19" s="11">
        <v>19</v>
      </c>
      <c r="C19" s="11">
        <v>3</v>
      </c>
      <c r="D19" s="11">
        <v>22</v>
      </c>
    </row>
    <row r="20" spans="1:4">
      <c r="A20" s="9" t="s">
        <v>49</v>
      </c>
      <c r="B20" s="11">
        <v>31</v>
      </c>
      <c r="C20" s="11">
        <v>0</v>
      </c>
      <c r="D20" s="11">
        <v>31</v>
      </c>
    </row>
    <row r="21" spans="1:4">
      <c r="A21" s="9" t="s">
        <v>50</v>
      </c>
      <c r="B21" s="11">
        <v>6</v>
      </c>
      <c r="C21" s="11">
        <v>7</v>
      </c>
      <c r="D21" s="11">
        <v>13</v>
      </c>
    </row>
    <row r="22" spans="1:4">
      <c r="A22" s="9" t="s">
        <v>51</v>
      </c>
      <c r="B22" s="11">
        <v>0</v>
      </c>
      <c r="C22" s="11">
        <v>11</v>
      </c>
      <c r="D22" s="11">
        <v>11</v>
      </c>
    </row>
    <row r="23" spans="1:4">
      <c r="A23" s="9" t="s">
        <v>52</v>
      </c>
      <c r="B23" s="11">
        <v>0</v>
      </c>
      <c r="C23" s="11">
        <v>2</v>
      </c>
      <c r="D23" s="11">
        <v>2</v>
      </c>
    </row>
    <row r="24" spans="1:4">
      <c r="A24" s="9" t="s">
        <v>53</v>
      </c>
      <c r="B24" s="11">
        <v>19</v>
      </c>
      <c r="C24" s="11">
        <v>16</v>
      </c>
      <c r="D24" s="11">
        <v>35</v>
      </c>
    </row>
    <row r="25" spans="1:4">
      <c r="A25" s="9" t="s">
        <v>54</v>
      </c>
      <c r="B25" s="11">
        <v>0</v>
      </c>
      <c r="C25" s="11">
        <v>5</v>
      </c>
      <c r="D25" s="11">
        <v>5</v>
      </c>
    </row>
    <row r="26" spans="1:4">
      <c r="A26" s="9" t="s">
        <v>55</v>
      </c>
      <c r="B26" s="11">
        <v>3</v>
      </c>
      <c r="C26" s="11">
        <v>4</v>
      </c>
      <c r="D26" s="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CF53-CDA2-467E-A151-85C09788797B}">
  <dimension ref="A1:C26"/>
  <sheetViews>
    <sheetView tabSelected="1" workbookViewId="0">
      <selection activeCell="I17" sqref="I17"/>
    </sheetView>
  </sheetViews>
  <sheetFormatPr defaultRowHeight="15"/>
  <cols>
    <col min="1" max="1" width="44.28515625" bestFit="1" customWidth="1"/>
    <col min="2" max="2" width="23.7109375" customWidth="1"/>
    <col min="3" max="3" width="40.5703125" bestFit="1" customWidth="1"/>
  </cols>
  <sheetData>
    <row r="1" spans="1:3">
      <c r="A1" s="9" t="s">
        <v>27</v>
      </c>
      <c r="B1" s="11" t="s">
        <v>56</v>
      </c>
      <c r="C1" s="11" t="s">
        <v>57</v>
      </c>
    </row>
    <row r="2" spans="1:3">
      <c r="A2" s="9" t="s">
        <v>31</v>
      </c>
      <c r="B2" s="11">
        <v>2</v>
      </c>
      <c r="C2" s="11">
        <v>1</v>
      </c>
    </row>
    <row r="3" spans="1:3">
      <c r="A3" s="9" t="s">
        <v>32</v>
      </c>
      <c r="B3" s="11">
        <v>1</v>
      </c>
      <c r="C3" s="11">
        <v>0</v>
      </c>
    </row>
    <row r="4" spans="1:3">
      <c r="A4" s="9" t="s">
        <v>33</v>
      </c>
      <c r="B4" s="11">
        <v>3</v>
      </c>
      <c r="C4" s="11">
        <v>2</v>
      </c>
    </row>
    <row r="5" spans="1:3">
      <c r="A5" s="9" t="s">
        <v>34</v>
      </c>
      <c r="B5" s="11">
        <v>1</v>
      </c>
      <c r="C5" s="11">
        <v>1</v>
      </c>
    </row>
    <row r="6" spans="1:3">
      <c r="A6" s="9" t="s">
        <v>35</v>
      </c>
      <c r="B6" s="11">
        <v>1</v>
      </c>
      <c r="C6" s="11">
        <v>0</v>
      </c>
    </row>
    <row r="7" spans="1:3">
      <c r="A7" s="9" t="s">
        <v>36</v>
      </c>
      <c r="B7" s="11">
        <v>2</v>
      </c>
      <c r="C7" s="11">
        <v>1</v>
      </c>
    </row>
    <row r="8" spans="1:3">
      <c r="A8" s="9" t="s">
        <v>37</v>
      </c>
      <c r="B8" s="11">
        <v>6</v>
      </c>
      <c r="C8" s="11">
        <v>4</v>
      </c>
    </row>
    <row r="9" spans="1:3">
      <c r="A9" s="9" t="s">
        <v>38</v>
      </c>
      <c r="B9" s="11">
        <v>2</v>
      </c>
      <c r="C9" s="11">
        <v>0</v>
      </c>
    </row>
    <row r="10" spans="1:3">
      <c r="A10" s="9" t="s">
        <v>39</v>
      </c>
      <c r="B10" s="11">
        <v>1</v>
      </c>
      <c r="C10" s="11">
        <v>0</v>
      </c>
    </row>
    <row r="11" spans="1:3">
      <c r="A11" s="9" t="s">
        <v>40</v>
      </c>
      <c r="B11" s="9">
        <v>1</v>
      </c>
      <c r="C11" s="9">
        <v>0</v>
      </c>
    </row>
    <row r="12" spans="1:3">
      <c r="A12" s="9" t="s">
        <v>41</v>
      </c>
      <c r="B12" s="11">
        <v>3</v>
      </c>
      <c r="C12" s="11">
        <v>0</v>
      </c>
    </row>
    <row r="13" spans="1:3">
      <c r="A13" s="9" t="s">
        <v>42</v>
      </c>
      <c r="B13" s="11">
        <v>2</v>
      </c>
      <c r="C13" s="11">
        <v>1</v>
      </c>
    </row>
    <row r="14" spans="1:3">
      <c r="A14" s="9" t="s">
        <v>43</v>
      </c>
      <c r="B14" s="11">
        <v>6</v>
      </c>
      <c r="C14" s="11">
        <v>5</v>
      </c>
    </row>
    <row r="15" spans="1:3">
      <c r="A15" s="9" t="s">
        <v>44</v>
      </c>
      <c r="B15" s="11">
        <v>7</v>
      </c>
      <c r="C15" s="11">
        <v>5</v>
      </c>
    </row>
    <row r="16" spans="1:3">
      <c r="A16" s="9" t="s">
        <v>45</v>
      </c>
      <c r="B16" s="11">
        <v>1</v>
      </c>
      <c r="C16" s="11">
        <v>1</v>
      </c>
    </row>
    <row r="17" spans="1:3">
      <c r="A17" s="9" t="s">
        <v>46</v>
      </c>
      <c r="B17" s="11">
        <v>6</v>
      </c>
      <c r="C17" s="11">
        <v>0</v>
      </c>
    </row>
    <row r="18" spans="1:3">
      <c r="A18" s="9" t="s">
        <v>47</v>
      </c>
      <c r="B18" s="11">
        <v>2</v>
      </c>
      <c r="C18" s="11">
        <v>2</v>
      </c>
    </row>
    <row r="19" spans="1:3">
      <c r="A19" s="9" t="s">
        <v>48</v>
      </c>
      <c r="B19" s="11">
        <v>3</v>
      </c>
      <c r="C19" s="11">
        <v>2</v>
      </c>
    </row>
    <row r="20" spans="1:3">
      <c r="A20" s="9" t="s">
        <v>49</v>
      </c>
      <c r="B20" s="11">
        <v>2</v>
      </c>
      <c r="C20" s="11">
        <v>2</v>
      </c>
    </row>
    <row r="21" spans="1:3">
      <c r="A21" s="9" t="s">
        <v>50</v>
      </c>
      <c r="B21" s="11">
        <v>3</v>
      </c>
      <c r="C21" s="11">
        <v>1</v>
      </c>
    </row>
    <row r="22" spans="1:3">
      <c r="A22" s="9" t="s">
        <v>51</v>
      </c>
      <c r="B22" s="11">
        <v>2</v>
      </c>
      <c r="C22" s="11">
        <v>0</v>
      </c>
    </row>
    <row r="23" spans="1:3">
      <c r="A23" s="9" t="s">
        <v>52</v>
      </c>
      <c r="B23" s="11">
        <v>1</v>
      </c>
      <c r="C23" s="11">
        <v>1</v>
      </c>
    </row>
    <row r="24" spans="1:3">
      <c r="A24" s="9" t="s">
        <v>53</v>
      </c>
      <c r="B24" s="11">
        <v>6</v>
      </c>
      <c r="C24" s="11">
        <v>4</v>
      </c>
    </row>
    <row r="25" spans="1:3">
      <c r="A25" s="9" t="s">
        <v>54</v>
      </c>
      <c r="B25" s="11">
        <v>1</v>
      </c>
      <c r="C25" s="11">
        <v>0</v>
      </c>
    </row>
    <row r="26" spans="1:3">
      <c r="A26" s="9" t="s">
        <v>55</v>
      </c>
      <c r="B26" s="11">
        <v>1</v>
      </c>
      <c r="C26" s="1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4df1556fee492d0a672c5754705c50a2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b2478c0625dea977ad92b10761fd21be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Props1.xml><?xml version="1.0" encoding="utf-8"?>
<ds:datastoreItem xmlns:ds="http://schemas.openxmlformats.org/officeDocument/2006/customXml" ds:itemID="{FCCD3D53-3901-4964-BCE6-FF8A8578B4E0}"/>
</file>

<file path=customXml/itemProps2.xml><?xml version="1.0" encoding="utf-8"?>
<ds:datastoreItem xmlns:ds="http://schemas.openxmlformats.org/officeDocument/2006/customXml" ds:itemID="{6DEFE5C0-E7C5-4CDA-9C18-8E01C042688E}"/>
</file>

<file path=customXml/itemProps3.xml><?xml version="1.0" encoding="utf-8"?>
<ds:datastoreItem xmlns:ds="http://schemas.openxmlformats.org/officeDocument/2006/customXml" ds:itemID="{FF24AE41-0A17-4529-A2B0-F240DF87E42E}"/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 Carpio, Nubia CTR (OST)</dc:creator>
  <cp:keywords/>
  <dc:description/>
  <cp:lastModifiedBy>Ismail, Ahmed</cp:lastModifiedBy>
  <cp:revision/>
  <dcterms:created xsi:type="dcterms:W3CDTF">2015-06-05T18:17:20Z</dcterms:created>
  <dcterms:modified xsi:type="dcterms:W3CDTF">2025-12-02T17:29:23Z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  <property fmtid="{D5CDD505-2E9C-101B-9397-08002B2CF9AE}" pid="3" name="MediaServiceImageTags">
    <vt:lpwstr/>
  </property>
</Properties>
</file>