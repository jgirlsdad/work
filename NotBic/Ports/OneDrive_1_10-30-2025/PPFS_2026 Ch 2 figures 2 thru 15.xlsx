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joe\work\NotBic\Ports\OneDrive_1_10-30-2025\"/>
    </mc:Choice>
  </mc:AlternateContent>
  <xr:revisionPtr revIDLastSave="0" documentId="13_ncr:1_{47B95E41-E66D-4DA7-829D-F14C10D3C7F7}" xr6:coauthVersionLast="47" xr6:coauthVersionMax="47" xr10:uidLastSave="{00000000-0000-0000-0000-000000000000}"/>
  <bookViews>
    <workbookView xWindow="-8765" yWindow="2245" windowWidth="22950" windowHeight="11000" tabRatio="924" xr2:uid="{00000000-000D-0000-FFFF-FFFF00000000}"/>
  </bookViews>
  <sheets>
    <sheet name="ToC" sheetId="67" r:id="rId1"/>
    <sheet name="T 2" sheetId="3" r:id="rId2"/>
    <sheet name="T 3" sheetId="5" r:id="rId3"/>
    <sheet name="T 4" sheetId="46" r:id="rId4"/>
    <sheet name="T 5" sheetId="9" r:id="rId5"/>
    <sheet name="F 2" sheetId="61" r:id="rId6"/>
    <sheet name="F 4" sheetId="68" r:id="rId7"/>
    <sheet name="F 6" sheetId="69" r:id="rId8"/>
    <sheet name="F 8" sheetId="70" r:id="rId9"/>
    <sheet name="F 9" sheetId="47" r:id="rId10"/>
    <sheet name="F 10" sheetId="48" r:id="rId11"/>
    <sheet name="F 11" sheetId="54" r:id="rId12"/>
    <sheet name="F 12" sheetId="55" r:id="rId13"/>
    <sheet name="F 13" sheetId="57" r:id="rId14"/>
    <sheet name="F 14" sheetId="58" r:id="rId15"/>
    <sheet name="F 15" sheetId="59" r:id="rId16"/>
  </sheets>
  <definedNames>
    <definedName name="_xlnm._FilterDatabase" localSheetId="4" hidden="1">'T 5'!$F$1:$I$39</definedName>
    <definedName name="_Ref150850931" localSheetId="4">'T 5'!$A$1</definedName>
    <definedName name="_Ref185261844" localSheetId="5">'F 2'!$A$1</definedName>
    <definedName name="_Ref185261844" localSheetId="6">'F 4'!$A$1</definedName>
    <definedName name="_Ref185261844" localSheetId="7">'F 6'!$A$1</definedName>
    <definedName name="_Toc185522622" localSheetId="8">'F 8'!$A$1</definedName>
    <definedName name="_Toc185522624" localSheetId="9">'F 9'!$A$1</definedName>
    <definedName name="_Toc185522625" localSheetId="10">'F 10'!$A$1</definedName>
    <definedName name="_Toc185522626" localSheetId="11">'F 11'!$A$1</definedName>
    <definedName name="_Toc185522627" localSheetId="12">'F 12'!$A$1</definedName>
    <definedName name="_Toc185522630" localSheetId="15">'F 15'!$A$1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0" l="1"/>
  <c r="A1" i="69" l="1"/>
  <c r="A1" i="68" l="1"/>
  <c r="A1" i="59"/>
  <c r="A1" i="58"/>
  <c r="A1" i="57"/>
  <c r="A1" i="55"/>
  <c r="A1" i="54"/>
  <c r="A1" i="48"/>
  <c r="A1" i="47"/>
  <c r="A1" i="61"/>
  <c r="A1" i="9"/>
  <c r="A1" i="46"/>
  <c r="A1" i="5"/>
  <c r="A1" i="3"/>
</calcChain>
</file>

<file path=xl/sharedStrings.xml><?xml version="1.0" encoding="utf-8"?>
<sst xmlns="http://schemas.openxmlformats.org/spreadsheetml/2006/main" count="6097" uniqueCount="170">
  <si>
    <t>Figure 2. Percentage of Total Tonnage Handled by U.S. Ports by Coast, 2023</t>
  </si>
  <si>
    <t>Figure 3. Location of Top 25 Ports by Total Tonnage, 2023</t>
  </si>
  <si>
    <t>Figure 4. Percentage of Dry Bulk Tonnage Handled by U.S. Ports by Coast, 2023</t>
  </si>
  <si>
    <t>Figure 5. Location of Top 25 Ports by Dry Bulk Tonnage, 2023</t>
  </si>
  <si>
    <t>Figure 6. Percentage of TEUs Handled by U.S. Ports by Coast, 2023</t>
  </si>
  <si>
    <t>Figure 7. Location of Top 25 Container Ports by TEU, 2023</t>
  </si>
  <si>
    <t>Figure 8. TEU Empty Imports by Port, 2022 - 2025</t>
  </si>
  <si>
    <t>Figure 9: TEU Empty Exports by Port, 2022 through 2025</t>
  </si>
  <si>
    <t>Figure 10. Top Five Commodities for East Coast Ports by Traffic Direction, 2023</t>
  </si>
  <si>
    <t>Figure 11. Top Five Commodities for Great Lake Ports by Traffic Direction, 2023</t>
  </si>
  <si>
    <t>Figure 12. Top Five Commodities for Gulf Coast Ports by Traffic Direction, 2023</t>
  </si>
  <si>
    <t>Figure 13. Top Five Commodities for West Coast Ports by Traffic Direction, 2023</t>
  </si>
  <si>
    <t>Figure 14. Top Five Commodities for Inland Ports by Traffic Direction, 2023</t>
  </si>
  <si>
    <t>Figure 15. Top Five Commodities for Ports Outside the Continental United States (Oconus) by Traffic Direction, 2023</t>
  </si>
  <si>
    <t>Rank</t>
  </si>
  <si>
    <t>Port</t>
  </si>
  <si>
    <t>Total (millions of short tons)</t>
  </si>
  <si>
    <t>Houston Port Authority, TX</t>
  </si>
  <si>
    <t>South Louisiana, LA, Port of</t>
  </si>
  <si>
    <t>Corpus Christi, TX</t>
  </si>
  <si>
    <t>New York, NY &amp; NJ</t>
  </si>
  <si>
    <t>Beaumont, TX</t>
  </si>
  <si>
    <t>Port of Long Beach, CA</t>
  </si>
  <si>
    <t>New Orleans, LA</t>
  </si>
  <si>
    <t>Port of Greater Baton Rouge, LA</t>
  </si>
  <si>
    <t>Virginia, VA, Port of</t>
  </si>
  <si>
    <t>Lake Charles Harbor District, LA</t>
  </si>
  <si>
    <t>Port of Los Angeles, CA</t>
  </si>
  <si>
    <t>Mobile, AL</t>
  </si>
  <si>
    <t>Plaquemines Port District, LA</t>
  </si>
  <si>
    <t>Baltimore, MD</t>
  </si>
  <si>
    <t>Port of Savannah, GA</t>
  </si>
  <si>
    <t>Port Arthur, TX</t>
  </si>
  <si>
    <t>Port Freeport, TX</t>
  </si>
  <si>
    <t>Tampa Port Authority, FL</t>
  </si>
  <si>
    <t>Philadelphia Regional Port, PA</t>
  </si>
  <si>
    <t>Duluth-Superior, MN and WI</t>
  </si>
  <si>
    <t>Texas City, TX</t>
  </si>
  <si>
    <t>Port of Pascagoula, MS</t>
  </si>
  <si>
    <t>Southern Indiana District, IN</t>
  </si>
  <si>
    <t>Port of Charleston, SC</t>
  </si>
  <si>
    <t>Northern Indiana District, IN</t>
  </si>
  <si>
    <t>Pittsburgh, PA Port of</t>
  </si>
  <si>
    <t>Port of Kalama, WA</t>
  </si>
  <si>
    <t>Two Harbors, MN</t>
  </si>
  <si>
    <t>Cleveland-Cuyahoga Port, OH</t>
  </si>
  <si>
    <t>New Bourbon Port Authority, MO</t>
  </si>
  <si>
    <t>Toledo-Lucas County Port, OH</t>
  </si>
  <si>
    <t>Mid-America Port, IA, IL and MO</t>
  </si>
  <si>
    <t>Port of Portland, OR</t>
  </si>
  <si>
    <t>Detroit-Wayne County Port, MI</t>
  </si>
  <si>
    <t>Seattle, WA</t>
  </si>
  <si>
    <t>RANK</t>
  </si>
  <si>
    <t>PORT</t>
  </si>
  <si>
    <t>TOTAL</t>
  </si>
  <si>
    <t>Port of Oakland, CA</t>
  </si>
  <si>
    <t>Tacoma, WA</t>
  </si>
  <si>
    <t>Jacksonville, FL</t>
  </si>
  <si>
    <t>PortMiami, FL</t>
  </si>
  <si>
    <t>San Juan, PR</t>
  </si>
  <si>
    <t>Honolulu, O'ahu, HI</t>
  </si>
  <si>
    <t>Port Everglades, FL</t>
  </si>
  <si>
    <t>Port of Alaska, AK</t>
  </si>
  <si>
    <t>Wilmington, NC</t>
  </si>
  <si>
    <t>Boston, MA</t>
  </si>
  <si>
    <t>Wilmington, DE</t>
  </si>
  <si>
    <t>Oxnard Harbor District, CA</t>
  </si>
  <si>
    <t>South Jersey Port Corp, NJ</t>
  </si>
  <si>
    <t>Total Tonnage Rank</t>
  </si>
  <si>
    <t>Dry Bulk Rank</t>
  </si>
  <si>
    <t>TEU Rank</t>
  </si>
  <si>
    <t>n/a</t>
  </si>
  <si>
    <t>Coast</t>
  </si>
  <si>
    <t>Short Tons</t>
  </si>
  <si>
    <t>East</t>
  </si>
  <si>
    <t>Great Lakes</t>
  </si>
  <si>
    <t>Gulf</t>
  </si>
  <si>
    <t>Inland</t>
  </si>
  <si>
    <t>Oconus</t>
  </si>
  <si>
    <t>West</t>
  </si>
  <si>
    <t>City</t>
  </si>
  <si>
    <t>State</t>
  </si>
  <si>
    <t>Date</t>
  </si>
  <si>
    <t>TEUs</t>
  </si>
  <si>
    <t>Type</t>
  </si>
  <si>
    <t>Sum of TEUs</t>
  </si>
  <si>
    <t>Column Labels</t>
  </si>
  <si>
    <t>Import, Empty TEU</t>
  </si>
  <si>
    <t>Charleston, SC</t>
  </si>
  <si>
    <t>Charleston</t>
  </si>
  <si>
    <t>South Carolina</t>
  </si>
  <si>
    <t>Import, Empty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</si>
  <si>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</si>
  <si>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</si>
  <si>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</si>
  <si>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</si>
  <si>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</si>
  <si>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</si>
  <si>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</si>
  <si>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</si>
  <si>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Row Labels</t>
  </si>
  <si>
    <t>Jan-July 2025</t>
  </si>
  <si>
    <t>Houston, TX</t>
  </si>
  <si>
    <t>Long Beach, CA</t>
  </si>
  <si>
    <t>Los Angeles, CA</t>
  </si>
  <si>
    <t>NWSA (Seattle &amp; Tacoma, WA)</t>
  </si>
  <si>
    <t>Oakland, CA</t>
  </si>
  <si>
    <t>Port of NY &amp; NJ</t>
  </si>
  <si>
    <t>Port of Virginia, VA</t>
  </si>
  <si>
    <t>Savannah, GA</t>
  </si>
  <si>
    <t>Houston</t>
  </si>
  <si>
    <t xml:space="preserve">Texas </t>
  </si>
  <si>
    <t>Long Beach</t>
  </si>
  <si>
    <t>California</t>
  </si>
  <si>
    <t>Los Angeles</t>
  </si>
  <si>
    <t>Seattle</t>
  </si>
  <si>
    <t>Washington</t>
  </si>
  <si>
    <t>Oakland</t>
  </si>
  <si>
    <t>New York</t>
  </si>
  <si>
    <t>Norfolk</t>
  </si>
  <si>
    <t xml:space="preserve">Virginia </t>
  </si>
  <si>
    <t>Savannah</t>
  </si>
  <si>
    <t>Georgia</t>
  </si>
  <si>
    <t>Export, Empty</t>
  </si>
  <si>
    <t>&lt;1/1/2019</t>
  </si>
  <si>
    <t>Sum of Export, Empty TEU</t>
  </si>
  <si>
    <t>(blank)</t>
  </si>
  <si>
    <t>Movement</t>
  </si>
  <si>
    <t>Commodity</t>
  </si>
  <si>
    <t>Tonnage (short tons, Millions)</t>
  </si>
  <si>
    <t>Domestic</t>
  </si>
  <si>
    <t>Gasoline</t>
  </si>
  <si>
    <t>Distillate fuel oil</t>
  </si>
  <si>
    <t>Residual fuel oil</t>
  </si>
  <si>
    <t>Kerosene</t>
  </si>
  <si>
    <t>Sand &amp; gravel</t>
  </si>
  <si>
    <t>Exports</t>
  </si>
  <si>
    <t>Coal &amp; lignite</t>
  </si>
  <si>
    <t>Pulp &amp; waste paper</t>
  </si>
  <si>
    <t>Hydrocarbon &amp; petrol gases, liquefied and gaseous</t>
  </si>
  <si>
    <t>Iron &amp; steel scrap</t>
  </si>
  <si>
    <t>Fuel wood</t>
  </si>
  <si>
    <t>Crude Petroleum</t>
  </si>
  <si>
    <t>Imports</t>
  </si>
  <si>
    <t>Crude petroleum</t>
  </si>
  <si>
    <t>Manufactured products NEC</t>
  </si>
  <si>
    <t>Vehicles &amp; parts</t>
  </si>
  <si>
    <t>Iron ore</t>
  </si>
  <si>
    <t>Limestone</t>
  </si>
  <si>
    <t>Cement &amp; concrete</t>
  </si>
  <si>
    <t>Asphalt, tar, &amp; pitch</t>
  </si>
  <si>
    <t>Petroleum coke</t>
  </si>
  <si>
    <t>Salt</t>
  </si>
  <si>
    <t>I&amp;S Pplates &amp; sheets</t>
  </si>
  <si>
    <t>Soybeans</t>
  </si>
  <si>
    <t>I&amp;S primary forms</t>
  </si>
  <si>
    <t>Sand &amp; Gravel</t>
  </si>
  <si>
    <t>Wheat</t>
  </si>
  <si>
    <t>Animal feed, prep.</t>
  </si>
  <si>
    <t>Corn</t>
  </si>
  <si>
    <t>Manufac. prod. NEC</t>
  </si>
  <si>
    <t>Electrical machinery</t>
  </si>
  <si>
    <t>Rubber &amp; plastic products</t>
  </si>
  <si>
    <t>Vehicle &amp; parts</t>
  </si>
  <si>
    <t>Gypsum</t>
  </si>
  <si>
    <t>Wood in the Rough</t>
  </si>
  <si>
    <t>Manufac. Prod. NEC</t>
  </si>
  <si>
    <t>Empty Containers</t>
  </si>
  <si>
    <t>Distillate Fuel Oil</t>
  </si>
  <si>
    <t>Fish (Not Shellfish)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</si>
</sst>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,,"/>
    <numFmt numFmtId="166" formatCode="#.0,,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b/>
      <sz val="9"/>
      <name val="Calibri"/>
      <family val="2"/>
      <scheme val="minor"/>
    </font>
    <font>
      <i/>
      <sz val="9"/>
      <color rgb="FF44546A"/>
      <name val="Calibri"/>
      <family val="2"/>
      <scheme val="minor"/>
    </font>
    <font>
      <b/>
      <sz val="9"/>
      <color rgb="FF44546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030447"/>
      <name val="Arial"/>
      <family val="2"/>
    </font>
    <font>
      <sz val="5"/>
      <color rgb="FF030447"/>
      <name val="Arial"/>
      <family val="2"/>
    </font>
    <font>
      <sz val="7"/>
      <color rgb="FF333333"/>
      <name val="Arial"/>
      <family val="2"/>
    </font>
    <font>
      <sz val="4"/>
      <color rgb="FF333333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80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2" borderId="4" xfId="0" applyFont="1" applyFill="1" applyBorder="1"/>
    <xf numFmtId="0" fontId="4" fillId="2" borderId="5" xfId="0" applyFont="1" applyFill="1" applyBorder="1"/>
    <xf numFmtId="0" fontId="5" fillId="2" borderId="0" xfId="0" applyFont="1" applyFill="1"/>
    <xf numFmtId="0" fontId="4" fillId="2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center" textRotation="90" wrapText="1"/>
    </xf>
    <xf numFmtId="164" fontId="0" fillId="0" borderId="0" xfId="1" applyNumberFormat="1" applyFont="1" applyAlignment="1">
      <alignment horizontal="left"/>
    </xf>
    <xf numFmtId="166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1" applyNumberFormat="1" applyFont="1" applyAlignment="1">
      <alignment horizontal="center" vertical="center"/>
    </xf>
    <xf numFmtId="0" fontId="6" fillId="0" borderId="7" xfId="0" applyFont="1" applyBorder="1" applyAlignment="1">
      <alignment horizontal="center" textRotation="90"/>
    </xf>
    <xf numFmtId="0" fontId="6" fillId="0" borderId="7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 textRotation="90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8" xfId="0" applyBorder="1" applyAlignment="1">
      <alignment wrapText="1"/>
    </xf>
    <xf numFmtId="0" fontId="12" fillId="0" borderId="0" xfId="0" applyFont="1" applyAlignment="1">
      <alignment vertical="center" wrapText="1"/>
    </xf>
    <xf numFmtId="164" fontId="0" fillId="0" borderId="0" xfId="1" applyNumberFormat="1" applyFont="1"/>
    <xf numFmtId="0" fontId="9" fillId="0" borderId="10" xfId="2" applyFont="1" applyBorder="1" applyAlignment="1">
      <alignment horizontal="center" wrapText="1"/>
    </xf>
    <xf numFmtId="0" fontId="9" fillId="0" borderId="11" xfId="0" applyFont="1" applyBorder="1" applyAlignment="1">
      <alignment horizontal="center" textRotation="90" wrapText="1"/>
    </xf>
    <xf numFmtId="0" fontId="9" fillId="0" borderId="12" xfId="0" applyFont="1" applyBorder="1" applyAlignment="1">
      <alignment horizontal="center" textRotation="90" wrapText="1"/>
    </xf>
    <xf numFmtId="0" fontId="14" fillId="2" borderId="1" xfId="0" applyFont="1" applyFill="1" applyBorder="1"/>
    <xf numFmtId="0" fontId="14" fillId="2" borderId="3" xfId="0" applyFont="1" applyFill="1" applyBorder="1"/>
    <xf numFmtId="0" fontId="13" fillId="2" borderId="1" xfId="0" applyFont="1" applyFill="1" applyBorder="1"/>
    <xf numFmtId="0" fontId="13" fillId="2" borderId="3" xfId="0" applyFont="1" applyFill="1" applyBorder="1"/>
    <xf numFmtId="0" fontId="13" fillId="0" borderId="0" xfId="0" applyFont="1"/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3" fontId="6" fillId="0" borderId="13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6" fillId="3" borderId="2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16" fillId="3" borderId="2" xfId="0" applyFont="1" applyFill="1" applyBorder="1" applyAlignment="1">
      <alignment horizontal="right" vertical="center" wrapText="1"/>
    </xf>
    <xf numFmtId="49" fontId="0" fillId="0" borderId="0" xfId="0" applyNumberFormat="1"/>
    <xf numFmtId="14" fontId="0" fillId="0" borderId="0" xfId="0" applyNumberFormat="1" applyAlignment="1">
      <alignment horizontal="center"/>
    </xf>
    <xf numFmtId="1" fontId="2" fillId="0" borderId="0" xfId="1" applyNumberFormat="1" applyFont="1" applyAlignment="1">
      <alignment horizontal="center"/>
    </xf>
    <xf numFmtId="14" fontId="0" fillId="0" borderId="0" xfId="0" applyNumberFormat="1"/>
    <xf numFmtId="1" fontId="2" fillId="0" borderId="0" xfId="1" applyNumberFormat="1" applyFont="1" applyAlignment="1">
      <alignment horizontal="right"/>
    </xf>
    <xf numFmtId="1" fontId="0" fillId="0" borderId="0" xfId="1" applyNumberFormat="1" applyFont="1" applyAlignment="1">
      <alignment horizontal="right"/>
    </xf>
    <xf numFmtId="1" fontId="0" fillId="0" borderId="0" xfId="1" applyNumberFormat="1" applyFont="1"/>
    <xf numFmtId="1" fontId="0" fillId="0" borderId="0" xfId="0" applyNumberFormat="1"/>
    <xf numFmtId="1" fontId="18" fillId="0" borderId="0" xfId="0" applyNumberFormat="1" applyFont="1"/>
    <xf numFmtId="1" fontId="19" fillId="0" borderId="0" xfId="0" applyNumberFormat="1" applyFont="1"/>
    <xf numFmtId="1" fontId="20" fillId="0" borderId="0" xfId="0" applyNumberFormat="1" applyFont="1"/>
    <xf numFmtId="1" fontId="21" fillId="0" borderId="0" xfId="0" applyNumberFormat="1" applyFont="1"/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right"/>
    </xf>
    <xf numFmtId="1" fontId="0" fillId="0" borderId="0" xfId="1" applyNumberFormat="1" applyFont="1" applyBorder="1"/>
    <xf numFmtId="1" fontId="2" fillId="0" borderId="0" xfId="1" applyNumberFormat="1" applyFont="1"/>
    <xf numFmtId="1" fontId="2" fillId="0" borderId="15" xfId="1" applyNumberFormat="1" applyFont="1" applyBorder="1"/>
    <xf numFmtId="1" fontId="2" fillId="0" borderId="0" xfId="1" applyNumberFormat="1" applyFont="1" applyBorder="1"/>
    <xf numFmtId="1" fontId="17" fillId="0" borderId="0" xfId="0" applyNumberFormat="1" applyFont="1"/>
    <xf numFmtId="1" fontId="22" fillId="0" borderId="0" xfId="0" applyNumberFormat="1" applyFont="1" applyAlignment="1">
      <alignment horizontal="left" vertical="center" wrapText="1" indent="1"/>
    </xf>
    <xf numFmtId="1" fontId="2" fillId="0" borderId="0" xfId="1" applyNumberFormat="1" applyFont="1" applyBorder="1" applyAlignment="1">
      <alignment horizontal="right"/>
    </xf>
    <xf numFmtId="1" fontId="23" fillId="0" borderId="15" xfId="1" applyNumberFormat="1" applyFont="1" applyBorder="1" applyAlignment="1">
      <alignment horizontal="right"/>
    </xf>
    <xf numFmtId="1" fontId="23" fillId="0" borderId="0" xfId="1" applyNumberFormat="1" applyFont="1" applyAlignment="1">
      <alignment horizontal="right"/>
    </xf>
    <xf numFmtId="1" fontId="2" fillId="0" borderId="15" xfId="1" applyNumberFormat="1" applyFont="1" applyBorder="1" applyAlignment="1">
      <alignment horizontal="right"/>
    </xf>
    <xf numFmtId="1" fontId="0" fillId="2" borderId="15" xfId="0" applyNumberFormat="1" applyFill="1" applyBorder="1" applyAlignment="1">
      <alignment horizontal="center"/>
    </xf>
    <xf numFmtId="164" fontId="0" fillId="0" borderId="0" xfId="1" applyNumberFormat="1" applyFont="1" applyFill="1" applyBorder="1"/>
    <xf numFmtId="164" fontId="0" fillId="2" borderId="0" xfId="1" applyNumberFormat="1" applyFont="1" applyFill="1"/>
    <xf numFmtId="0" fontId="13" fillId="2" borderId="9" xfId="0" applyFont="1" applyFill="1" applyBorder="1"/>
    <xf numFmtId="0" fontId="13" fillId="2" borderId="0" xfId="0" applyFont="1" applyFill="1"/>
    <xf numFmtId="0" fontId="15" fillId="5" borderId="16" xfId="0" applyFont="1" applyFill="1" applyBorder="1"/>
    <xf numFmtId="0" fontId="17" fillId="3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</cellXfs>
  <cellStyles count="4">
    <cellStyle name="Comma" xfId="1" builtinId="3"/>
    <cellStyle name="Comma 2" xfId="3" xr:uid="{7413DA5B-38DF-4DA4-ACE3-6B4F1B3C58BE}"/>
    <cellStyle name="Normal" xfId="0" builtinId="0"/>
    <cellStyle name="Normal 2" xfId="2" xr:uid="{E157FBE9-64CA-4EED-8F74-E6F8FDCF4647}"/>
  </cellStyles>
  <dxfs count="10"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009999"/>
      <color rgb="FFCCECFF"/>
      <color rgb="FFCCFFFF"/>
      <color rgb="FFC9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2'!$C$1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3-4BFC-92F6-323AA0165C1E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3-4BFC-92F6-323AA0165C1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3-4BFC-92F6-323AA0165C1E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F3-4BFC-92F6-323AA0165C1E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F3-4BFC-92F6-323AA0165C1E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F3-4BFC-92F6-323AA0165C1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F3-4BFC-92F6-323AA0165C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F3-4BFC-92F6-323AA0165C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F3-4BFC-92F6-323AA0165C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F3-4BFC-92F6-323AA0165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2'!$B$2:$B$7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2'!$C$2:$C$7</c:f>
              <c:numCache>
                <c:formatCode>General</c:formatCode>
                <c:ptCount val="6"/>
                <c:pt idx="0">
                  <c:v>494134567</c:v>
                </c:pt>
                <c:pt idx="1">
                  <c:v>167533602</c:v>
                </c:pt>
                <c:pt idx="2">
                  <c:v>1353625039</c:v>
                </c:pt>
                <c:pt idx="3">
                  <c:v>203967095</c:v>
                </c:pt>
                <c:pt idx="4">
                  <c:v>85090251</c:v>
                </c:pt>
                <c:pt idx="5">
                  <c:v>297541903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F3-4BFC-92F6-323AA016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4'!$C$1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F-48A6-AB3F-EF20FC89EF6C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F-48A6-AB3F-EF20FC89EF6C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2F-48A6-AB3F-EF20FC89EF6C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2F-48A6-AB3F-EF20FC89EF6C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2F-48A6-AB3F-EF20FC89EF6C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2F-48A6-AB3F-EF20FC89EF6C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E2F-48A6-AB3F-EF20FC89EF6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E2F-48A6-AB3F-EF20FC89EF6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E2F-48A6-AB3F-EF20FC89EF6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E2F-48A6-AB3F-EF20FC89EF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4'!$B$2:$B$7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4'!$C$2:$C$7</c:f>
              <c:numCache>
                <c:formatCode>General</c:formatCode>
                <c:ptCount val="6"/>
                <c:pt idx="0">
                  <c:v>115847711</c:v>
                </c:pt>
                <c:pt idx="1">
                  <c:v>161416157</c:v>
                </c:pt>
                <c:pt idx="2">
                  <c:v>363564349</c:v>
                </c:pt>
                <c:pt idx="3">
                  <c:v>173478792</c:v>
                </c:pt>
                <c:pt idx="4">
                  <c:v>19561830</c:v>
                </c:pt>
                <c:pt idx="5">
                  <c:v>76953784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2F-48A6-AB3F-EF20FC89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6'!$C$1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A-4661-8DC1-984B0FA4BA9D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A-4661-8DC1-984B0FA4BA9D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A-4661-8DC1-984B0FA4BA9D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A-4661-8DC1-984B0FA4BA9D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A-4661-8DC1-984B0FA4BA9D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A-4661-8DC1-984B0FA4BA9D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A4A-4661-8DC1-984B0FA4BA9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A4A-4661-8DC1-984B0FA4BA9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A4A-4661-8DC1-984B0FA4BA9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A4A-4661-8DC1-984B0FA4BA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6'!$B$2:$B$7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6'!$C$2:$C$7</c:f>
              <c:numCache>
                <c:formatCode>General</c:formatCode>
                <c:ptCount val="6"/>
                <c:pt idx="0">
                  <c:v>18325438</c:v>
                </c:pt>
                <c:pt idx="1">
                  <c:v>1903</c:v>
                </c:pt>
                <c:pt idx="2">
                  <c:v>4391731</c:v>
                </c:pt>
                <c:pt idx="3">
                  <c:v>0</c:v>
                </c:pt>
                <c:pt idx="4">
                  <c:v>2760283</c:v>
                </c:pt>
                <c:pt idx="5">
                  <c:v>15132998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4A-4661-8DC1-984B0FA4B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0024194012686"/>
          <c:y val="4.6168051708217916E-2"/>
          <c:w val="0.8456768097643661"/>
          <c:h val="0.511203204862550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 8'!$D$4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8'!$E$4:$K$4</c:f>
              <c:numCache>
                <c:formatCode>_(* #,##0_);_(* \(#,##0\);_(* "-"??_);_(@_)</c:formatCode>
                <c:ptCount val="7"/>
                <c:pt idx="0">
                  <c:v>80262</c:v>
                </c:pt>
                <c:pt idx="1">
                  <c:v>59963</c:v>
                </c:pt>
                <c:pt idx="2">
                  <c:v>68546</c:v>
                </c:pt>
                <c:pt idx="3">
                  <c:v>24684</c:v>
                </c:pt>
                <c:pt idx="4">
                  <c:v>27735</c:v>
                </c:pt>
                <c:pt idx="5">
                  <c:v>24052</c:v>
                </c:pt>
                <c:pt idx="6">
                  <c:v>16598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BD4-9848-E672F228BD5B}"/>
            </c:ext>
          </c:extLst>
        </c:ser>
        <c:ser>
          <c:idx val="1"/>
          <c:order val="1"/>
          <c:tx>
            <c:strRef>
              <c:f>'F 8'!$D$5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8'!$E$5:$K$5</c:f>
              <c:numCache>
                <c:formatCode>_(* #,##0_);_(* \(#,##0\);_(* "-"??_);_(@_)</c:formatCode>
                <c:ptCount val="7"/>
                <c:pt idx="0">
                  <c:v>252542</c:v>
                </c:pt>
                <c:pt idx="1">
                  <c:v>236203</c:v>
                </c:pt>
                <c:pt idx="2">
                  <c:v>126051</c:v>
                </c:pt>
                <c:pt idx="3">
                  <c:v>100805</c:v>
                </c:pt>
                <c:pt idx="4">
                  <c:v>164727</c:v>
                </c:pt>
                <c:pt idx="5">
                  <c:v>171784</c:v>
                </c:pt>
                <c:pt idx="6">
                  <c:v>143215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3-4BD4-9848-E672F228BD5B}"/>
            </c:ext>
          </c:extLst>
        </c:ser>
        <c:ser>
          <c:idx val="2"/>
          <c:order val="2"/>
          <c:tx>
            <c:strRef>
              <c:f>'F 8'!$D$6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8'!$E$6:$K$6</c:f>
              <c:numCache>
                <c:formatCode>_(* #,##0_);_(* \(#,##0\);_(* "-"??_);_(@_)</c:formatCode>
                <c:ptCount val="7"/>
                <c:pt idx="0">
                  <c:v>74707</c:v>
                </c:pt>
                <c:pt idx="1">
                  <c:v>146371</c:v>
                </c:pt>
                <c:pt idx="2">
                  <c:v>154290</c:v>
                </c:pt>
                <c:pt idx="3">
                  <c:v>168209</c:v>
                </c:pt>
                <c:pt idx="4">
                  <c:v>180946</c:v>
                </c:pt>
                <c:pt idx="5">
                  <c:v>171094</c:v>
                </c:pt>
                <c:pt idx="6">
                  <c:v>104199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3-4BD4-9848-E672F228BD5B}"/>
            </c:ext>
          </c:extLst>
        </c:ser>
        <c:ser>
          <c:idx val="3"/>
          <c:order val="3"/>
          <c:tx>
            <c:strRef>
              <c:f>'F 8'!$D$7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8'!$E$7:$K$7</c:f>
              <c:numCache>
                <c:formatCode>_(* #,##0_);_(* \(#,##0\);_(* "-"??_);_(@_)</c:formatCode>
                <c:ptCount val="7"/>
                <c:pt idx="0">
                  <c:v>149578.5</c:v>
                </c:pt>
                <c:pt idx="1">
                  <c:v>49310.850000000006</c:v>
                </c:pt>
                <c:pt idx="2">
                  <c:v>26706.650000000005</c:v>
                </c:pt>
                <c:pt idx="3">
                  <c:v>39579.950000000004</c:v>
                </c:pt>
                <c:pt idx="4">
                  <c:v>28733.300000000003</c:v>
                </c:pt>
                <c:pt idx="5">
                  <c:v>7529.3000000000011</c:v>
                </c:pt>
                <c:pt idx="6">
                  <c:v>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3-4BD4-9848-E672F228BD5B}"/>
            </c:ext>
          </c:extLst>
        </c:ser>
        <c:ser>
          <c:idx val="4"/>
          <c:order val="4"/>
          <c:tx>
            <c:strRef>
              <c:f>'F 8'!$D$8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8'!$E$8:$K$8</c:f>
              <c:numCache>
                <c:formatCode>_(* #,##0_);_(* \(#,##0\);_(* "-"??_);_(@_)</c:formatCode>
                <c:ptCount val="7"/>
                <c:pt idx="0">
                  <c:v>157774</c:v>
                </c:pt>
                <c:pt idx="1">
                  <c:v>105337</c:v>
                </c:pt>
                <c:pt idx="2">
                  <c:v>90009</c:v>
                </c:pt>
                <c:pt idx="3">
                  <c:v>71553</c:v>
                </c:pt>
                <c:pt idx="4">
                  <c:v>76958</c:v>
                </c:pt>
                <c:pt idx="5">
                  <c:v>72192</c:v>
                </c:pt>
                <c:pt idx="6">
                  <c:v>48199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3-4BD4-9848-E672F228BD5B}"/>
            </c:ext>
          </c:extLst>
        </c:ser>
        <c:ser>
          <c:idx val="5"/>
          <c:order val="5"/>
          <c:tx>
            <c:strRef>
              <c:f>'F 8'!$D$9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8'!$E$9:$K$9</c:f>
              <c:numCache>
                <c:formatCode>_(* #,##0_);_(* \(#,##0\);_(* "-"??_);_(@_)</c:formatCode>
                <c:ptCount val="7"/>
                <c:pt idx="0">
                  <c:v>191257</c:v>
                </c:pt>
                <c:pt idx="1">
                  <c:v>192249</c:v>
                </c:pt>
                <c:pt idx="2">
                  <c:v>166852</c:v>
                </c:pt>
                <c:pt idx="3">
                  <c:v>167198</c:v>
                </c:pt>
                <c:pt idx="4">
                  <c:v>172390.25</c:v>
                </c:pt>
                <c:pt idx="5">
                  <c:v>163380</c:v>
                </c:pt>
                <c:pt idx="6">
                  <c:v>96245.25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3-4BD4-9848-E672F228BD5B}"/>
            </c:ext>
          </c:extLst>
        </c:ser>
        <c:ser>
          <c:idx val="6"/>
          <c:order val="6"/>
          <c:tx>
            <c:strRef>
              <c:f>'F 8'!$D$10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8'!$E$10:$K$10</c:f>
              <c:numCache>
                <c:formatCode>_(* #,##0_);_(* \(#,##0\);_(* "-"??_);_(@_)</c:formatCode>
                <c:ptCount val="7"/>
                <c:pt idx="0">
                  <c:v>17508</c:v>
                </c:pt>
                <c:pt idx="1">
                  <c:v>25640</c:v>
                </c:pt>
                <c:pt idx="2">
                  <c:v>26784</c:v>
                </c:pt>
                <c:pt idx="3">
                  <c:v>20638</c:v>
                </c:pt>
                <c:pt idx="4">
                  <c:v>22721</c:v>
                </c:pt>
                <c:pt idx="5">
                  <c:v>23553</c:v>
                </c:pt>
                <c:pt idx="6">
                  <c:v>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3-4BD4-9848-E672F228BD5B}"/>
            </c:ext>
          </c:extLst>
        </c:ser>
        <c:ser>
          <c:idx val="7"/>
          <c:order val="7"/>
          <c:tx>
            <c:strRef>
              <c:f>'F 8'!$D$11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8'!$E$11:$K$11</c:f>
              <c:numCache>
                <c:formatCode>_(* #,##0_);_(* \(#,##0\);_(* "-"??_);_(@_)</c:formatCode>
                <c:ptCount val="7"/>
                <c:pt idx="0">
                  <c:v>22677</c:v>
                </c:pt>
                <c:pt idx="1">
                  <c:v>21538</c:v>
                </c:pt>
                <c:pt idx="2">
                  <c:v>31365</c:v>
                </c:pt>
                <c:pt idx="3">
                  <c:v>47273.75</c:v>
                </c:pt>
                <c:pt idx="4">
                  <c:v>41185</c:v>
                </c:pt>
                <c:pt idx="5">
                  <c:v>55786</c:v>
                </c:pt>
                <c:pt idx="6">
                  <c:v>26593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3-4BD4-9848-E672F228BD5B}"/>
            </c:ext>
          </c:extLst>
        </c:ser>
        <c:ser>
          <c:idx val="8"/>
          <c:order val="8"/>
          <c:tx>
            <c:strRef>
              <c:f>'F 8'!$D$12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8'!$E$12:$K$12</c:f>
              <c:numCache>
                <c:formatCode>_(* #,##0_);_(* \(#,##0\);_(* "-"??_);_(@_)</c:formatCode>
                <c:ptCount val="7"/>
                <c:pt idx="0">
                  <c:v>76202</c:v>
                </c:pt>
                <c:pt idx="1">
                  <c:v>89983</c:v>
                </c:pt>
                <c:pt idx="2">
                  <c:v>42705</c:v>
                </c:pt>
                <c:pt idx="3">
                  <c:v>54291</c:v>
                </c:pt>
                <c:pt idx="4">
                  <c:v>46311</c:v>
                </c:pt>
                <c:pt idx="5">
                  <c:v>51503</c:v>
                </c:pt>
                <c:pt idx="6">
                  <c:v>28706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3-4BD4-9848-E672F228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073903"/>
        <c:axId val="237076063"/>
      </c:barChart>
      <c:catAx>
        <c:axId val="237073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6063"/>
        <c:crosses val="autoZero"/>
        <c:auto val="1"/>
        <c:lblAlgn val="ctr"/>
        <c:lblOffset val="100"/>
        <c:noMultiLvlLbl val="0"/>
      </c:catAx>
      <c:valAx>
        <c:axId val="2370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3903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342731905479815E-2"/>
                <c:y val="0.106186518928901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</a:t>
                  </a:r>
                  <a:r>
                    <a:rPr lang="en-US" baseline="0"/>
                    <a:t> </a:t>
                  </a:r>
                  <a:r>
                    <a:rPr lang="en-US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2356606393729883"/>
          <c:w val="0.954324574202849"/>
          <c:h val="0.24873310503777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 9'!$C$12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9'!$D$12:$J$12</c:f>
              <c:numCache>
                <c:formatCode>_(* #,##0_);_(* \(#,##0\);_(* "-"??_);_(@_)</c:formatCode>
                <c:ptCount val="7"/>
                <c:pt idx="0">
                  <c:v>472649</c:v>
                </c:pt>
                <c:pt idx="1">
                  <c:v>442222</c:v>
                </c:pt>
                <c:pt idx="2">
                  <c:v>573033</c:v>
                </c:pt>
                <c:pt idx="3">
                  <c:v>718684</c:v>
                </c:pt>
                <c:pt idx="4">
                  <c:v>530991</c:v>
                </c:pt>
                <c:pt idx="5">
                  <c:v>571875</c:v>
                </c:pt>
                <c:pt idx="6">
                  <c:v>401251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3-4414-AF9E-E778A32CCDCC}"/>
            </c:ext>
          </c:extLst>
        </c:ser>
        <c:ser>
          <c:idx val="1"/>
          <c:order val="1"/>
          <c:tx>
            <c:strRef>
              <c:f>'F 9'!$C$13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9'!$D$13:$J$13</c:f>
              <c:numCache>
                <c:formatCode>_(* #,##0_);_(* \(#,##0\);_(* "-"??_);_(@_)</c:formatCode>
                <c:ptCount val="7"/>
                <c:pt idx="0">
                  <c:v>227174</c:v>
                </c:pt>
                <c:pt idx="1">
                  <c:v>237526</c:v>
                </c:pt>
                <c:pt idx="2">
                  <c:v>624208</c:v>
                </c:pt>
                <c:pt idx="3">
                  <c:v>689069</c:v>
                </c:pt>
                <c:pt idx="4">
                  <c:v>484330</c:v>
                </c:pt>
                <c:pt idx="5">
                  <c:v>570350</c:v>
                </c:pt>
                <c:pt idx="6">
                  <c:v>331673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3-4414-AF9E-E778A32CCDCC}"/>
            </c:ext>
          </c:extLst>
        </c:ser>
        <c:ser>
          <c:idx val="2"/>
          <c:order val="2"/>
          <c:tx>
            <c:strRef>
              <c:f>'F 9'!$C$14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9'!$D$14:$J$14</c:f>
              <c:numCache>
                <c:formatCode>_(* #,##0_);_(* \(#,##0\);_(* "-"??_);_(@_)</c:formatCode>
                <c:ptCount val="7"/>
                <c:pt idx="0">
                  <c:v>2326087</c:v>
                </c:pt>
                <c:pt idx="1">
                  <c:v>2462720</c:v>
                </c:pt>
                <c:pt idx="2">
                  <c:v>3210318</c:v>
                </c:pt>
                <c:pt idx="3">
                  <c:v>3191779</c:v>
                </c:pt>
                <c:pt idx="4">
                  <c:v>2750934</c:v>
                </c:pt>
                <c:pt idx="5">
                  <c:v>3616713</c:v>
                </c:pt>
                <c:pt idx="6">
                  <c:v>2182391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3-4414-AF9E-E778A32CCDCC}"/>
            </c:ext>
          </c:extLst>
        </c:ser>
        <c:ser>
          <c:idx val="3"/>
          <c:order val="3"/>
          <c:tx>
            <c:strRef>
              <c:f>'F 9'!$C$15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9'!$D$15:$J$15</c:f>
              <c:numCache>
                <c:formatCode>_(* #,##0_);_(* \(#,##0\);_(* "-"??_);_(@_)</c:formatCode>
                <c:ptCount val="7"/>
                <c:pt idx="0">
                  <c:v>2717611.2</c:v>
                </c:pt>
                <c:pt idx="1">
                  <c:v>2805638.7</c:v>
                </c:pt>
                <c:pt idx="2">
                  <c:v>3953472.4</c:v>
                </c:pt>
                <c:pt idx="3">
                  <c:v>3708759.05</c:v>
                </c:pt>
                <c:pt idx="4">
                  <c:v>2867619.25</c:v>
                </c:pt>
                <c:pt idx="5">
                  <c:v>3438941.5</c:v>
                </c:pt>
                <c:pt idx="6">
                  <c:v>2039094.2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3-4414-AF9E-E778A32CCDCC}"/>
            </c:ext>
          </c:extLst>
        </c:ser>
        <c:ser>
          <c:idx val="4"/>
          <c:order val="4"/>
          <c:tx>
            <c:strRef>
              <c:f>'F 9'!$C$16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9'!$D$16:$J$16</c:f>
              <c:numCache>
                <c:formatCode>_(* #,##0_);_(* \(#,##0\);_(* "-"??_);_(@_)</c:formatCode>
                <c:ptCount val="7"/>
                <c:pt idx="0">
                  <c:v>617989</c:v>
                </c:pt>
                <c:pt idx="1">
                  <c:v>485862</c:v>
                </c:pt>
                <c:pt idx="2">
                  <c:v>746004</c:v>
                </c:pt>
                <c:pt idx="3">
                  <c:v>764461</c:v>
                </c:pt>
                <c:pt idx="4">
                  <c:v>493062</c:v>
                </c:pt>
                <c:pt idx="5">
                  <c:v>612361</c:v>
                </c:pt>
                <c:pt idx="6">
                  <c:v>350858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3-4414-AF9E-E778A32CCDCC}"/>
            </c:ext>
          </c:extLst>
        </c:ser>
        <c:ser>
          <c:idx val="5"/>
          <c:order val="5"/>
          <c:tx>
            <c:strRef>
              <c:f>'F 9'!$C$17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9'!$D$17:$J$17</c:f>
              <c:numCache>
                <c:formatCode>_(* #,##0_);_(* \(#,##0\);_(* "-"??_);_(@_)</c:formatCode>
                <c:ptCount val="7"/>
                <c:pt idx="0">
                  <c:v>402978</c:v>
                </c:pt>
                <c:pt idx="1">
                  <c:v>345239</c:v>
                </c:pt>
                <c:pt idx="2">
                  <c:v>373404</c:v>
                </c:pt>
                <c:pt idx="3">
                  <c:v>418314</c:v>
                </c:pt>
                <c:pt idx="4">
                  <c:v>318875.75</c:v>
                </c:pt>
                <c:pt idx="5">
                  <c:v>358995.75</c:v>
                </c:pt>
                <c:pt idx="6">
                  <c:v>215181.5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3-4414-AF9E-E778A32CCDCC}"/>
            </c:ext>
          </c:extLst>
        </c:ser>
        <c:ser>
          <c:idx val="6"/>
          <c:order val="6"/>
          <c:tx>
            <c:strRef>
              <c:f>'F 9'!$C$18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9'!$D$18:$J$18</c:f>
              <c:numCache>
                <c:formatCode>_(* #,##0_);_(* \(#,##0\);_(* "-"??_);_(@_)</c:formatCode>
                <c:ptCount val="7"/>
                <c:pt idx="0">
                  <c:v>2222205</c:v>
                </c:pt>
                <c:pt idx="1">
                  <c:v>2318450</c:v>
                </c:pt>
                <c:pt idx="2">
                  <c:v>3013157</c:v>
                </c:pt>
                <c:pt idx="3">
                  <c:v>3366440</c:v>
                </c:pt>
                <c:pt idx="4">
                  <c:v>2512011</c:v>
                </c:pt>
                <c:pt idx="5">
                  <c:v>2882422</c:v>
                </c:pt>
                <c:pt idx="6">
                  <c:v>1713273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3-4414-AF9E-E778A32CCDCC}"/>
            </c:ext>
          </c:extLst>
        </c:ser>
        <c:ser>
          <c:idx val="7"/>
          <c:order val="7"/>
          <c:tx>
            <c:strRef>
              <c:f>'F 9'!$C$19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9'!$D$19:$J$19</c:f>
              <c:numCache>
                <c:formatCode>_(* #,##0_);_(* \(#,##0\);_(* "-"??_);_(@_)</c:formatCode>
                <c:ptCount val="7"/>
                <c:pt idx="0">
                  <c:v>582803</c:v>
                </c:pt>
                <c:pt idx="1">
                  <c:v>534218</c:v>
                </c:pt>
                <c:pt idx="2">
                  <c:v>762355</c:v>
                </c:pt>
                <c:pt idx="3">
                  <c:v>850900.5</c:v>
                </c:pt>
                <c:pt idx="4">
                  <c:v>618840.75</c:v>
                </c:pt>
                <c:pt idx="5">
                  <c:v>701605</c:v>
                </c:pt>
                <c:pt idx="6">
                  <c:v>367967.75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3-4414-AF9E-E778A32CCDCC}"/>
            </c:ext>
          </c:extLst>
        </c:ser>
        <c:ser>
          <c:idx val="8"/>
          <c:order val="8"/>
          <c:tx>
            <c:strRef>
              <c:f>'F 9'!$C$20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9'!$D$20:$J$20</c:f>
              <c:numCache>
                <c:formatCode>_(* #,##0_);_(* \(#,##0\);_(* "-"??_);_(@_)</c:formatCode>
                <c:ptCount val="7"/>
                <c:pt idx="0">
                  <c:v>833947</c:v>
                </c:pt>
                <c:pt idx="1">
                  <c:v>870754</c:v>
                </c:pt>
                <c:pt idx="2">
                  <c:v>1387025</c:v>
                </c:pt>
                <c:pt idx="3">
                  <c:v>1615892</c:v>
                </c:pt>
                <c:pt idx="4">
                  <c:v>1160724</c:v>
                </c:pt>
                <c:pt idx="5">
                  <c:v>1377541</c:v>
                </c:pt>
                <c:pt idx="6">
                  <c:v>840957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B3-4414-AF9E-E778A32C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956271"/>
        <c:axId val="250957351"/>
      </c:barChart>
      <c:catAx>
        <c:axId val="25095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7351"/>
        <c:crosses val="autoZero"/>
        <c:auto val="1"/>
        <c:lblAlgn val="ctr"/>
        <c:lblOffset val="100"/>
        <c:noMultiLvlLbl val="1"/>
      </c:catAx>
      <c:valAx>
        <c:axId val="25095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6271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4181883964644303E-2"/>
                <c:y val="0.212373037857802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1894925876647697"/>
          <c:w val="0.94319491365749564"/>
          <c:h val="0.25334991020859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10'!$G$2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65-4C23-9416-4B661361318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5-4C23-9416-4B661361318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65-4C23-9416-4B6613613188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65-4C23-9416-4B6613613188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65-4C23-9416-4B6613613188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65-4C23-9416-4B6613613188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065-4C23-9416-4B6613613188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065-4C23-9416-4B6613613188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65-4C23-9416-4B6613613188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065-4C23-9416-4B6613613188}"/>
              </c:ext>
            </c:extLst>
          </c:dPt>
          <c:cat>
            <c:strRef>
              <c:f>'F 10'!$F$3:$F$19</c:f>
              <c:strCache>
                <c:ptCount val="17"/>
                <c:pt idx="0">
                  <c:v>Gasoline</c:v>
                </c:pt>
                <c:pt idx="1">
                  <c:v>Distillate fuel oil</c:v>
                </c:pt>
                <c:pt idx="2">
                  <c:v>Residual fuel oil</c:v>
                </c:pt>
                <c:pt idx="3">
                  <c:v>Kerosene</c:v>
                </c:pt>
                <c:pt idx="4">
                  <c:v>Sand &amp; gravel</c:v>
                </c:pt>
                <c:pt idx="6">
                  <c:v>Coal &amp; lignite</c:v>
                </c:pt>
                <c:pt idx="7">
                  <c:v>Pulp &amp; waste paper</c:v>
                </c:pt>
                <c:pt idx="8">
                  <c:v>Hydrocarbon &amp; petrol gases, liquefied and gaseous</c:v>
                </c:pt>
                <c:pt idx="9">
                  <c:v>Iron &amp; steel scrap</c:v>
                </c:pt>
                <c:pt idx="10">
                  <c:v>Fuel wood</c:v>
                </c:pt>
                <c:pt idx="12">
                  <c:v>Gasoline</c:v>
                </c:pt>
                <c:pt idx="13">
                  <c:v>Crude petroleum</c:v>
                </c:pt>
                <c:pt idx="14">
                  <c:v>Manufactured products NEC</c:v>
                </c:pt>
                <c:pt idx="15">
                  <c:v>Distillate fuel oil</c:v>
                </c:pt>
                <c:pt idx="16">
                  <c:v>Vehicles &amp; parts</c:v>
                </c:pt>
              </c:strCache>
            </c:strRef>
          </c:cat>
          <c:val>
            <c:numRef>
              <c:f>'F 10'!$G$3:$G$19</c:f>
              <c:numCache>
                <c:formatCode>General</c:formatCode>
                <c:ptCount val="17"/>
                <c:pt idx="0">
                  <c:v>36144007</c:v>
                </c:pt>
                <c:pt idx="1">
                  <c:v>16295833</c:v>
                </c:pt>
                <c:pt idx="2">
                  <c:v>15597388</c:v>
                </c:pt>
                <c:pt idx="3">
                  <c:v>9468247</c:v>
                </c:pt>
                <c:pt idx="4">
                  <c:v>7628774</c:v>
                </c:pt>
                <c:pt idx="6">
                  <c:v>61742344</c:v>
                </c:pt>
                <c:pt idx="7">
                  <c:v>10116186</c:v>
                </c:pt>
                <c:pt idx="8">
                  <c:v>9254680</c:v>
                </c:pt>
                <c:pt idx="9">
                  <c:v>6126845</c:v>
                </c:pt>
                <c:pt idx="10">
                  <c:v>5335412</c:v>
                </c:pt>
                <c:pt idx="12">
                  <c:v>22780214</c:v>
                </c:pt>
                <c:pt idx="13">
                  <c:v>21070080</c:v>
                </c:pt>
                <c:pt idx="14">
                  <c:v>14474502</c:v>
                </c:pt>
                <c:pt idx="15">
                  <c:v>13306041</c:v>
                </c:pt>
                <c:pt idx="16">
                  <c:v>8373594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5-4C23-9416-4B661361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11'!$H$2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1-4AF5-AA81-E86712A6082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1-4AF5-AA81-E86712A6082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1-4AF5-AA81-E86712A6082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61-4AF5-AA81-E86712A6082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61-4AF5-AA81-E86712A6082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61-4AF5-AA81-E86712A6082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61-4AF5-AA81-E86712A6082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61-4AF5-AA81-E86712A6082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561-4AF5-AA81-E86712A6082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561-4AF5-AA81-E86712A60821}"/>
              </c:ext>
            </c:extLst>
          </c:dPt>
          <c:cat>
            <c:strRef>
              <c:f>'F 11'!$G$3:$G$19</c:f>
              <c:strCache>
                <c:ptCount val="17"/>
                <c:pt idx="0">
                  <c:v>Iron ore</c:v>
                </c:pt>
                <c:pt idx="1">
                  <c:v>Limestone</c:v>
                </c:pt>
                <c:pt idx="2">
                  <c:v>Coal &amp; lignite</c:v>
                </c:pt>
                <c:pt idx="3">
                  <c:v>Cement &amp; concrete</c:v>
                </c:pt>
                <c:pt idx="4">
                  <c:v>Asphalt, tar, &amp; pitch</c:v>
                </c:pt>
                <c:pt idx="6">
                  <c:v>Iron ore</c:v>
                </c:pt>
                <c:pt idx="7">
                  <c:v>Coal &amp; lignite</c:v>
                </c:pt>
                <c:pt idx="8">
                  <c:v>Limestone</c:v>
                </c:pt>
                <c:pt idx="9">
                  <c:v>Petroleum coke</c:v>
                </c:pt>
                <c:pt idx="10">
                  <c:v>Salt</c:v>
                </c:pt>
                <c:pt idx="12">
                  <c:v>Salt</c:v>
                </c:pt>
                <c:pt idx="13">
                  <c:v>Sand &amp; gravel</c:v>
                </c:pt>
                <c:pt idx="14">
                  <c:v>Cement &amp; concrete</c:v>
                </c:pt>
                <c:pt idx="15">
                  <c:v>I&amp;S Pplates &amp; sheets</c:v>
                </c:pt>
                <c:pt idx="16">
                  <c:v>Limestone</c:v>
                </c:pt>
              </c:strCache>
            </c:strRef>
          </c:cat>
          <c:val>
            <c:numRef>
              <c:f>'F 11'!$H$3:$H$19</c:f>
              <c:numCache>
                <c:formatCode>General</c:formatCode>
                <c:ptCount val="17"/>
                <c:pt idx="0">
                  <c:v>75396851</c:v>
                </c:pt>
                <c:pt idx="1">
                  <c:v>35860882</c:v>
                </c:pt>
                <c:pt idx="2">
                  <c:v>10786011</c:v>
                </c:pt>
                <c:pt idx="3">
                  <c:v>5546627</c:v>
                </c:pt>
                <c:pt idx="4">
                  <c:v>3161876</c:v>
                </c:pt>
                <c:pt idx="6">
                  <c:v>9476480</c:v>
                </c:pt>
                <c:pt idx="7">
                  <c:v>3223713</c:v>
                </c:pt>
                <c:pt idx="8">
                  <c:v>1919967</c:v>
                </c:pt>
                <c:pt idx="9">
                  <c:v>838758</c:v>
                </c:pt>
                <c:pt idx="10">
                  <c:v>469643</c:v>
                </c:pt>
                <c:pt idx="12">
                  <c:v>3029734</c:v>
                </c:pt>
                <c:pt idx="13">
                  <c:v>2293379</c:v>
                </c:pt>
                <c:pt idx="14">
                  <c:v>1997117</c:v>
                </c:pt>
                <c:pt idx="15">
                  <c:v>1114385</c:v>
                </c:pt>
                <c:pt idx="16">
                  <c:v>974598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61-4AF5-AA81-E86712A6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1863713812385E-2"/>
          <c:y val="0.12599573686467233"/>
          <c:w val="0.87859235736462482"/>
          <c:h val="0.4827525977227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 12'!$H$2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5-4FFE-A1EB-42526C06D676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5-4FFE-A1EB-42526C06D67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75-4FFE-A1EB-42526C06D676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75-4FFE-A1EB-42526C06D676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75-4FFE-A1EB-42526C06D676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175-4FFE-A1EB-42526C06D676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175-4FFE-A1EB-42526C06D676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175-4FFE-A1EB-42526C06D676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175-4FFE-A1EB-42526C06D676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175-4FFE-A1EB-42526C06D676}"/>
              </c:ext>
            </c:extLst>
          </c:dPt>
          <c:cat>
            <c:strRef>
              <c:f>'F 12'!$G$3:$G$19</c:f>
              <c:strCache>
                <c:ptCount val="17"/>
                <c:pt idx="0">
                  <c:v>Distillate fuel oil</c:v>
                </c:pt>
                <c:pt idx="1">
                  <c:v>Gasoline</c:v>
                </c:pt>
                <c:pt idx="2">
                  <c:v>Residual fuel oil</c:v>
                </c:pt>
                <c:pt idx="3">
                  <c:v>Crude petroleum</c:v>
                </c:pt>
                <c:pt idx="4">
                  <c:v>Soybeans</c:v>
                </c:pt>
                <c:pt idx="6">
                  <c:v>Crude petroleum</c:v>
                </c:pt>
                <c:pt idx="7">
                  <c:v>Hydrocarbon &amp; petrol gases, liquefied and gaseous</c:v>
                </c:pt>
                <c:pt idx="8">
                  <c:v>Distillate fuel oil</c:v>
                </c:pt>
                <c:pt idx="9">
                  <c:v>Petroleum coke</c:v>
                </c:pt>
                <c:pt idx="10">
                  <c:v>Gasoline</c:v>
                </c:pt>
                <c:pt idx="12">
                  <c:v>Crude petroleum</c:v>
                </c:pt>
                <c:pt idx="13">
                  <c:v>Distillate fuel oil</c:v>
                </c:pt>
                <c:pt idx="14">
                  <c:v>Cement &amp; concrete</c:v>
                </c:pt>
                <c:pt idx="15">
                  <c:v>I&amp;S primary forms</c:v>
                </c:pt>
                <c:pt idx="16">
                  <c:v>Iron ore</c:v>
                </c:pt>
              </c:strCache>
            </c:strRef>
          </c:cat>
          <c:val>
            <c:numRef>
              <c:f>'F 12'!$H$3:$H$19</c:f>
              <c:numCache>
                <c:formatCode>General</c:formatCode>
                <c:ptCount val="17"/>
                <c:pt idx="0">
                  <c:v>71324031</c:v>
                </c:pt>
                <c:pt idx="1">
                  <c:v>50842783</c:v>
                </c:pt>
                <c:pt idx="2">
                  <c:v>40105276</c:v>
                </c:pt>
                <c:pt idx="3">
                  <c:v>37683301</c:v>
                </c:pt>
                <c:pt idx="4">
                  <c:v>25599829</c:v>
                </c:pt>
                <c:pt idx="6">
                  <c:v>187761777</c:v>
                </c:pt>
                <c:pt idx="7">
                  <c:v>116811126</c:v>
                </c:pt>
                <c:pt idx="8">
                  <c:v>59473848</c:v>
                </c:pt>
                <c:pt idx="9">
                  <c:v>31252281</c:v>
                </c:pt>
                <c:pt idx="10">
                  <c:v>30330994</c:v>
                </c:pt>
                <c:pt idx="12">
                  <c:v>68649487</c:v>
                </c:pt>
                <c:pt idx="13">
                  <c:v>29790422</c:v>
                </c:pt>
                <c:pt idx="14">
                  <c:v>9978207</c:v>
                </c:pt>
                <c:pt idx="15">
                  <c:v>8875125</c:v>
                </c:pt>
                <c:pt idx="16">
                  <c:v>6164622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175-4FFE-A1EB-42526C06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13'!$H$2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9-45CD-A0D8-B5E2CCA299C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9-45CD-A0D8-B5E2CCA299C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9-45CD-A0D8-B5E2CCA299C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29-45CD-A0D8-B5E2CCA299C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29-45CD-A0D8-B5E2CCA299C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29-45CD-A0D8-B5E2CCA299C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29-45CD-A0D8-B5E2CCA299C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29-45CD-A0D8-B5E2CCA299C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A29-45CD-A0D8-B5E2CCA299C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A29-45CD-A0D8-B5E2CCA299C1}"/>
              </c:ext>
            </c:extLst>
          </c:dPt>
          <c:cat>
            <c:strRef>
              <c:f>'F 13'!$G$3:$G$19</c:f>
              <c:strCache>
                <c:ptCount val="17"/>
                <c:pt idx="0">
                  <c:v>Crude petroleum</c:v>
                </c:pt>
                <c:pt idx="1">
                  <c:v>Distillate fuel oil</c:v>
                </c:pt>
                <c:pt idx="2">
                  <c:v>Sand &amp; gravel</c:v>
                </c:pt>
                <c:pt idx="3">
                  <c:v>Gasoline</c:v>
                </c:pt>
                <c:pt idx="4">
                  <c:v>Residual fuel oil</c:v>
                </c:pt>
                <c:pt idx="6">
                  <c:v>Soybeans</c:v>
                </c:pt>
                <c:pt idx="7">
                  <c:v>Wheat</c:v>
                </c:pt>
                <c:pt idx="8">
                  <c:v>Petroleum coke</c:v>
                </c:pt>
                <c:pt idx="9">
                  <c:v>Animal feed, prep.</c:v>
                </c:pt>
                <c:pt idx="10">
                  <c:v>Corn</c:v>
                </c:pt>
                <c:pt idx="12">
                  <c:v>Crude petroleum</c:v>
                </c:pt>
                <c:pt idx="13">
                  <c:v>Manufac. prod. NEC</c:v>
                </c:pt>
                <c:pt idx="14">
                  <c:v>Electrical machinery</c:v>
                </c:pt>
                <c:pt idx="15">
                  <c:v>Rubber &amp; plastic products</c:v>
                </c:pt>
                <c:pt idx="16">
                  <c:v>Vehicle &amp; parts</c:v>
                </c:pt>
              </c:strCache>
            </c:strRef>
          </c:cat>
          <c:val>
            <c:numRef>
              <c:f>'F 13'!$H$3:$H$19</c:f>
              <c:numCache>
                <c:formatCode>General</c:formatCode>
                <c:ptCount val="17"/>
                <c:pt idx="0">
                  <c:v>16749704</c:v>
                </c:pt>
                <c:pt idx="1">
                  <c:v>6046431</c:v>
                </c:pt>
                <c:pt idx="2">
                  <c:v>5719074</c:v>
                </c:pt>
                <c:pt idx="3">
                  <c:v>5681489</c:v>
                </c:pt>
                <c:pt idx="4">
                  <c:v>4019873</c:v>
                </c:pt>
                <c:pt idx="6">
                  <c:v>13807973</c:v>
                </c:pt>
                <c:pt idx="7">
                  <c:v>10292149</c:v>
                </c:pt>
                <c:pt idx="8">
                  <c:v>6990626</c:v>
                </c:pt>
                <c:pt idx="9">
                  <c:v>6490787</c:v>
                </c:pt>
                <c:pt idx="10">
                  <c:v>6478045</c:v>
                </c:pt>
                <c:pt idx="12">
                  <c:v>35774075</c:v>
                </c:pt>
                <c:pt idx="13">
                  <c:v>16954959</c:v>
                </c:pt>
                <c:pt idx="14">
                  <c:v>7900326</c:v>
                </c:pt>
                <c:pt idx="15">
                  <c:v>6830334</c:v>
                </c:pt>
                <c:pt idx="16">
                  <c:v>6137472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29-45CD-A0D8-B5E2CCA29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14'!$H$2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14'!$G$3:$G$7</c:f>
              <c:strCache>
                <c:ptCount val="5"/>
                <c:pt idx="0">
                  <c:v>Coal &amp; lignite</c:v>
                </c:pt>
                <c:pt idx="1">
                  <c:v>Sand &amp; gravel</c:v>
                </c:pt>
                <c:pt idx="2">
                  <c:v>Corn</c:v>
                </c:pt>
                <c:pt idx="3">
                  <c:v>Soybeans</c:v>
                </c:pt>
                <c:pt idx="4">
                  <c:v>Limestone</c:v>
                </c:pt>
              </c:strCache>
            </c:strRef>
          </c:cat>
          <c:val>
            <c:numRef>
              <c:f>'F 14'!$H$3:$H$7</c:f>
              <c:numCache>
                <c:formatCode>General</c:formatCode>
                <c:ptCount val="5"/>
                <c:pt idx="0">
                  <c:v>38261741</c:v>
                </c:pt>
                <c:pt idx="1">
                  <c:v>35788026</c:v>
                </c:pt>
                <c:pt idx="2">
                  <c:v>19710559</c:v>
                </c:pt>
                <c:pt idx="3">
                  <c:v>19540909</c:v>
                </c:pt>
                <c:pt idx="4">
                  <c:v>11706116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78-4498-8D92-89019E26A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Domestic commodity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15'!$H$2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A-4E8B-AB50-AC5CAA87A0F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5A-4E8B-AB50-AC5CAA87A0F0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5A-4E8B-AB50-AC5CAA87A0F0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5A-4E8B-AB50-AC5CAA87A0F0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5A-4E8B-AB50-AC5CAA87A0F0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5A-4E8B-AB50-AC5CAA87A0F0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5A-4E8B-AB50-AC5CAA87A0F0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5A-4E8B-AB50-AC5CAA87A0F0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5A-4E8B-AB50-AC5CAA87A0F0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5A-4E8B-AB50-AC5CAA87A0F0}"/>
              </c:ext>
            </c:extLst>
          </c:dPt>
          <c:cat>
            <c:strRef>
              <c:f>'F 15'!$G$3:$G$19</c:f>
              <c:strCache>
                <c:ptCount val="17"/>
                <c:pt idx="0">
                  <c:v>Crude Petroleum</c:v>
                </c:pt>
                <c:pt idx="1">
                  <c:v>Manufac. Prod. NEC</c:v>
                </c:pt>
                <c:pt idx="2">
                  <c:v>Empty Containers</c:v>
                </c:pt>
                <c:pt idx="3">
                  <c:v>Kerosene</c:v>
                </c:pt>
                <c:pt idx="4">
                  <c:v>Distillate Fuel Oil</c:v>
                </c:pt>
                <c:pt idx="6">
                  <c:v>Distillate fuel oil</c:v>
                </c:pt>
                <c:pt idx="7">
                  <c:v>Crude petroleum</c:v>
                </c:pt>
                <c:pt idx="8">
                  <c:v>Fish (Not Shellfish)</c:v>
                </c:pt>
                <c:pt idx="9">
                  <c:v>Iron &amp; steel scrap</c:v>
                </c:pt>
                <c:pt idx="10">
                  <c:v>Pulp &amp; waste paper</c:v>
                </c:pt>
                <c:pt idx="12">
                  <c:v>Kerosene</c:v>
                </c:pt>
                <c:pt idx="13">
                  <c:v>Gasoline</c:v>
                </c:pt>
                <c:pt idx="14">
                  <c:v>Crude petroleum</c:v>
                </c:pt>
                <c:pt idx="15">
                  <c:v>Distillate fuel oil</c:v>
                </c:pt>
                <c:pt idx="16">
                  <c:v>Coal &amp; lignite</c:v>
                </c:pt>
              </c:strCache>
            </c:strRef>
          </c:cat>
          <c:val>
            <c:numRef>
              <c:f>'F 15'!$H$3:$H$19</c:f>
              <c:numCache>
                <c:formatCode>General</c:formatCode>
                <c:ptCount val="17"/>
                <c:pt idx="0">
                  <c:v>26969655</c:v>
                </c:pt>
                <c:pt idx="1">
                  <c:v>10692800</c:v>
                </c:pt>
                <c:pt idx="2">
                  <c:v>9036149</c:v>
                </c:pt>
                <c:pt idx="3">
                  <c:v>2674984</c:v>
                </c:pt>
                <c:pt idx="4">
                  <c:v>2234157</c:v>
                </c:pt>
                <c:pt idx="6">
                  <c:v>4175897</c:v>
                </c:pt>
                <c:pt idx="7">
                  <c:v>806644</c:v>
                </c:pt>
                <c:pt idx="8">
                  <c:v>558229</c:v>
                </c:pt>
                <c:pt idx="9">
                  <c:v>317729</c:v>
                </c:pt>
                <c:pt idx="10">
                  <c:v>135151</c:v>
                </c:pt>
                <c:pt idx="12">
                  <c:v>3558515</c:v>
                </c:pt>
                <c:pt idx="13">
                  <c:v>3537465</c:v>
                </c:pt>
                <c:pt idx="14">
                  <c:v>3170150</c:v>
                </c:pt>
                <c:pt idx="15">
                  <c:v>2968106</c:v>
                </c:pt>
                <c:pt idx="16">
                  <c:v>1259381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5A-4E8B-AB50-AC5CAA87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77726-283C-48EB-8A9E-1F9F68A3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A7A8A-2A56-4263-887D-B47FC4BC0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B19C2-8426-4B9B-8990-0D0962F57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636270</xdr:colOff>
      <xdr:row>13</xdr:row>
      <xdr:rowOff>96202</xdr:rowOff>
    </xdr:from>
    <xdr:to>
      <xdr:col>10</xdr:col>
      <xdr:colOff>496252</xdr:colOff>
      <xdr:row>28</xdr:row>
      <xdr:rowOff>132397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058DB-6675-4656-8F51-758D783E4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21</xdr:row>
      <xdr:rowOff>77152</xdr:rowOff>
    </xdr:from>
    <xdr:to>
      <xdr:col>8</xdr:col>
      <xdr:colOff>572452</xdr:colOff>
      <xdr:row>36</xdr:row>
      <xdr:rowOff>115252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83283-DEBC-83DC-25BB-53D74CDC8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512445</xdr:colOff>
      <xdr:row>1</xdr:row>
      <xdr:rowOff>220027</xdr:rowOff>
    </xdr:from>
    <xdr:to>
      <xdr:col>17</xdr:col>
      <xdr:colOff>464820</xdr:colOff>
      <xdr:row>10</xdr:row>
      <xdr:rowOff>300990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8F0FFC-E739-3AC7-32C7-1FEA8AEA7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17</xdr:col>
      <xdr:colOff>590550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FAC1C-51BC-4046-A1D7-1C5C5F911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979AA-A674-4D39-ABA5-D2A2C7A71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0.49712</cdr:x>
      <cdr:y>0.35843</cdr:y>
    </cdr:from>
    <cdr:to>
      <cdr:x>0.70537</cdr:x>
      <cdr:y>0.44902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3158290" y="1340030"/>
          <a:ext cx="1323048" cy="338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AF177-22E1-4D93-A25C-723B5D40A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0.81109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5153025" y="993176"/>
          <a:ext cx="871183" cy="318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218122</xdr:rowOff>
    </xdr:from>
    <xdr:to>
      <xdr:col>17</xdr:col>
      <xdr:colOff>19050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82F83-DC30-43D8-9632-5633FD394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33869-53FA-4A5A-9961-62DA3004D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38988310187" createdVersion="8" refreshedVersion="8" minRefreshableVersion="3" recordCount="711" xr:uid="{682E10B2-6B4D-466A-A9D1-BD5C3E26CC2B}">
  <cacheSource type="worksheet">
    <worksheetSource ref="O1:T712" sheet="F 8"/>
  </cacheSource>
  <cacheFields count="9">
    <cacheField name="Port" numFmtId="0">
      <sharedItems count="9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</sharedItems>
    </cacheField>
    <cacheField name="City" numFmtId="0">
      <sharedItems/>
    </cacheField>
    <cacheField name="State" numFmtId="0">
      <sharedItems/>
    </cacheField>
    <cacheField name="Date" numFmtId="14">
      <sharedItems containsSemiMixedTypes="0" containsNonDate="0" containsDate="1" containsString="0" minDate="2019-01-01T00:00:00" maxDate="2025-07-02T00:00:00" count="79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8"/>
    </cacheField>
    <cacheField name="TEUs" numFmtId="0">
      <sharedItems containsSemiMixedTypes="0" containsString="0" containsNumber="1" minValue="33" maxValue="44560"/>
    </cacheField>
    <cacheField name="Type" numFmtId="0">
      <sharedItems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50892824073" createdVersion="8" refreshedVersion="8" minRefreshableVersion="3" recordCount="722" xr:uid="{B4CFF028-2547-4173-8D9A-87B37F72EE4A}">
  <cacheSource type="worksheet">
    <worksheetSource ref="L2:Q1048576" sheet="F 9"/>
  </cacheSource>
  <cacheFields count="9">
    <cacheField name="Port" numFmtId="0">
      <sharedItems containsBlank="1" count="10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  <m/>
      </sharedItems>
    </cacheField>
    <cacheField name="City" numFmtId="0">
      <sharedItems containsBlank="1"/>
    </cacheField>
    <cacheField name="State" numFmtId="0">
      <sharedItems containsBlank="1"/>
    </cacheField>
    <cacheField name="Date" numFmtId="14">
      <sharedItems containsNonDate="0" containsDate="1" containsString="0" containsBlank="1" minDate="2019-01-01T00:00:00" maxDate="2025-07-02T00:00:00" count="80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m/>
      </sharedItems>
      <fieldGroup par="8"/>
    </cacheField>
    <cacheField name="TEUs" numFmtId="0">
      <sharedItems containsString="0" containsBlank="1" containsNumber="1" minValue="8118" maxValue="372136"/>
    </cacheField>
    <cacheField name="Type" numFmtId="0">
      <sharedItems containsBlank="1"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">
  <r>
    <x v="0"/>
    <s v="Charleston"/>
    <s v="South Carolina"/>
    <x v="0"/>
    <n v="8120"/>
    <s v="Import, Empty"/>
  </r>
  <r>
    <x v="0"/>
    <s v="Charleston"/>
    <s v="South Carolina"/>
    <x v="1"/>
    <n v="6510"/>
    <s v="Import, Empty"/>
  </r>
  <r>
    <x v="0"/>
    <s v="Charleston"/>
    <s v="South Carolina"/>
    <x v="2"/>
    <n v="6095"/>
    <s v="Import, Empty"/>
  </r>
  <r>
    <x v="0"/>
    <s v="Charleston"/>
    <s v="South Carolina"/>
    <x v="3"/>
    <n v="7682"/>
    <s v="Import, Empty"/>
  </r>
  <r>
    <x v="0"/>
    <s v="Charleston"/>
    <s v="South Carolina"/>
    <x v="4"/>
    <n v="6175"/>
    <s v="Import, Empty"/>
  </r>
  <r>
    <x v="0"/>
    <s v="Charleston"/>
    <s v="South Carolina"/>
    <x v="5"/>
    <n v="8371"/>
    <s v="Import, Empty"/>
  </r>
  <r>
    <x v="0"/>
    <s v="Charleston"/>
    <s v="South Carolina"/>
    <x v="6"/>
    <n v="7535"/>
    <s v="Import, Empty"/>
  </r>
  <r>
    <x v="0"/>
    <s v="Charleston"/>
    <s v="South Carolina"/>
    <x v="7"/>
    <n v="7599"/>
    <s v="Import, Empty"/>
  </r>
  <r>
    <x v="0"/>
    <s v="Charleston"/>
    <s v="South Carolina"/>
    <x v="8"/>
    <n v="3935"/>
    <s v="Import, Empty"/>
  </r>
  <r>
    <x v="0"/>
    <s v="Charleston"/>
    <s v="South Carolina"/>
    <x v="9"/>
    <n v="6914"/>
    <s v="Import, Empty"/>
  </r>
  <r>
    <x v="0"/>
    <s v="Charleston"/>
    <s v="South Carolina"/>
    <x v="10"/>
    <n v="4955"/>
    <s v="Import, Empty"/>
  </r>
  <r>
    <x v="0"/>
    <s v="Charleston"/>
    <s v="South Carolina"/>
    <x v="11"/>
    <n v="6371"/>
    <s v="Import, Empty"/>
  </r>
  <r>
    <x v="0"/>
    <s v="Charleston"/>
    <s v="South Carolina"/>
    <x v="12"/>
    <n v="7098"/>
    <s v="Import, Empty"/>
  </r>
  <r>
    <x v="0"/>
    <s v="Charleston"/>
    <s v="South Carolina"/>
    <x v="13"/>
    <n v="5684"/>
    <s v="Import, Empty"/>
  </r>
  <r>
    <x v="0"/>
    <s v="Charleston"/>
    <s v="South Carolina"/>
    <x v="14"/>
    <n v="7625"/>
    <s v="Import, Empty"/>
  </r>
  <r>
    <x v="0"/>
    <s v="Charleston"/>
    <s v="South Carolina"/>
    <x v="15"/>
    <n v="5178"/>
    <s v="Import, Empty"/>
  </r>
  <r>
    <x v="0"/>
    <s v="Charleston"/>
    <s v="South Carolina"/>
    <x v="16"/>
    <n v="5262"/>
    <s v="Import, Empty"/>
  </r>
  <r>
    <x v="0"/>
    <s v="Charleston"/>
    <s v="South Carolina"/>
    <x v="17"/>
    <n v="3762"/>
    <s v="Import, Empty"/>
  </r>
  <r>
    <x v="0"/>
    <s v="Charleston"/>
    <s v="South Carolina"/>
    <x v="18"/>
    <n v="2676"/>
    <s v="Import, Empty"/>
  </r>
  <r>
    <x v="0"/>
    <s v="Charleston"/>
    <s v="South Carolina"/>
    <x v="19"/>
    <n v="2230"/>
    <s v="Import, Empty"/>
  </r>
  <r>
    <x v="0"/>
    <s v="Charleston"/>
    <s v="South Carolina"/>
    <x v="20"/>
    <n v="5653"/>
    <s v="Import, Empty"/>
  </r>
  <r>
    <x v="0"/>
    <s v="Charleston"/>
    <s v="South Carolina"/>
    <x v="21"/>
    <n v="5824"/>
    <s v="Import, Empty"/>
  </r>
  <r>
    <x v="0"/>
    <s v="Charleston"/>
    <s v="South Carolina"/>
    <x v="22"/>
    <n v="4161"/>
    <s v="Import, Empty"/>
  </r>
  <r>
    <x v="0"/>
    <s v="Charleston"/>
    <s v="South Carolina"/>
    <x v="23"/>
    <n v="4810"/>
    <s v="Import, Empty"/>
  </r>
  <r>
    <x v="0"/>
    <s v="Charleston"/>
    <s v="South Carolina"/>
    <x v="24"/>
    <n v="4626"/>
    <s v="Import, Empty"/>
  </r>
  <r>
    <x v="0"/>
    <s v="Charleston"/>
    <s v="South Carolina"/>
    <x v="25"/>
    <n v="3666"/>
    <s v="Import, Empty"/>
  </r>
  <r>
    <x v="0"/>
    <s v="Charleston"/>
    <s v="South Carolina"/>
    <x v="26"/>
    <n v="8981"/>
    <s v="Import, Empty"/>
  </r>
  <r>
    <x v="0"/>
    <s v="Charleston"/>
    <s v="South Carolina"/>
    <x v="27"/>
    <n v="4497"/>
    <s v="Import, Empty"/>
  </r>
  <r>
    <x v="0"/>
    <s v="Charleston"/>
    <s v="South Carolina"/>
    <x v="28"/>
    <n v="6095"/>
    <s v="Import, Empty"/>
  </r>
  <r>
    <x v="0"/>
    <s v="Charleston"/>
    <s v="South Carolina"/>
    <x v="29"/>
    <n v="9064"/>
    <s v="Import, Empty"/>
  </r>
  <r>
    <x v="0"/>
    <s v="Charleston"/>
    <s v="South Carolina"/>
    <x v="30"/>
    <n v="5534"/>
    <s v="Import, Empty"/>
  </r>
  <r>
    <x v="0"/>
    <s v="Charleston"/>
    <s v="South Carolina"/>
    <x v="31"/>
    <n v="3727"/>
    <s v="Import, Empty"/>
  </r>
  <r>
    <x v="0"/>
    <s v="Charleston"/>
    <s v="South Carolina"/>
    <x v="32"/>
    <n v="2943"/>
    <s v="Import, Empty"/>
  </r>
  <r>
    <x v="0"/>
    <s v="Charleston"/>
    <s v="South Carolina"/>
    <x v="33"/>
    <n v="5943"/>
    <s v="Import, Empty"/>
  </r>
  <r>
    <x v="0"/>
    <s v="Charleston"/>
    <s v="South Carolina"/>
    <x v="34"/>
    <n v="7172"/>
    <s v="Import, Empty"/>
  </r>
  <r>
    <x v="0"/>
    <s v="Charleston"/>
    <s v="South Carolina"/>
    <x v="35"/>
    <n v="6298"/>
    <s v="Import, Empty"/>
  </r>
  <r>
    <x v="0"/>
    <s v="Charleston"/>
    <s v="South Carolina"/>
    <x v="36"/>
    <n v="2976"/>
    <s v="Import, Empty"/>
  </r>
  <r>
    <x v="0"/>
    <s v="Charleston"/>
    <s v="South Carolina"/>
    <x v="37"/>
    <n v="1942"/>
    <s v="Import, Empty"/>
  </r>
  <r>
    <x v="0"/>
    <s v="Charleston"/>
    <s v="South Carolina"/>
    <x v="38"/>
    <n v="2021"/>
    <s v="Import, Empty"/>
  </r>
  <r>
    <x v="0"/>
    <s v="Charleston"/>
    <s v="South Carolina"/>
    <x v="39"/>
    <n v="1392"/>
    <s v="Import, Empty"/>
  </r>
  <r>
    <x v="0"/>
    <s v="Charleston"/>
    <s v="South Carolina"/>
    <x v="40"/>
    <n v="1835"/>
    <s v="Import, Empty"/>
  </r>
  <r>
    <x v="0"/>
    <s v="Charleston"/>
    <s v="South Carolina"/>
    <x v="41"/>
    <n v="1653"/>
    <s v="Import, Empty"/>
  </r>
  <r>
    <x v="0"/>
    <s v="Charleston"/>
    <s v="South Carolina"/>
    <x v="42"/>
    <n v="1923"/>
    <s v="Import, Empty"/>
  </r>
  <r>
    <x v="0"/>
    <s v="Charleston"/>
    <s v="South Carolina"/>
    <x v="43"/>
    <n v="2034"/>
    <s v="Import, Empty"/>
  </r>
  <r>
    <x v="0"/>
    <s v="Charleston"/>
    <s v="South Carolina"/>
    <x v="44"/>
    <n v="2571"/>
    <s v="Import, Empty"/>
  </r>
  <r>
    <x v="0"/>
    <s v="Charleston"/>
    <s v="South Carolina"/>
    <x v="45"/>
    <n v="2934"/>
    <s v="Import, Empty"/>
  </r>
  <r>
    <x v="0"/>
    <s v="Charleston"/>
    <s v="South Carolina"/>
    <x v="46"/>
    <n v="2098"/>
    <s v="Import, Empty"/>
  </r>
  <r>
    <x v="0"/>
    <s v="Charleston"/>
    <s v="South Carolina"/>
    <x v="47"/>
    <n v="1305"/>
    <s v="Import, Empty"/>
  </r>
  <r>
    <x v="0"/>
    <s v="Charleston"/>
    <s v="South Carolina"/>
    <x v="48"/>
    <n v="1542"/>
    <s v="Import, Empty"/>
  </r>
  <r>
    <x v="0"/>
    <s v="Charleston"/>
    <s v="South Carolina"/>
    <x v="49"/>
    <n v="3655"/>
    <s v="Import, Empty"/>
  </r>
  <r>
    <x v="0"/>
    <s v="Charleston"/>
    <s v="South Carolina"/>
    <x v="50"/>
    <n v="2372"/>
    <s v="Import, Empty"/>
  </r>
  <r>
    <x v="0"/>
    <s v="Charleston"/>
    <s v="South Carolina"/>
    <x v="51"/>
    <n v="2843"/>
    <s v="Import, Empty"/>
  </r>
  <r>
    <x v="0"/>
    <s v="Charleston"/>
    <s v="South Carolina"/>
    <x v="52"/>
    <n v="3308"/>
    <s v="Import, Empty"/>
  </r>
  <r>
    <x v="0"/>
    <s v="Charleston"/>
    <s v="South Carolina"/>
    <x v="53"/>
    <n v="2982"/>
    <s v="Import, Empty"/>
  </r>
  <r>
    <x v="0"/>
    <s v="Charleston"/>
    <s v="South Carolina"/>
    <x v="54"/>
    <n v="1258"/>
    <s v="Import, Empty"/>
  </r>
  <r>
    <x v="0"/>
    <s v="Charleston"/>
    <s v="South Carolina"/>
    <x v="55"/>
    <n v="1388"/>
    <s v="Import, Empty"/>
  </r>
  <r>
    <x v="0"/>
    <s v="Charleston"/>
    <s v="South Carolina"/>
    <x v="56"/>
    <n v="1777"/>
    <s v="Import, Empty"/>
  </r>
  <r>
    <x v="0"/>
    <s v="Charleston"/>
    <s v="South Carolina"/>
    <x v="57"/>
    <n v="2489"/>
    <s v="Import, Empty"/>
  </r>
  <r>
    <x v="0"/>
    <s v="Charleston"/>
    <s v="South Carolina"/>
    <x v="58"/>
    <n v="2478"/>
    <s v="Import, Empty"/>
  </r>
  <r>
    <x v="0"/>
    <s v="Charleston"/>
    <s v="South Carolina"/>
    <x v="59"/>
    <n v="1643"/>
    <s v="Import, Empty"/>
  </r>
  <r>
    <x v="0"/>
    <s v="Charleston"/>
    <s v="South Carolina"/>
    <x v="60"/>
    <n v="3255"/>
    <s v="Import, Empty"/>
  </r>
  <r>
    <x v="0"/>
    <s v="Charleston"/>
    <s v="South Carolina"/>
    <x v="61"/>
    <n v="1394"/>
    <s v="Import, Empty"/>
  </r>
  <r>
    <x v="0"/>
    <s v="Charleston"/>
    <s v="South Carolina"/>
    <x v="62"/>
    <n v="1343"/>
    <s v="Import, Empty"/>
  </r>
  <r>
    <x v="0"/>
    <s v="Charleston"/>
    <s v="South Carolina"/>
    <x v="63"/>
    <n v="1538"/>
    <s v="Import, Empty"/>
  </r>
  <r>
    <x v="0"/>
    <s v="Charleston"/>
    <s v="South Carolina"/>
    <x v="64"/>
    <n v="2575"/>
    <s v="Import, Empty"/>
  </r>
  <r>
    <x v="0"/>
    <s v="Charleston"/>
    <s v="South Carolina"/>
    <x v="65"/>
    <n v="1839"/>
    <s v="Import, Empty"/>
  </r>
  <r>
    <x v="0"/>
    <s v="Charleston"/>
    <s v="South Carolina"/>
    <x v="66"/>
    <n v="1733"/>
    <s v="Import, Empty"/>
  </r>
  <r>
    <x v="0"/>
    <s v="Charleston"/>
    <s v="South Carolina"/>
    <x v="67"/>
    <n v="1015"/>
    <s v="Import, Empty"/>
  </r>
  <r>
    <x v="0"/>
    <s v="Charleston"/>
    <s v="South Carolina"/>
    <x v="68"/>
    <n v="3139"/>
    <s v="Import, Empty"/>
  </r>
  <r>
    <x v="0"/>
    <s v="Charleston"/>
    <s v="South Carolina"/>
    <x v="69"/>
    <n v="794"/>
    <s v="Import, Empty"/>
  </r>
  <r>
    <x v="0"/>
    <s v="Charleston"/>
    <s v="South Carolina"/>
    <x v="70"/>
    <n v="3400"/>
    <s v="Import, Empty"/>
  </r>
  <r>
    <x v="0"/>
    <s v="Charleston"/>
    <s v="South Carolina"/>
    <x v="71"/>
    <n v="2027"/>
    <s v="Import, Empty"/>
  </r>
  <r>
    <x v="0"/>
    <s v="Charleston"/>
    <s v="South Carolina"/>
    <x v="72"/>
    <n v="4474"/>
    <s v="Import, Empty"/>
  </r>
  <r>
    <x v="0"/>
    <s v="Charleston"/>
    <s v="South Carolina"/>
    <x v="73"/>
    <n v="2958"/>
    <s v="Import, Empty"/>
  </r>
  <r>
    <x v="0"/>
    <s v="Charleston"/>
    <s v="South Carolina"/>
    <x v="74"/>
    <n v="2742"/>
    <s v="Import, Empty"/>
  </r>
  <r>
    <x v="0"/>
    <s v="Charleston"/>
    <s v="South Carolina"/>
    <x v="75"/>
    <n v="2155"/>
    <s v="Import, Empty"/>
  </r>
  <r>
    <x v="0"/>
    <s v="Charleston"/>
    <s v="South Carolina"/>
    <x v="76"/>
    <n v="1824"/>
    <s v="Import, Empty"/>
  </r>
  <r>
    <x v="1"/>
    <s v="Houston"/>
    <s v="Texas "/>
    <x v="0"/>
    <n v="10975"/>
    <s v="Import, Empty"/>
  </r>
  <r>
    <x v="1"/>
    <s v="Houston"/>
    <s v="Texas "/>
    <x v="1"/>
    <n v="9759"/>
    <s v="Import, Empty"/>
  </r>
  <r>
    <x v="1"/>
    <s v="Houston"/>
    <s v="Texas "/>
    <x v="2"/>
    <n v="35333"/>
    <s v="Import, Empty"/>
  </r>
  <r>
    <x v="1"/>
    <s v="Houston"/>
    <s v="Texas "/>
    <x v="3"/>
    <n v="27182"/>
    <s v="Import, Empty"/>
  </r>
  <r>
    <x v="1"/>
    <s v="Houston"/>
    <s v="Texas "/>
    <x v="4"/>
    <n v="21289"/>
    <s v="Import, Empty"/>
  </r>
  <r>
    <x v="1"/>
    <s v="Houston"/>
    <s v="Texas "/>
    <x v="5"/>
    <n v="20003"/>
    <s v="Import, Empty"/>
  </r>
  <r>
    <x v="1"/>
    <s v="Houston"/>
    <s v="Texas "/>
    <x v="6"/>
    <n v="20426"/>
    <s v="Import, Empty"/>
  </r>
  <r>
    <x v="1"/>
    <s v="Houston"/>
    <s v="Texas "/>
    <x v="7"/>
    <n v="16986"/>
    <s v="Import, Empty"/>
  </r>
  <r>
    <x v="1"/>
    <s v="Houston"/>
    <s v="Texas "/>
    <x v="8"/>
    <n v="22168"/>
    <s v="Import, Empty"/>
  </r>
  <r>
    <x v="1"/>
    <s v="Houston"/>
    <s v="Texas "/>
    <x v="9"/>
    <n v="17720"/>
    <s v="Import, Empty"/>
  </r>
  <r>
    <x v="1"/>
    <s v="Houston"/>
    <s v="Texas "/>
    <x v="10"/>
    <n v="22188"/>
    <s v="Import, Empty"/>
  </r>
  <r>
    <x v="1"/>
    <s v="Houston"/>
    <s v="Texas "/>
    <x v="11"/>
    <n v="28513"/>
    <s v="Import, Empty"/>
  </r>
  <r>
    <x v="1"/>
    <s v="Houston"/>
    <s v="Texas "/>
    <x v="12"/>
    <n v="30252"/>
    <s v="Import, Empty"/>
  </r>
  <r>
    <x v="1"/>
    <s v="Houston"/>
    <s v="Texas "/>
    <x v="13"/>
    <n v="44560"/>
    <s v="Import, Empty"/>
  </r>
  <r>
    <x v="1"/>
    <s v="Houston"/>
    <s v="Texas "/>
    <x v="14"/>
    <n v="37448"/>
    <s v="Import, Empty"/>
  </r>
  <r>
    <x v="1"/>
    <s v="Houston"/>
    <s v="Texas "/>
    <x v="15"/>
    <n v="18422"/>
    <s v="Import, Empty"/>
  </r>
  <r>
    <x v="1"/>
    <s v="Houston"/>
    <s v="Texas "/>
    <x v="16"/>
    <n v="8959"/>
    <s v="Import, Empty"/>
  </r>
  <r>
    <x v="1"/>
    <s v="Houston"/>
    <s v="Texas "/>
    <x v="17"/>
    <n v="17002"/>
    <s v="Import, Empty"/>
  </r>
  <r>
    <x v="1"/>
    <s v="Houston"/>
    <s v="Texas "/>
    <x v="18"/>
    <n v="21677"/>
    <s v="Import, Empty"/>
  </r>
  <r>
    <x v="1"/>
    <s v="Houston"/>
    <s v="Texas "/>
    <x v="19"/>
    <n v="11970"/>
    <s v="Import, Empty"/>
  </r>
  <r>
    <x v="1"/>
    <s v="Houston"/>
    <s v="Texas "/>
    <x v="20"/>
    <n v="10701"/>
    <s v="Import, Empty"/>
  </r>
  <r>
    <x v="1"/>
    <s v="Houston"/>
    <s v="Texas "/>
    <x v="21"/>
    <n v="12871"/>
    <s v="Import, Empty"/>
  </r>
  <r>
    <x v="1"/>
    <s v="Houston"/>
    <s v="Texas "/>
    <x v="22"/>
    <n v="8018"/>
    <s v="Import, Empty"/>
  </r>
  <r>
    <x v="1"/>
    <s v="Houston"/>
    <s v="Texas "/>
    <x v="23"/>
    <n v="14323"/>
    <s v="Import, Empty"/>
  </r>
  <r>
    <x v="1"/>
    <s v="Houston"/>
    <s v="Texas "/>
    <x v="24"/>
    <n v="10264"/>
    <s v="Import, Empty"/>
  </r>
  <r>
    <x v="1"/>
    <s v="Houston"/>
    <s v="Texas "/>
    <x v="25"/>
    <n v="9262"/>
    <s v="Import, Empty"/>
  </r>
  <r>
    <x v="1"/>
    <s v="Houston"/>
    <s v="Texas "/>
    <x v="26"/>
    <n v="18524"/>
    <s v="Import, Empty"/>
  </r>
  <r>
    <x v="1"/>
    <s v="Houston"/>
    <s v="Texas "/>
    <x v="27"/>
    <n v="14431"/>
    <s v="Import, Empty"/>
  </r>
  <r>
    <x v="1"/>
    <s v="Houston"/>
    <s v="Texas "/>
    <x v="28"/>
    <n v="8633"/>
    <s v="Import, Empty"/>
  </r>
  <r>
    <x v="1"/>
    <s v="Houston"/>
    <s v="Texas "/>
    <x v="29"/>
    <n v="12188"/>
    <s v="Import, Empty"/>
  </r>
  <r>
    <x v="1"/>
    <s v="Houston"/>
    <s v="Texas "/>
    <x v="30"/>
    <n v="9003"/>
    <s v="Import, Empty"/>
  </r>
  <r>
    <x v="1"/>
    <s v="Houston"/>
    <s v="Texas "/>
    <x v="31"/>
    <n v="8652"/>
    <s v="Import, Empty"/>
  </r>
  <r>
    <x v="1"/>
    <s v="Houston"/>
    <s v="Texas "/>
    <x v="32"/>
    <n v="10114"/>
    <s v="Import, Empty"/>
  </r>
  <r>
    <x v="1"/>
    <s v="Houston"/>
    <s v="Texas "/>
    <x v="33"/>
    <n v="12525"/>
    <s v="Import, Empty"/>
  </r>
  <r>
    <x v="1"/>
    <s v="Houston"/>
    <s v="Texas "/>
    <x v="34"/>
    <n v="9004"/>
    <s v="Import, Empty"/>
  </r>
  <r>
    <x v="1"/>
    <s v="Houston"/>
    <s v="Texas "/>
    <x v="35"/>
    <n v="3451"/>
    <s v="Import, Empty"/>
  </r>
  <r>
    <x v="1"/>
    <s v="Houston"/>
    <s v="Texas "/>
    <x v="36"/>
    <n v="4737"/>
    <s v="Import, Empty"/>
  </r>
  <r>
    <x v="1"/>
    <s v="Houston"/>
    <s v="Texas "/>
    <x v="37"/>
    <n v="7125"/>
    <s v="Import, Empty"/>
  </r>
  <r>
    <x v="1"/>
    <s v="Houston"/>
    <s v="Texas "/>
    <x v="38"/>
    <n v="4723"/>
    <s v="Import, Empty"/>
  </r>
  <r>
    <x v="1"/>
    <s v="Houston"/>
    <s v="Texas "/>
    <x v="39"/>
    <n v="13513"/>
    <s v="Import, Empty"/>
  </r>
  <r>
    <x v="1"/>
    <s v="Houston"/>
    <s v="Texas "/>
    <x v="40"/>
    <n v="13469"/>
    <s v="Import, Empty"/>
  </r>
  <r>
    <x v="1"/>
    <s v="Houston"/>
    <s v="Texas "/>
    <x v="41"/>
    <n v="9764"/>
    <s v="Import, Empty"/>
  </r>
  <r>
    <x v="1"/>
    <s v="Houston"/>
    <s v="Texas "/>
    <x v="42"/>
    <n v="8310"/>
    <s v="Import, Empty"/>
  </r>
  <r>
    <x v="1"/>
    <s v="Houston"/>
    <s v="Texas "/>
    <x v="43"/>
    <n v="7775"/>
    <s v="Import, Empty"/>
  </r>
  <r>
    <x v="1"/>
    <s v="Houston"/>
    <s v="Texas "/>
    <x v="44"/>
    <n v="9964"/>
    <s v="Import, Empty"/>
  </r>
  <r>
    <x v="1"/>
    <s v="Houston"/>
    <s v="Texas "/>
    <x v="45"/>
    <n v="8098"/>
    <s v="Import, Empty"/>
  </r>
  <r>
    <x v="1"/>
    <s v="Houston"/>
    <s v="Texas "/>
    <x v="46"/>
    <n v="6708"/>
    <s v="Import, Empty"/>
  </r>
  <r>
    <x v="1"/>
    <s v="Houston"/>
    <s v="Texas "/>
    <x v="47"/>
    <n v="6619"/>
    <s v="Import, Empty"/>
  </r>
  <r>
    <x v="1"/>
    <s v="Houston"/>
    <s v="Texas "/>
    <x v="48"/>
    <n v="21648"/>
    <s v="Import, Empty"/>
  </r>
  <r>
    <x v="1"/>
    <s v="Houston"/>
    <s v="Texas "/>
    <x v="49"/>
    <n v="17841"/>
    <s v="Import, Empty"/>
  </r>
  <r>
    <x v="1"/>
    <s v="Houston"/>
    <s v="Texas "/>
    <x v="50"/>
    <n v="9948"/>
    <s v="Import, Empty"/>
  </r>
  <r>
    <x v="1"/>
    <s v="Houston"/>
    <s v="Texas "/>
    <x v="51"/>
    <n v="14408"/>
    <s v="Import, Empty"/>
  </r>
  <r>
    <x v="1"/>
    <s v="Houston"/>
    <s v="Texas "/>
    <x v="52"/>
    <n v="12087"/>
    <s v="Import, Empty"/>
  </r>
  <r>
    <x v="1"/>
    <s v="Houston"/>
    <s v="Texas "/>
    <x v="53"/>
    <n v="18660"/>
    <s v="Import, Empty"/>
  </r>
  <r>
    <x v="1"/>
    <s v="Houston"/>
    <s v="Texas "/>
    <x v="54"/>
    <n v="10878"/>
    <s v="Import, Empty"/>
  </r>
  <r>
    <x v="1"/>
    <s v="Houston"/>
    <s v="Texas "/>
    <x v="55"/>
    <n v="7558"/>
    <s v="Import, Empty"/>
  </r>
  <r>
    <x v="1"/>
    <s v="Houston"/>
    <s v="Texas "/>
    <x v="56"/>
    <n v="16208"/>
    <s v="Import, Empty"/>
  </r>
  <r>
    <x v="1"/>
    <s v="Houston"/>
    <s v="Texas "/>
    <x v="57"/>
    <n v="12321"/>
    <s v="Import, Empty"/>
  </r>
  <r>
    <x v="1"/>
    <s v="Houston"/>
    <s v="Texas "/>
    <x v="58"/>
    <n v="8356"/>
    <s v="Import, Empty"/>
  </r>
  <r>
    <x v="1"/>
    <s v="Houston"/>
    <s v="Texas "/>
    <x v="59"/>
    <n v="14814"/>
    <s v="Import, Empty"/>
  </r>
  <r>
    <x v="1"/>
    <s v="Houston"/>
    <s v="Texas "/>
    <x v="60"/>
    <n v="15788"/>
    <s v="Import, Empty"/>
  </r>
  <r>
    <x v="1"/>
    <s v="Houston"/>
    <s v="Texas "/>
    <x v="61"/>
    <n v="18152"/>
    <s v="Import, Empty"/>
  </r>
  <r>
    <x v="1"/>
    <s v="Houston"/>
    <s v="Texas "/>
    <x v="62"/>
    <n v="14269"/>
    <s v="Import, Empty"/>
  </r>
  <r>
    <x v="1"/>
    <s v="Houston"/>
    <s v="Texas "/>
    <x v="63"/>
    <n v="13856"/>
    <s v="Import, Empty"/>
  </r>
  <r>
    <x v="1"/>
    <s v="Houston"/>
    <s v="Texas "/>
    <x v="64"/>
    <n v="16457"/>
    <s v="Import, Empty"/>
  </r>
  <r>
    <x v="1"/>
    <s v="Houston"/>
    <s v="Texas "/>
    <x v="65"/>
    <n v="11204"/>
    <s v="Import, Empty"/>
  </r>
  <r>
    <x v="1"/>
    <s v="Houston"/>
    <s v="Texas "/>
    <x v="66"/>
    <n v="12727"/>
    <s v="Import, Empty"/>
  </r>
  <r>
    <x v="1"/>
    <s v="Houston"/>
    <s v="Texas "/>
    <x v="67"/>
    <n v="16172"/>
    <s v="Import, Empty"/>
  </r>
  <r>
    <x v="1"/>
    <s v="Houston"/>
    <s v="Texas "/>
    <x v="68"/>
    <n v="11842"/>
    <s v="Import, Empty"/>
  </r>
  <r>
    <x v="1"/>
    <s v="Houston"/>
    <s v="Texas "/>
    <x v="69"/>
    <n v="7760"/>
    <s v="Import, Empty"/>
  </r>
  <r>
    <x v="1"/>
    <s v="Houston"/>
    <s v="Texas "/>
    <x v="70"/>
    <n v="14475"/>
    <s v="Import, Empty"/>
  </r>
  <r>
    <x v="1"/>
    <s v="Houston"/>
    <s v="Texas "/>
    <x v="71"/>
    <n v="19082"/>
    <s v="Import, Empty"/>
  </r>
  <r>
    <x v="1"/>
    <s v="Houston"/>
    <s v="Texas "/>
    <x v="72"/>
    <n v="16186"/>
    <s v="Import, Empty"/>
  </r>
  <r>
    <x v="1"/>
    <s v="Houston"/>
    <s v="Texas "/>
    <x v="73"/>
    <n v="22068"/>
    <s v="Import, Empty"/>
  </r>
  <r>
    <x v="1"/>
    <s v="Houston"/>
    <s v="Texas "/>
    <x v="74"/>
    <n v="21802"/>
    <s v="Import, Empty"/>
  </r>
  <r>
    <x v="1"/>
    <s v="Houston"/>
    <s v="Texas "/>
    <x v="75"/>
    <n v="18489"/>
    <s v="Import, Empty"/>
  </r>
  <r>
    <x v="1"/>
    <s v="Houston"/>
    <s v="Texas "/>
    <x v="76"/>
    <n v="18358"/>
    <s v="Import, Empty"/>
  </r>
  <r>
    <x v="2"/>
    <s v="Long Beach"/>
    <s v="California"/>
    <x v="0"/>
    <n v="6290"/>
    <s v="Import, Empty"/>
  </r>
  <r>
    <x v="2"/>
    <s v="Long Beach"/>
    <s v="California"/>
    <x v="1"/>
    <n v="5734"/>
    <s v="Import, Empty"/>
  </r>
  <r>
    <x v="2"/>
    <s v="Long Beach"/>
    <s v="California"/>
    <x v="2"/>
    <n v="9033"/>
    <s v="Import, Empty"/>
  </r>
  <r>
    <x v="2"/>
    <s v="Long Beach"/>
    <s v="California"/>
    <x v="3"/>
    <n v="6713"/>
    <s v="Import, Empty"/>
  </r>
  <r>
    <x v="2"/>
    <s v="Long Beach"/>
    <s v="California"/>
    <x v="4"/>
    <n v="4887"/>
    <s v="Import, Empty"/>
  </r>
  <r>
    <x v="2"/>
    <s v="Long Beach"/>
    <s v="California"/>
    <x v="5"/>
    <n v="6221"/>
    <s v="Import, Empty"/>
  </r>
  <r>
    <x v="2"/>
    <s v="Long Beach"/>
    <s v="California"/>
    <x v="6"/>
    <n v="4862"/>
    <s v="Import, Empty"/>
  </r>
  <r>
    <x v="2"/>
    <s v="Long Beach"/>
    <s v="California"/>
    <x v="7"/>
    <n v="7160"/>
    <s v="Import, Empty"/>
  </r>
  <r>
    <x v="2"/>
    <s v="Long Beach"/>
    <s v="California"/>
    <x v="8"/>
    <n v="4606"/>
    <s v="Import, Empty"/>
  </r>
  <r>
    <x v="2"/>
    <s v="Long Beach"/>
    <s v="California"/>
    <x v="9"/>
    <n v="5155"/>
    <s v="Import, Empty"/>
  </r>
  <r>
    <x v="2"/>
    <s v="Long Beach"/>
    <s v="California"/>
    <x v="10"/>
    <n v="6263"/>
    <s v="Import, Empty"/>
  </r>
  <r>
    <x v="2"/>
    <s v="Long Beach"/>
    <s v="California"/>
    <x v="11"/>
    <n v="7783"/>
    <s v="Import, Empty"/>
  </r>
  <r>
    <x v="2"/>
    <s v="Long Beach"/>
    <s v="California"/>
    <x v="12"/>
    <n v="7437"/>
    <s v="Import, Empty"/>
  </r>
  <r>
    <x v="2"/>
    <s v="Long Beach"/>
    <s v="California"/>
    <x v="13"/>
    <n v="9291"/>
    <s v="Import, Empty"/>
  </r>
  <r>
    <x v="2"/>
    <s v="Long Beach"/>
    <s v="California"/>
    <x v="14"/>
    <n v="12352"/>
    <s v="Import, Empty"/>
  </r>
  <r>
    <x v="2"/>
    <s v="Long Beach"/>
    <s v="California"/>
    <x v="15"/>
    <n v="17758"/>
    <s v="Import, Empty"/>
  </r>
  <r>
    <x v="2"/>
    <s v="Long Beach"/>
    <s v="California"/>
    <x v="16"/>
    <n v="9219"/>
    <s v="Import, Empty"/>
  </r>
  <r>
    <x v="2"/>
    <s v="Long Beach"/>
    <s v="California"/>
    <x v="17"/>
    <n v="11300"/>
    <s v="Import, Empty"/>
  </r>
  <r>
    <x v="2"/>
    <s v="Long Beach"/>
    <s v="California"/>
    <x v="18"/>
    <n v="12755"/>
    <s v="Import, Empty"/>
  </r>
  <r>
    <x v="2"/>
    <s v="Long Beach"/>
    <s v="California"/>
    <x v="19"/>
    <n v="13691"/>
    <s v="Import, Empty"/>
  </r>
  <r>
    <x v="2"/>
    <s v="Long Beach"/>
    <s v="California"/>
    <x v="20"/>
    <n v="11335"/>
    <s v="Import, Empty"/>
  </r>
  <r>
    <x v="2"/>
    <s v="Long Beach"/>
    <s v="California"/>
    <x v="21"/>
    <n v="14528"/>
    <s v="Import, Empty"/>
  </r>
  <r>
    <x v="2"/>
    <s v="Long Beach"/>
    <s v="California"/>
    <x v="22"/>
    <n v="13117"/>
    <s v="Import, Empty"/>
  </r>
  <r>
    <x v="2"/>
    <s v="Long Beach"/>
    <s v="California"/>
    <x v="23"/>
    <n v="13588"/>
    <s v="Import, Empty"/>
  </r>
  <r>
    <x v="2"/>
    <s v="Long Beach"/>
    <s v="California"/>
    <x v="24"/>
    <n v="13277"/>
    <s v="Import, Empty"/>
  </r>
  <r>
    <x v="2"/>
    <s v="Long Beach"/>
    <s v="California"/>
    <x v="25"/>
    <n v="13132"/>
    <s v="Import, Empty"/>
  </r>
  <r>
    <x v="2"/>
    <s v="Long Beach"/>
    <s v="California"/>
    <x v="26"/>
    <n v="13488"/>
    <s v="Import, Empty"/>
  </r>
  <r>
    <x v="2"/>
    <s v="Long Beach"/>
    <s v="California"/>
    <x v="27"/>
    <n v="11577"/>
    <s v="Import, Empty"/>
  </r>
  <r>
    <x v="2"/>
    <s v="Long Beach"/>
    <s v="California"/>
    <x v="28"/>
    <n v="13065"/>
    <s v="Import, Empty"/>
  </r>
  <r>
    <x v="2"/>
    <s v="Long Beach"/>
    <s v="California"/>
    <x v="29"/>
    <n v="12634"/>
    <s v="Import, Empty"/>
  </r>
  <r>
    <x v="2"/>
    <s v="Long Beach"/>
    <s v="California"/>
    <x v="30"/>
    <n v="15592"/>
    <s v="Import, Empty"/>
  </r>
  <r>
    <x v="2"/>
    <s v="Long Beach"/>
    <s v="California"/>
    <x v="31"/>
    <n v="12289"/>
    <s v="Import, Empty"/>
  </r>
  <r>
    <x v="2"/>
    <s v="Long Beach"/>
    <s v="California"/>
    <x v="32"/>
    <n v="13492"/>
    <s v="Import, Empty"/>
  </r>
  <r>
    <x v="2"/>
    <s v="Long Beach"/>
    <s v="California"/>
    <x v="33"/>
    <n v="12129"/>
    <s v="Import, Empty"/>
  </r>
  <r>
    <x v="2"/>
    <s v="Long Beach"/>
    <s v="California"/>
    <x v="34"/>
    <n v="11090"/>
    <s v="Import, Empty"/>
  </r>
  <r>
    <x v="2"/>
    <s v="Long Beach"/>
    <s v="California"/>
    <x v="35"/>
    <n v="12525"/>
    <s v="Import, Empty"/>
  </r>
  <r>
    <x v="2"/>
    <s v="Long Beach"/>
    <s v="California"/>
    <x v="36"/>
    <n v="12492"/>
    <s v="Import, Empty"/>
  </r>
  <r>
    <x v="2"/>
    <s v="Long Beach"/>
    <s v="California"/>
    <x v="37"/>
    <n v="11617"/>
    <s v="Import, Empty"/>
  </r>
  <r>
    <x v="2"/>
    <s v="Long Beach"/>
    <s v="California"/>
    <x v="38"/>
    <n v="11597"/>
    <s v="Import, Empty"/>
  </r>
  <r>
    <x v="2"/>
    <s v="Long Beach"/>
    <s v="California"/>
    <x v="39"/>
    <n v="12895"/>
    <s v="Import, Empty"/>
  </r>
  <r>
    <x v="2"/>
    <s v="Long Beach"/>
    <s v="California"/>
    <x v="40"/>
    <n v="10673"/>
    <s v="Import, Empty"/>
  </r>
  <r>
    <x v="2"/>
    <s v="Long Beach"/>
    <s v="California"/>
    <x v="41"/>
    <n v="14644"/>
    <s v="Import, Empty"/>
  </r>
  <r>
    <x v="2"/>
    <s v="Long Beach"/>
    <s v="California"/>
    <x v="42"/>
    <n v="14887"/>
    <s v="Import, Empty"/>
  </r>
  <r>
    <x v="2"/>
    <s v="Long Beach"/>
    <s v="California"/>
    <x v="43"/>
    <n v="12444"/>
    <s v="Import, Empty"/>
  </r>
  <r>
    <x v="2"/>
    <s v="Long Beach"/>
    <s v="California"/>
    <x v="44"/>
    <n v="16693"/>
    <s v="Import, Empty"/>
  </r>
  <r>
    <x v="2"/>
    <s v="Long Beach"/>
    <s v="California"/>
    <x v="45"/>
    <n v="16518"/>
    <s v="Import, Empty"/>
  </r>
  <r>
    <x v="2"/>
    <s v="Long Beach"/>
    <s v="California"/>
    <x v="46"/>
    <n v="17767"/>
    <s v="Import, Empty"/>
  </r>
  <r>
    <x v="2"/>
    <s v="Long Beach"/>
    <s v="California"/>
    <x v="47"/>
    <n v="15982"/>
    <s v="Import, Empty"/>
  </r>
  <r>
    <x v="2"/>
    <s v="Long Beach"/>
    <s v="California"/>
    <x v="48"/>
    <n v="13298"/>
    <s v="Import, Empty"/>
  </r>
  <r>
    <x v="2"/>
    <s v="Long Beach"/>
    <s v="California"/>
    <x v="49"/>
    <n v="13258"/>
    <s v="Import, Empty"/>
  </r>
  <r>
    <x v="2"/>
    <s v="Long Beach"/>
    <s v="California"/>
    <x v="50"/>
    <n v="14312"/>
    <s v="Import, Empty"/>
  </r>
  <r>
    <x v="2"/>
    <s v="Long Beach"/>
    <s v="California"/>
    <x v="51"/>
    <n v="16816"/>
    <s v="Import, Empty"/>
  </r>
  <r>
    <x v="2"/>
    <s v="Long Beach"/>
    <s v="California"/>
    <x v="52"/>
    <n v="12970"/>
    <s v="Import, Empty"/>
  </r>
  <r>
    <x v="2"/>
    <s v="Long Beach"/>
    <s v="California"/>
    <x v="53"/>
    <n v="14115"/>
    <s v="Import, Empty"/>
  </r>
  <r>
    <x v="2"/>
    <s v="Long Beach"/>
    <s v="California"/>
    <x v="54"/>
    <n v="16934"/>
    <s v="Import, Empty"/>
  </r>
  <r>
    <x v="2"/>
    <s v="Long Beach"/>
    <s v="California"/>
    <x v="55"/>
    <n v="15277"/>
    <s v="Import, Empty"/>
  </r>
  <r>
    <x v="2"/>
    <s v="Long Beach"/>
    <s v="California"/>
    <x v="56"/>
    <n v="18448"/>
    <s v="Import, Empty"/>
  </r>
  <r>
    <x v="2"/>
    <s v="Long Beach"/>
    <s v="California"/>
    <x v="57"/>
    <n v="14817"/>
    <s v="Import, Empty"/>
  </r>
  <r>
    <x v="2"/>
    <s v="Long Beach"/>
    <s v="California"/>
    <x v="58"/>
    <n v="15064"/>
    <s v="Import, Empty"/>
  </r>
  <r>
    <x v="2"/>
    <s v="Long Beach"/>
    <s v="California"/>
    <x v="59"/>
    <n v="15637"/>
    <s v="Import, Empty"/>
  </r>
  <r>
    <x v="2"/>
    <s v="Long Beach"/>
    <s v="California"/>
    <x v="60"/>
    <n v="12982"/>
    <s v="Import, Empty"/>
  </r>
  <r>
    <x v="2"/>
    <s v="Long Beach"/>
    <s v="California"/>
    <x v="61"/>
    <n v="12930"/>
    <s v="Import, Empty"/>
  </r>
  <r>
    <x v="2"/>
    <s v="Long Beach"/>
    <s v="California"/>
    <x v="62"/>
    <n v="15714"/>
    <s v="Import, Empty"/>
  </r>
  <r>
    <x v="2"/>
    <s v="Long Beach"/>
    <s v="California"/>
    <x v="63"/>
    <n v="13270"/>
    <s v="Import, Empty"/>
  </r>
  <r>
    <x v="2"/>
    <s v="Long Beach"/>
    <s v="California"/>
    <x v="64"/>
    <n v="13906"/>
    <s v="Import, Empty"/>
  </r>
  <r>
    <x v="2"/>
    <s v="Long Beach"/>
    <s v="California"/>
    <x v="65"/>
    <n v="13906"/>
    <s v="Import, Empty"/>
  </r>
  <r>
    <x v="2"/>
    <s v="Long Beach"/>
    <s v="California"/>
    <x v="66"/>
    <n v="16959"/>
    <s v="Import, Empty"/>
  </r>
  <r>
    <x v="2"/>
    <s v="Long Beach"/>
    <s v="California"/>
    <x v="67"/>
    <n v="13610"/>
    <s v="Import, Empty"/>
  </r>
  <r>
    <x v="2"/>
    <s v="Long Beach"/>
    <s v="California"/>
    <x v="68"/>
    <n v="13382"/>
    <s v="Import, Empty"/>
  </r>
  <r>
    <x v="2"/>
    <s v="Long Beach"/>
    <s v="California"/>
    <x v="69"/>
    <n v="14646"/>
    <s v="Import, Empty"/>
  </r>
  <r>
    <x v="2"/>
    <s v="Long Beach"/>
    <s v="California"/>
    <x v="70"/>
    <n v="15306"/>
    <s v="Import, Empty"/>
  </r>
  <r>
    <x v="2"/>
    <s v="Long Beach"/>
    <s v="California"/>
    <x v="71"/>
    <n v="14483"/>
    <s v="Import, Empty"/>
  </r>
  <r>
    <x v="2"/>
    <s v="Long Beach"/>
    <s v="California"/>
    <x v="72"/>
    <n v="13225"/>
    <s v="Import, Empty"/>
  </r>
  <r>
    <x v="2"/>
    <s v="Long Beach"/>
    <s v="California"/>
    <x v="73"/>
    <n v="14397"/>
    <s v="Import, Empty"/>
  </r>
  <r>
    <x v="2"/>
    <s v="Long Beach"/>
    <s v="California"/>
    <x v="74"/>
    <n v="17213"/>
    <s v="Import, Empty"/>
  </r>
  <r>
    <x v="2"/>
    <s v="Long Beach"/>
    <s v="California"/>
    <x v="75"/>
    <n v="17368"/>
    <s v="Import, Empty"/>
  </r>
  <r>
    <x v="2"/>
    <s v="Long Beach"/>
    <s v="California"/>
    <x v="76"/>
    <n v="15424"/>
    <s v="Import, Empty"/>
  </r>
  <r>
    <x v="3"/>
    <s v="Los Angeles"/>
    <s v="California"/>
    <x v="0"/>
    <n v="15807.75"/>
    <s v="Import, Empty"/>
  </r>
  <r>
    <x v="3"/>
    <s v="Los Angeles"/>
    <s v="California"/>
    <x v="1"/>
    <n v="16234.8"/>
    <s v="Import, Empty"/>
  </r>
  <r>
    <x v="3"/>
    <s v="Los Angeles"/>
    <s v="California"/>
    <x v="2"/>
    <n v="13866.95"/>
    <s v="Import, Empty"/>
  </r>
  <r>
    <x v="3"/>
    <s v="Los Angeles"/>
    <s v="California"/>
    <x v="3"/>
    <n v="17598.849999999999"/>
    <s v="Import, Empty"/>
  </r>
  <r>
    <x v="3"/>
    <s v="Los Angeles"/>
    <s v="California"/>
    <x v="4"/>
    <n v="12524.4"/>
    <s v="Import, Empty"/>
  </r>
  <r>
    <x v="3"/>
    <s v="Los Angeles"/>
    <s v="California"/>
    <x v="5"/>
    <n v="9517.5"/>
    <s v="Import, Empty"/>
  </r>
  <r>
    <x v="3"/>
    <s v="Los Angeles"/>
    <s v="California"/>
    <x v="6"/>
    <n v="11166.7"/>
    <s v="Import, Empty"/>
  </r>
  <r>
    <x v="3"/>
    <s v="Los Angeles"/>
    <s v="California"/>
    <x v="7"/>
    <n v="11472.55"/>
    <s v="Import, Empty"/>
  </r>
  <r>
    <x v="3"/>
    <s v="Los Angeles"/>
    <s v="California"/>
    <x v="8"/>
    <n v="12360.9"/>
    <s v="Import, Empty"/>
  </r>
  <r>
    <x v="3"/>
    <s v="Los Angeles"/>
    <s v="California"/>
    <x v="9"/>
    <n v="9656.9"/>
    <s v="Import, Empty"/>
  </r>
  <r>
    <x v="3"/>
    <s v="Los Angeles"/>
    <s v="California"/>
    <x v="10"/>
    <n v="9087.9500000000007"/>
    <s v="Import, Empty"/>
  </r>
  <r>
    <x v="3"/>
    <s v="Los Angeles"/>
    <s v="California"/>
    <x v="11"/>
    <n v="10283.25"/>
    <s v="Import, Empty"/>
  </r>
  <r>
    <x v="3"/>
    <s v="Los Angeles"/>
    <s v="California"/>
    <x v="12"/>
    <n v="11030.65"/>
    <s v="Import, Empty"/>
  </r>
  <r>
    <x v="3"/>
    <s v="Los Angeles"/>
    <s v="California"/>
    <x v="13"/>
    <n v="8710"/>
    <s v="Import, Empty"/>
  </r>
  <r>
    <x v="3"/>
    <s v="Los Angeles"/>
    <s v="California"/>
    <x v="14"/>
    <n v="11352.75"/>
    <s v="Import, Empty"/>
  </r>
  <r>
    <x v="3"/>
    <s v="Los Angeles"/>
    <s v="California"/>
    <x v="15"/>
    <n v="4075"/>
    <s v="Import, Empty"/>
  </r>
  <r>
    <x v="3"/>
    <s v="Los Angeles"/>
    <s v="California"/>
    <x v="16"/>
    <n v="43"/>
    <s v="Import, Empty"/>
  </r>
  <r>
    <x v="3"/>
    <s v="Los Angeles"/>
    <s v="California"/>
    <x v="17"/>
    <n v="68"/>
    <s v="Import, Empty"/>
  </r>
  <r>
    <x v="3"/>
    <s v="Los Angeles"/>
    <s v="California"/>
    <x v="18"/>
    <n v="1168"/>
    <s v="Import, Empty"/>
  </r>
  <r>
    <x v="3"/>
    <s v="Los Angeles"/>
    <s v="California"/>
    <x v="19"/>
    <n v="738.8"/>
    <s v="Import, Empty"/>
  </r>
  <r>
    <x v="3"/>
    <s v="Los Angeles"/>
    <s v="California"/>
    <x v="20"/>
    <n v="4887.05"/>
    <s v="Import, Empty"/>
  </r>
  <r>
    <x v="3"/>
    <s v="Los Angeles"/>
    <s v="California"/>
    <x v="21"/>
    <n v="4199.6000000000004"/>
    <s v="Import, Empty"/>
  </r>
  <r>
    <x v="3"/>
    <s v="Los Angeles"/>
    <s v="California"/>
    <x v="22"/>
    <n v="1247.7"/>
    <s v="Import, Empty"/>
  </r>
  <r>
    <x v="3"/>
    <s v="Los Angeles"/>
    <s v="California"/>
    <x v="23"/>
    <n v="1790.3"/>
    <s v="Import, Empty"/>
  </r>
  <r>
    <x v="3"/>
    <s v="Los Angeles"/>
    <s v="California"/>
    <x v="24"/>
    <n v="254"/>
    <s v="Import, Empty"/>
  </r>
  <r>
    <x v="3"/>
    <s v="Los Angeles"/>
    <s v="California"/>
    <x v="25"/>
    <n v="1270.25"/>
    <s v="Import, Empty"/>
  </r>
  <r>
    <x v="3"/>
    <s v="Los Angeles"/>
    <s v="California"/>
    <x v="26"/>
    <n v="3350.25"/>
    <s v="Import, Empty"/>
  </r>
  <r>
    <x v="3"/>
    <s v="Los Angeles"/>
    <s v="California"/>
    <x v="27"/>
    <n v="4554.75"/>
    <s v="Import, Empty"/>
  </r>
  <r>
    <x v="3"/>
    <s v="Los Angeles"/>
    <s v="California"/>
    <x v="28"/>
    <n v="5088.8999999999996"/>
    <s v="Import, Empty"/>
  </r>
  <r>
    <x v="3"/>
    <s v="Los Angeles"/>
    <s v="California"/>
    <x v="29"/>
    <n v="1790.35"/>
    <s v="Import, Empty"/>
  </r>
  <r>
    <x v="3"/>
    <s v="Los Angeles"/>
    <s v="California"/>
    <x v="30"/>
    <n v="120.7"/>
    <s v="Import, Empty"/>
  </r>
  <r>
    <x v="3"/>
    <s v="Los Angeles"/>
    <s v="California"/>
    <x v="31"/>
    <n v="3201.7"/>
    <s v="Import, Empty"/>
  </r>
  <r>
    <x v="3"/>
    <s v="Los Angeles"/>
    <s v="California"/>
    <x v="32"/>
    <n v="1510.95"/>
    <s v="Import, Empty"/>
  </r>
  <r>
    <x v="3"/>
    <s v="Los Angeles"/>
    <s v="California"/>
    <x v="33"/>
    <n v="1426.95"/>
    <s v="Import, Empty"/>
  </r>
  <r>
    <x v="3"/>
    <s v="Los Angeles"/>
    <s v="California"/>
    <x v="34"/>
    <n v="1865.4"/>
    <s v="Import, Empty"/>
  </r>
  <r>
    <x v="3"/>
    <s v="Los Angeles"/>
    <s v="California"/>
    <x v="35"/>
    <n v="2272.4499999999998"/>
    <s v="Import, Empty"/>
  </r>
  <r>
    <x v="3"/>
    <s v="Los Angeles"/>
    <s v="California"/>
    <x v="36"/>
    <n v="1266.55"/>
    <s v="Import, Empty"/>
  </r>
  <r>
    <x v="3"/>
    <s v="Los Angeles"/>
    <s v="California"/>
    <x v="37"/>
    <n v="2739.6"/>
    <s v="Import, Empty"/>
  </r>
  <r>
    <x v="3"/>
    <s v="Los Angeles"/>
    <s v="California"/>
    <x v="38"/>
    <n v="2580.0500000000002"/>
    <s v="Import, Empty"/>
  </r>
  <r>
    <x v="3"/>
    <s v="Los Angeles"/>
    <s v="California"/>
    <x v="39"/>
    <n v="1594.5"/>
    <s v="Import, Empty"/>
  </r>
  <r>
    <x v="3"/>
    <s v="Los Angeles"/>
    <s v="California"/>
    <x v="40"/>
    <n v="1719.15"/>
    <s v="Import, Empty"/>
  </r>
  <r>
    <x v="3"/>
    <s v="Los Angeles"/>
    <s v="California"/>
    <x v="41"/>
    <n v="3586.95"/>
    <s v="Import, Empty"/>
  </r>
  <r>
    <x v="3"/>
    <s v="Los Angeles"/>
    <s v="California"/>
    <x v="42"/>
    <n v="5256.6"/>
    <s v="Import, Empty"/>
  </r>
  <r>
    <x v="3"/>
    <s v="Los Angeles"/>
    <s v="California"/>
    <x v="43"/>
    <n v="2064.75"/>
    <s v="Import, Empty"/>
  </r>
  <r>
    <x v="3"/>
    <s v="Los Angeles"/>
    <s v="California"/>
    <x v="44"/>
    <n v="2113.4"/>
    <s v="Import, Empty"/>
  </r>
  <r>
    <x v="3"/>
    <s v="Los Angeles"/>
    <s v="California"/>
    <x v="45"/>
    <n v="4356.8"/>
    <s v="Import, Empty"/>
  </r>
  <r>
    <x v="3"/>
    <s v="Los Angeles"/>
    <s v="California"/>
    <x v="46"/>
    <n v="4475.7"/>
    <s v="Import, Empty"/>
  </r>
  <r>
    <x v="3"/>
    <s v="Los Angeles"/>
    <s v="California"/>
    <x v="47"/>
    <n v="7825.9"/>
    <s v="Import, Empty"/>
  </r>
  <r>
    <x v="3"/>
    <s v="Los Angeles"/>
    <s v="California"/>
    <x v="48"/>
    <n v="6480.7"/>
    <s v="Import, Empty"/>
  </r>
  <r>
    <x v="3"/>
    <s v="Los Angeles"/>
    <s v="California"/>
    <x v="49"/>
    <n v="2175.1999999999998"/>
    <s v="Import, Empty"/>
  </r>
  <r>
    <x v="3"/>
    <s v="Los Angeles"/>
    <s v="California"/>
    <x v="50"/>
    <n v="5991"/>
    <s v="Import, Empty"/>
  </r>
  <r>
    <x v="3"/>
    <s v="Los Angeles"/>
    <s v="California"/>
    <x v="51"/>
    <n v="4195.25"/>
    <s v="Import, Empty"/>
  </r>
  <r>
    <x v="3"/>
    <s v="Los Angeles"/>
    <s v="California"/>
    <x v="52"/>
    <n v="2535.8000000000002"/>
    <s v="Import, Empty"/>
  </r>
  <r>
    <x v="3"/>
    <s v="Los Angeles"/>
    <s v="California"/>
    <x v="53"/>
    <n v="2069.5500000000002"/>
    <s v="Import, Empty"/>
  </r>
  <r>
    <x v="3"/>
    <s v="Los Angeles"/>
    <s v="California"/>
    <x v="54"/>
    <n v="641.95000000000005"/>
    <s v="Import, Empty"/>
  </r>
  <r>
    <x v="3"/>
    <s v="Los Angeles"/>
    <s v="California"/>
    <x v="55"/>
    <n v="2758.95"/>
    <s v="Import, Empty"/>
  </r>
  <r>
    <x v="3"/>
    <s v="Los Angeles"/>
    <s v="California"/>
    <x v="56"/>
    <n v="1444"/>
    <s v="Import, Empty"/>
  </r>
  <r>
    <x v="3"/>
    <s v="Los Angeles"/>
    <s v="California"/>
    <x v="57"/>
    <n v="109"/>
    <s v="Import, Empty"/>
  </r>
  <r>
    <x v="3"/>
    <s v="Los Angeles"/>
    <s v="California"/>
    <x v="58"/>
    <n v="140.9"/>
    <s v="Import, Empty"/>
  </r>
  <r>
    <x v="3"/>
    <s v="Los Angeles"/>
    <s v="California"/>
    <x v="59"/>
    <n v="191"/>
    <s v="Import, Empty"/>
  </r>
  <r>
    <x v="3"/>
    <s v="Los Angeles"/>
    <s v="California"/>
    <x v="60"/>
    <n v="179"/>
    <s v="Import, Empty"/>
  </r>
  <r>
    <x v="3"/>
    <s v="Los Angeles"/>
    <s v="California"/>
    <x v="61"/>
    <n v="139"/>
    <s v="Import, Empty"/>
  </r>
  <r>
    <x v="3"/>
    <s v="Los Angeles"/>
    <s v="California"/>
    <x v="62"/>
    <n v="1018.45"/>
    <s v="Import, Empty"/>
  </r>
  <r>
    <x v="3"/>
    <s v="Los Angeles"/>
    <s v="California"/>
    <x v="63"/>
    <n v="253"/>
    <s v="Import, Empty"/>
  </r>
  <r>
    <x v="3"/>
    <s v="Los Angeles"/>
    <s v="California"/>
    <x v="64"/>
    <n v="467.85"/>
    <s v="Import, Empty"/>
  </r>
  <r>
    <x v="3"/>
    <s v="Los Angeles"/>
    <s v="California"/>
    <x v="65"/>
    <n v="545"/>
    <s v="Import, Empty"/>
  </r>
  <r>
    <x v="3"/>
    <s v="Los Angeles"/>
    <s v="California"/>
    <x v="66"/>
    <n v="358.45"/>
    <s v="Import, Empty"/>
  </r>
  <r>
    <x v="3"/>
    <s v="Los Angeles"/>
    <s v="California"/>
    <x v="67"/>
    <n v="1336.6"/>
    <s v="Import, Empty"/>
  </r>
  <r>
    <x v="3"/>
    <s v="Los Angeles"/>
    <s v="California"/>
    <x v="68"/>
    <n v="2083.85"/>
    <s v="Import, Empty"/>
  </r>
  <r>
    <x v="3"/>
    <s v="Los Angeles"/>
    <s v="California"/>
    <x v="69"/>
    <n v="512.25"/>
    <s v="Import, Empty"/>
  </r>
  <r>
    <x v="3"/>
    <s v="Los Angeles"/>
    <s v="California"/>
    <x v="70"/>
    <n v="238.85"/>
    <s v="Import, Empty"/>
  </r>
  <r>
    <x v="3"/>
    <s v="Los Angeles"/>
    <s v="California"/>
    <x v="71"/>
    <n v="397"/>
    <s v="Import, Empty"/>
  </r>
  <r>
    <x v="3"/>
    <s v="Los Angeles"/>
    <s v="California"/>
    <x v="72"/>
    <n v="144"/>
    <s v="Import, Empty"/>
  </r>
  <r>
    <x v="3"/>
    <s v="Los Angeles"/>
    <s v="California"/>
    <x v="73"/>
    <n v="33"/>
    <s v="Import, Empty"/>
  </r>
  <r>
    <x v="3"/>
    <s v="Los Angeles"/>
    <s v="California"/>
    <x v="74"/>
    <n v="1062.25"/>
    <s v="Import, Empty"/>
  </r>
  <r>
    <x v="3"/>
    <s v="Los Angeles"/>
    <s v="California"/>
    <x v="75"/>
    <n v="654.15"/>
    <s v="Import, Empty"/>
  </r>
  <r>
    <x v="3"/>
    <s v="Los Angeles"/>
    <s v="California"/>
    <x v="76"/>
    <n v="413.6"/>
    <s v="Import, Empty"/>
  </r>
  <r>
    <x v="4"/>
    <s v="Seattle"/>
    <s v="Washington"/>
    <x v="0"/>
    <n v="15978"/>
    <s v="Import, Empty"/>
  </r>
  <r>
    <x v="4"/>
    <s v="Seattle"/>
    <s v="Washington"/>
    <x v="1"/>
    <n v="12207"/>
    <s v="Import, Empty"/>
  </r>
  <r>
    <x v="4"/>
    <s v="Seattle"/>
    <s v="Washington"/>
    <x v="2"/>
    <n v="20084"/>
    <s v="Import, Empty"/>
  </r>
  <r>
    <x v="4"/>
    <s v="Seattle"/>
    <s v="Washington"/>
    <x v="3"/>
    <n v="15221"/>
    <s v="Import, Empty"/>
  </r>
  <r>
    <x v="4"/>
    <s v="Seattle"/>
    <s v="Washington"/>
    <x v="4"/>
    <n v="13121"/>
    <s v="Import, Empty"/>
  </r>
  <r>
    <x v="4"/>
    <s v="Seattle"/>
    <s v="Washington"/>
    <x v="5"/>
    <n v="13320"/>
    <s v="Import, Empty"/>
  </r>
  <r>
    <x v="4"/>
    <s v="Seattle"/>
    <s v="Washington"/>
    <x v="6"/>
    <n v="8965"/>
    <s v="Import, Empty"/>
  </r>
  <r>
    <x v="4"/>
    <s v="Seattle"/>
    <s v="Washington"/>
    <x v="7"/>
    <n v="9929"/>
    <s v="Import, Empty"/>
  </r>
  <r>
    <x v="4"/>
    <s v="Seattle"/>
    <s v="Washington"/>
    <x v="8"/>
    <n v="9619"/>
    <s v="Import, Empty"/>
  </r>
  <r>
    <x v="4"/>
    <s v="Seattle"/>
    <s v="Washington"/>
    <x v="9"/>
    <n v="13072"/>
    <s v="Import, Empty"/>
  </r>
  <r>
    <x v="4"/>
    <s v="Seattle"/>
    <s v="Washington"/>
    <x v="10"/>
    <n v="13570"/>
    <s v="Import, Empty"/>
  </r>
  <r>
    <x v="4"/>
    <s v="Seattle"/>
    <s v="Washington"/>
    <x v="11"/>
    <n v="12688"/>
    <s v="Import, Empty"/>
  </r>
  <r>
    <x v="4"/>
    <s v="Seattle"/>
    <s v="Washington"/>
    <x v="12"/>
    <n v="10709"/>
    <s v="Import, Empty"/>
  </r>
  <r>
    <x v="4"/>
    <s v="Seattle"/>
    <s v="Washington"/>
    <x v="13"/>
    <n v="12570"/>
    <s v="Import, Empty"/>
  </r>
  <r>
    <x v="4"/>
    <s v="Seattle"/>
    <s v="Washington"/>
    <x v="14"/>
    <n v="16317"/>
    <s v="Import, Empty"/>
  </r>
  <r>
    <x v="4"/>
    <s v="Seattle"/>
    <s v="Washington"/>
    <x v="15"/>
    <n v="6173"/>
    <s v="Import, Empty"/>
  </r>
  <r>
    <x v="4"/>
    <s v="Seattle"/>
    <s v="Washington"/>
    <x v="16"/>
    <n v="8123"/>
    <s v="Import, Empty"/>
  </r>
  <r>
    <x v="4"/>
    <s v="Seattle"/>
    <s v="Washington"/>
    <x v="17"/>
    <n v="6939"/>
    <s v="Import, Empty"/>
  </r>
  <r>
    <x v="4"/>
    <s v="Seattle"/>
    <s v="Washington"/>
    <x v="18"/>
    <n v="5984"/>
    <s v="Import, Empty"/>
  </r>
  <r>
    <x v="4"/>
    <s v="Seattle"/>
    <s v="Washington"/>
    <x v="19"/>
    <n v="5291"/>
    <s v="Import, Empty"/>
  </r>
  <r>
    <x v="4"/>
    <s v="Seattle"/>
    <s v="Washington"/>
    <x v="20"/>
    <n v="6878"/>
    <s v="Import, Empty"/>
  </r>
  <r>
    <x v="4"/>
    <s v="Seattle"/>
    <s v="Washington"/>
    <x v="21"/>
    <n v="8165"/>
    <s v="Import, Empty"/>
  </r>
  <r>
    <x v="4"/>
    <s v="Seattle"/>
    <s v="Washington"/>
    <x v="22"/>
    <n v="10754"/>
    <s v="Import, Empty"/>
  </r>
  <r>
    <x v="4"/>
    <s v="Seattle"/>
    <s v="Washington"/>
    <x v="23"/>
    <n v="7434"/>
    <s v="Import, Empty"/>
  </r>
  <r>
    <x v="4"/>
    <s v="Seattle"/>
    <s v="Washington"/>
    <x v="24"/>
    <n v="6662"/>
    <s v="Import, Empty"/>
  </r>
  <r>
    <x v="4"/>
    <s v="Seattle"/>
    <s v="Washington"/>
    <x v="25"/>
    <n v="5808"/>
    <s v="Import, Empty"/>
  </r>
  <r>
    <x v="4"/>
    <s v="Seattle"/>
    <s v="Washington"/>
    <x v="26"/>
    <n v="8435"/>
    <s v="Import, Empty"/>
  </r>
  <r>
    <x v="4"/>
    <s v="Seattle"/>
    <s v="Washington"/>
    <x v="27"/>
    <n v="5367"/>
    <s v="Import, Empty"/>
  </r>
  <r>
    <x v="4"/>
    <s v="Seattle"/>
    <s v="Washington"/>
    <x v="28"/>
    <n v="9449"/>
    <s v="Import, Empty"/>
  </r>
  <r>
    <x v="4"/>
    <s v="Seattle"/>
    <s v="Washington"/>
    <x v="29"/>
    <n v="7639"/>
    <s v="Import, Empty"/>
  </r>
  <r>
    <x v="4"/>
    <s v="Seattle"/>
    <s v="Washington"/>
    <x v="30"/>
    <n v="5128"/>
    <s v="Import, Empty"/>
  </r>
  <r>
    <x v="4"/>
    <s v="Seattle"/>
    <s v="Washington"/>
    <x v="31"/>
    <n v="7898"/>
    <s v="Import, Empty"/>
  </r>
  <r>
    <x v="4"/>
    <s v="Seattle"/>
    <s v="Washington"/>
    <x v="32"/>
    <n v="16522"/>
    <s v="Import, Empty"/>
  </r>
  <r>
    <x v="4"/>
    <s v="Seattle"/>
    <s v="Washington"/>
    <x v="33"/>
    <n v="5000"/>
    <s v="Import, Empty"/>
  </r>
  <r>
    <x v="4"/>
    <s v="Seattle"/>
    <s v="Washington"/>
    <x v="34"/>
    <n v="7935"/>
    <s v="Import, Empty"/>
  </r>
  <r>
    <x v="4"/>
    <s v="Seattle"/>
    <s v="Washington"/>
    <x v="35"/>
    <n v="4166"/>
    <s v="Import, Empty"/>
  </r>
  <r>
    <x v="4"/>
    <s v="Seattle"/>
    <s v="Washington"/>
    <x v="36"/>
    <n v="6519"/>
    <s v="Import, Empty"/>
  </r>
  <r>
    <x v="4"/>
    <s v="Seattle"/>
    <s v="Washington"/>
    <x v="37"/>
    <n v="3988"/>
    <s v="Import, Empty"/>
  </r>
  <r>
    <x v="4"/>
    <s v="Seattle"/>
    <s v="Washington"/>
    <x v="38"/>
    <n v="7522"/>
    <s v="Import, Empty"/>
  </r>
  <r>
    <x v="4"/>
    <s v="Seattle"/>
    <s v="Washington"/>
    <x v="39"/>
    <n v="4607"/>
    <s v="Import, Empty"/>
  </r>
  <r>
    <x v="4"/>
    <s v="Seattle"/>
    <s v="Washington"/>
    <x v="40"/>
    <n v="6942"/>
    <s v="Import, Empty"/>
  </r>
  <r>
    <x v="4"/>
    <s v="Seattle"/>
    <s v="Washington"/>
    <x v="41"/>
    <n v="5996"/>
    <s v="Import, Empty"/>
  </r>
  <r>
    <x v="4"/>
    <s v="Seattle"/>
    <s v="Washington"/>
    <x v="42"/>
    <n v="6157"/>
    <s v="Import, Empty"/>
  </r>
  <r>
    <x v="4"/>
    <s v="Seattle"/>
    <s v="Washington"/>
    <x v="43"/>
    <n v="3259"/>
    <s v="Import, Empty"/>
  </r>
  <r>
    <x v="4"/>
    <s v="Seattle"/>
    <s v="Washington"/>
    <x v="44"/>
    <n v="3788"/>
    <s v="Import, Empty"/>
  </r>
  <r>
    <x v="4"/>
    <s v="Seattle"/>
    <s v="Washington"/>
    <x v="45"/>
    <n v="9563"/>
    <s v="Import, Empty"/>
  </r>
  <r>
    <x v="4"/>
    <s v="Seattle"/>
    <s v="Washington"/>
    <x v="46"/>
    <n v="5272"/>
    <s v="Import, Empty"/>
  </r>
  <r>
    <x v="4"/>
    <s v="Seattle"/>
    <s v="Washington"/>
    <x v="47"/>
    <n v="7940"/>
    <s v="Import, Empty"/>
  </r>
  <r>
    <x v="4"/>
    <s v="Seattle"/>
    <s v="Washington"/>
    <x v="48"/>
    <n v="4623"/>
    <s v="Import, Empty"/>
  </r>
  <r>
    <x v="4"/>
    <s v="Seattle"/>
    <s v="Washington"/>
    <x v="49"/>
    <n v="4352"/>
    <s v="Import, Empty"/>
  </r>
  <r>
    <x v="4"/>
    <s v="Seattle"/>
    <s v="Washington"/>
    <x v="50"/>
    <n v="8613"/>
    <s v="Import, Empty"/>
  </r>
  <r>
    <x v="4"/>
    <s v="Seattle"/>
    <s v="Washington"/>
    <x v="51"/>
    <n v="5542"/>
    <s v="Import, Empty"/>
  </r>
  <r>
    <x v="4"/>
    <s v="Seattle"/>
    <s v="Washington"/>
    <x v="52"/>
    <n v="5045"/>
    <s v="Import, Empty"/>
  </r>
  <r>
    <x v="4"/>
    <s v="Seattle"/>
    <s v="Washington"/>
    <x v="53"/>
    <n v="6954"/>
    <s v="Import, Empty"/>
  </r>
  <r>
    <x v="4"/>
    <s v="Seattle"/>
    <s v="Washington"/>
    <x v="54"/>
    <n v="3537"/>
    <s v="Import, Empty"/>
  </r>
  <r>
    <x v="4"/>
    <s v="Seattle"/>
    <s v="Washington"/>
    <x v="55"/>
    <n v="6219"/>
    <s v="Import, Empty"/>
  </r>
  <r>
    <x v="4"/>
    <s v="Seattle"/>
    <s v="Washington"/>
    <x v="56"/>
    <n v="5632"/>
    <s v="Import, Empty"/>
  </r>
  <r>
    <x v="4"/>
    <s v="Seattle"/>
    <s v="Washington"/>
    <x v="57"/>
    <n v="8106"/>
    <s v="Import, Empty"/>
  </r>
  <r>
    <x v="4"/>
    <s v="Seattle"/>
    <s v="Washington"/>
    <x v="58"/>
    <n v="9319"/>
    <s v="Import, Empty"/>
  </r>
  <r>
    <x v="4"/>
    <s v="Seattle"/>
    <s v="Washington"/>
    <x v="59"/>
    <n v="9016"/>
    <s v="Import, Empty"/>
  </r>
  <r>
    <x v="4"/>
    <s v="Seattle"/>
    <s v="Washington"/>
    <x v="60"/>
    <n v="4096"/>
    <s v="Import, Empty"/>
  </r>
  <r>
    <x v="4"/>
    <s v="Seattle"/>
    <s v="Washington"/>
    <x v="61"/>
    <n v="4285"/>
    <s v="Import, Empty"/>
  </r>
  <r>
    <x v="4"/>
    <s v="Seattle"/>
    <s v="Washington"/>
    <x v="62"/>
    <n v="12379"/>
    <s v="Import, Empty"/>
  </r>
  <r>
    <x v="4"/>
    <s v="Seattle"/>
    <s v="Washington"/>
    <x v="63"/>
    <n v="7275"/>
    <s v="Import, Empty"/>
  </r>
  <r>
    <x v="4"/>
    <s v="Seattle"/>
    <s v="Washington"/>
    <x v="64"/>
    <n v="10074"/>
    <s v="Import, Empty"/>
  </r>
  <r>
    <x v="4"/>
    <s v="Seattle"/>
    <s v="Washington"/>
    <x v="65"/>
    <n v="6261"/>
    <s v="Import, Empty"/>
  </r>
  <r>
    <x v="4"/>
    <s v="Seattle"/>
    <s v="Washington"/>
    <x v="66"/>
    <n v="3452"/>
    <s v="Import, Empty"/>
  </r>
  <r>
    <x v="4"/>
    <s v="Seattle"/>
    <s v="Washington"/>
    <x v="67"/>
    <n v="3289"/>
    <s v="Import, Empty"/>
  </r>
  <r>
    <x v="4"/>
    <s v="Seattle"/>
    <s v="Washington"/>
    <x v="68"/>
    <n v="2002"/>
    <s v="Import, Empty"/>
  </r>
  <r>
    <x v="4"/>
    <s v="Seattle"/>
    <s v="Washington"/>
    <x v="69"/>
    <n v="3040"/>
    <s v="Import, Empty"/>
  </r>
  <r>
    <x v="4"/>
    <s v="Seattle"/>
    <s v="Washington"/>
    <x v="70"/>
    <n v="7865"/>
    <s v="Import, Empty"/>
  </r>
  <r>
    <x v="4"/>
    <s v="Seattle"/>
    <s v="Washington"/>
    <x v="71"/>
    <n v="8174"/>
    <s v="Import, Empty"/>
  </r>
  <r>
    <x v="4"/>
    <s v="Seattle"/>
    <s v="Washington"/>
    <x v="72"/>
    <n v="8573"/>
    <s v="Import, Empty"/>
  </r>
  <r>
    <x v="4"/>
    <s v="Seattle"/>
    <s v="Washington"/>
    <x v="73"/>
    <n v="4231"/>
    <s v="Import, Empty"/>
  </r>
  <r>
    <x v="4"/>
    <s v="Seattle"/>
    <s v="Washington"/>
    <x v="74"/>
    <n v="5913"/>
    <s v="Import, Empty"/>
  </r>
  <r>
    <x v="4"/>
    <s v="Seattle"/>
    <s v="Washington"/>
    <x v="75"/>
    <n v="4111"/>
    <s v="Import, Empty"/>
  </r>
  <r>
    <x v="4"/>
    <s v="Seattle"/>
    <s v="Washington"/>
    <x v="76"/>
    <n v="9134"/>
    <s v="Import, Empty"/>
  </r>
  <r>
    <x v="5"/>
    <s v="Oakland"/>
    <s v="California"/>
    <x v="0"/>
    <n v="15482"/>
    <s v="Import, Empty"/>
  </r>
  <r>
    <x v="5"/>
    <s v="Oakland"/>
    <s v="California"/>
    <x v="1"/>
    <n v="14209"/>
    <s v="Import, Empty"/>
  </r>
  <r>
    <x v="5"/>
    <s v="Oakland"/>
    <s v="California"/>
    <x v="2"/>
    <n v="20523"/>
    <s v="Import, Empty"/>
  </r>
  <r>
    <x v="5"/>
    <s v="Oakland"/>
    <s v="California"/>
    <x v="3"/>
    <n v="19652"/>
    <s v="Import, Empty"/>
  </r>
  <r>
    <x v="5"/>
    <s v="Oakland"/>
    <s v="California"/>
    <x v="4"/>
    <n v="16699"/>
    <s v="Import, Empty"/>
  </r>
  <r>
    <x v="5"/>
    <s v="Oakland"/>
    <s v="California"/>
    <x v="5"/>
    <n v="12822"/>
    <s v="Import, Empty"/>
  </r>
  <r>
    <x v="5"/>
    <s v="Oakland"/>
    <s v="California"/>
    <x v="6"/>
    <n v="14913"/>
    <s v="Import, Empty"/>
  </r>
  <r>
    <x v="5"/>
    <s v="Oakland"/>
    <s v="California"/>
    <x v="7"/>
    <n v="16195"/>
    <s v="Import, Empty"/>
  </r>
  <r>
    <x v="5"/>
    <s v="Oakland"/>
    <s v="California"/>
    <x v="8"/>
    <n v="12249"/>
    <s v="Import, Empty"/>
  </r>
  <r>
    <x v="5"/>
    <s v="Oakland"/>
    <s v="California"/>
    <x v="9"/>
    <n v="15671"/>
    <s v="Import, Empty"/>
  </r>
  <r>
    <x v="5"/>
    <s v="Oakland"/>
    <s v="California"/>
    <x v="10"/>
    <n v="18470"/>
    <s v="Import, Empty"/>
  </r>
  <r>
    <x v="5"/>
    <s v="Oakland"/>
    <s v="California"/>
    <x v="11"/>
    <n v="14372"/>
    <s v="Import, Empty"/>
  </r>
  <r>
    <x v="5"/>
    <s v="Oakland"/>
    <s v="California"/>
    <x v="12"/>
    <n v="16115"/>
    <s v="Import, Empty"/>
  </r>
  <r>
    <x v="5"/>
    <s v="Oakland"/>
    <s v="California"/>
    <x v="13"/>
    <n v="17858"/>
    <s v="Import, Empty"/>
  </r>
  <r>
    <x v="5"/>
    <s v="Oakland"/>
    <s v="California"/>
    <x v="14"/>
    <n v="22090"/>
    <s v="Import, Empty"/>
  </r>
  <r>
    <x v="5"/>
    <s v="Oakland"/>
    <s v="California"/>
    <x v="15"/>
    <n v="19770"/>
    <s v="Import, Empty"/>
  </r>
  <r>
    <x v="5"/>
    <s v="Oakland"/>
    <s v="California"/>
    <x v="16"/>
    <n v="17008"/>
    <s v="Import, Empty"/>
  </r>
  <r>
    <x v="5"/>
    <s v="Oakland"/>
    <s v="California"/>
    <x v="17"/>
    <n v="15902"/>
    <s v="Import, Empty"/>
  </r>
  <r>
    <x v="5"/>
    <s v="Oakland"/>
    <s v="California"/>
    <x v="18"/>
    <n v="11484"/>
    <s v="Import, Empty"/>
  </r>
  <r>
    <x v="5"/>
    <s v="Oakland"/>
    <s v="California"/>
    <x v="19"/>
    <n v="11866"/>
    <s v="Import, Empty"/>
  </r>
  <r>
    <x v="5"/>
    <s v="Oakland"/>
    <s v="California"/>
    <x v="20"/>
    <n v="14779"/>
    <s v="Import, Empty"/>
  </r>
  <r>
    <x v="5"/>
    <s v="Oakland"/>
    <s v="California"/>
    <x v="21"/>
    <n v="13970"/>
    <s v="Import, Empty"/>
  </r>
  <r>
    <x v="5"/>
    <s v="Oakland"/>
    <s v="California"/>
    <x v="22"/>
    <n v="16333"/>
    <s v="Import, Empty"/>
  </r>
  <r>
    <x v="5"/>
    <s v="Oakland"/>
    <s v="California"/>
    <x v="23"/>
    <n v="15074"/>
    <s v="Import, Empty"/>
  </r>
  <r>
    <x v="5"/>
    <s v="Oakland"/>
    <s v="California"/>
    <x v="24"/>
    <n v="16120"/>
    <s v="Import, Empty"/>
  </r>
  <r>
    <x v="5"/>
    <s v="Oakland"/>
    <s v="California"/>
    <x v="25"/>
    <n v="12464"/>
    <s v="Import, Empty"/>
  </r>
  <r>
    <x v="5"/>
    <s v="Oakland"/>
    <s v="California"/>
    <x v="26"/>
    <n v="21139"/>
    <s v="Import, Empty"/>
  </r>
  <r>
    <x v="5"/>
    <s v="Oakland"/>
    <s v="California"/>
    <x v="27"/>
    <n v="14003"/>
    <s v="Import, Empty"/>
  </r>
  <r>
    <x v="5"/>
    <s v="Oakland"/>
    <s v="California"/>
    <x v="28"/>
    <n v="19009"/>
    <s v="Import, Empty"/>
  </r>
  <r>
    <x v="5"/>
    <s v="Oakland"/>
    <s v="California"/>
    <x v="29"/>
    <n v="16002"/>
    <s v="Import, Empty"/>
  </r>
  <r>
    <x v="5"/>
    <s v="Oakland"/>
    <s v="California"/>
    <x v="30"/>
    <n v="13904"/>
    <s v="Import, Empty"/>
  </r>
  <r>
    <x v="5"/>
    <s v="Oakland"/>
    <s v="California"/>
    <x v="31"/>
    <n v="9779"/>
    <s v="Import, Empty"/>
  </r>
  <r>
    <x v="5"/>
    <s v="Oakland"/>
    <s v="California"/>
    <x v="32"/>
    <n v="11709"/>
    <s v="Import, Empty"/>
  </r>
  <r>
    <x v="5"/>
    <s v="Oakland"/>
    <s v="California"/>
    <x v="33"/>
    <n v="9122"/>
    <s v="Import, Empty"/>
  </r>
  <r>
    <x v="5"/>
    <s v="Oakland"/>
    <s v="California"/>
    <x v="34"/>
    <n v="11948"/>
    <s v="Import, Empty"/>
  </r>
  <r>
    <x v="5"/>
    <s v="Oakland"/>
    <s v="California"/>
    <x v="35"/>
    <n v="11653"/>
    <s v="Import, Empty"/>
  </r>
  <r>
    <x v="5"/>
    <s v="Oakland"/>
    <s v="California"/>
    <x v="36"/>
    <n v="11866"/>
    <s v="Import, Empty"/>
  </r>
  <r>
    <x v="5"/>
    <s v="Oakland"/>
    <s v="California"/>
    <x v="37"/>
    <n v="14633"/>
    <s v="Import, Empty"/>
  </r>
  <r>
    <x v="5"/>
    <s v="Oakland"/>
    <s v="California"/>
    <x v="38"/>
    <n v="13479"/>
    <s v="Import, Empty"/>
  </r>
  <r>
    <x v="5"/>
    <s v="Oakland"/>
    <s v="California"/>
    <x v="39"/>
    <n v="17993"/>
    <s v="Import, Empty"/>
  </r>
  <r>
    <x v="5"/>
    <s v="Oakland"/>
    <s v="California"/>
    <x v="40"/>
    <n v="15254"/>
    <s v="Import, Empty"/>
  </r>
  <r>
    <x v="5"/>
    <s v="Oakland"/>
    <s v="California"/>
    <x v="41"/>
    <n v="11788"/>
    <s v="Import, Empty"/>
  </r>
  <r>
    <x v="5"/>
    <s v="Oakland"/>
    <s v="California"/>
    <x v="42"/>
    <n v="12185"/>
    <s v="Import, Empty"/>
  </r>
  <r>
    <x v="5"/>
    <s v="Oakland"/>
    <s v="California"/>
    <x v="43"/>
    <n v="11998"/>
    <s v="Import, Empty"/>
  </r>
  <r>
    <x v="5"/>
    <s v="Oakland"/>
    <s v="California"/>
    <x v="44"/>
    <n v="14510"/>
    <s v="Import, Empty"/>
  </r>
  <r>
    <x v="5"/>
    <s v="Oakland"/>
    <s v="California"/>
    <x v="45"/>
    <n v="15876"/>
    <s v="Import, Empty"/>
  </r>
  <r>
    <x v="5"/>
    <s v="Oakland"/>
    <s v="California"/>
    <x v="46"/>
    <n v="14197"/>
    <s v="Import, Empty"/>
  </r>
  <r>
    <x v="5"/>
    <s v="Oakland"/>
    <s v="California"/>
    <x v="47"/>
    <n v="13419"/>
    <s v="Import, Empty"/>
  </r>
  <r>
    <x v="5"/>
    <s v="Oakland"/>
    <s v="California"/>
    <x v="48"/>
    <n v="17299"/>
    <s v="Import, Empty"/>
  </r>
  <r>
    <x v="5"/>
    <s v="Oakland"/>
    <s v="California"/>
    <x v="49"/>
    <n v="14562.5"/>
    <s v="Import, Empty"/>
  </r>
  <r>
    <x v="5"/>
    <s v="Oakland"/>
    <s v="California"/>
    <x v="50"/>
    <n v="18097"/>
    <s v="Import, Empty"/>
  </r>
  <r>
    <x v="5"/>
    <s v="Oakland"/>
    <s v="California"/>
    <x v="51"/>
    <n v="16422.5"/>
    <s v="Import, Empty"/>
  </r>
  <r>
    <x v="5"/>
    <s v="Oakland"/>
    <s v="California"/>
    <x v="52"/>
    <n v="15836"/>
    <s v="Import, Empty"/>
  </r>
  <r>
    <x v="5"/>
    <s v="Oakland"/>
    <s v="California"/>
    <x v="53"/>
    <n v="11515.5"/>
    <s v="Import, Empty"/>
  </r>
  <r>
    <x v="5"/>
    <s v="Oakland"/>
    <s v="California"/>
    <x v="54"/>
    <n v="14195.75"/>
    <s v="Import, Empty"/>
  </r>
  <r>
    <x v="5"/>
    <s v="Oakland"/>
    <s v="California"/>
    <x v="55"/>
    <n v="13329"/>
    <s v="Import, Empty"/>
  </r>
  <r>
    <x v="5"/>
    <s v="Oakland"/>
    <s v="California"/>
    <x v="56"/>
    <n v="11208"/>
    <s v="Import, Empty"/>
  </r>
  <r>
    <x v="5"/>
    <s v="Oakland"/>
    <s v="California"/>
    <x v="57"/>
    <n v="13597"/>
    <s v="Import, Empty"/>
  </r>
  <r>
    <x v="5"/>
    <s v="Oakland"/>
    <s v="California"/>
    <x v="58"/>
    <n v="14118"/>
    <s v="Import, Empty"/>
  </r>
  <r>
    <x v="5"/>
    <s v="Oakland"/>
    <s v="California"/>
    <x v="59"/>
    <n v="12210"/>
    <s v="Import, Empty"/>
  </r>
  <r>
    <x v="5"/>
    <s v="Oakland"/>
    <s v="California"/>
    <x v="60"/>
    <n v="17117"/>
    <s v="Import, Empty"/>
  </r>
  <r>
    <x v="5"/>
    <s v="Oakland"/>
    <s v="California"/>
    <x v="61"/>
    <n v="13142"/>
    <s v="Import, Empty"/>
  </r>
  <r>
    <x v="5"/>
    <s v="Oakland"/>
    <s v="California"/>
    <x v="62"/>
    <n v="20254"/>
    <s v="Import, Empty"/>
  </r>
  <r>
    <x v="5"/>
    <s v="Oakland"/>
    <s v="California"/>
    <x v="63"/>
    <n v="16357"/>
    <s v="Import, Empty"/>
  </r>
  <r>
    <x v="5"/>
    <s v="Oakland"/>
    <s v="California"/>
    <x v="64"/>
    <n v="12680.75"/>
    <s v="Import, Empty"/>
  </r>
  <r>
    <x v="5"/>
    <s v="Oakland"/>
    <s v="California"/>
    <x v="65"/>
    <n v="10237"/>
    <s v="Import, Empty"/>
  </r>
  <r>
    <x v="5"/>
    <s v="Oakland"/>
    <s v="California"/>
    <x v="66"/>
    <n v="10627.25"/>
    <s v="Import, Empty"/>
  </r>
  <r>
    <x v="5"/>
    <s v="Oakland"/>
    <s v="California"/>
    <x v="67"/>
    <n v="11823"/>
    <s v="Import, Empty"/>
  </r>
  <r>
    <x v="5"/>
    <s v="Oakland"/>
    <s v="California"/>
    <x v="68"/>
    <n v="12692"/>
    <s v="Import, Empty"/>
  </r>
  <r>
    <x v="5"/>
    <s v="Oakland"/>
    <s v="California"/>
    <x v="69"/>
    <n v="15681.5"/>
    <s v="Import, Empty"/>
  </r>
  <r>
    <x v="5"/>
    <s v="Oakland"/>
    <s v="California"/>
    <x v="70"/>
    <n v="12027.75"/>
    <s v="Import, Empty"/>
  </r>
  <r>
    <x v="5"/>
    <s v="Oakland"/>
    <s v="California"/>
    <x v="71"/>
    <n v="10740.75"/>
    <s v="Import, Empty"/>
  </r>
  <r>
    <x v="5"/>
    <s v="Oakland"/>
    <s v="California"/>
    <x v="72"/>
    <n v="12625"/>
    <s v="Import, Empty"/>
  </r>
  <r>
    <x v="5"/>
    <s v="Oakland"/>
    <s v="California"/>
    <x v="73"/>
    <n v="14490"/>
    <s v="Import, Empty"/>
  </r>
  <r>
    <x v="5"/>
    <s v="Oakland"/>
    <s v="California"/>
    <x v="74"/>
    <n v="18540"/>
    <s v="Import, Empty"/>
  </r>
  <r>
    <x v="5"/>
    <s v="Oakland"/>
    <s v="California"/>
    <x v="75"/>
    <n v="14437.5"/>
    <s v="Import, Empty"/>
  </r>
  <r>
    <x v="5"/>
    <s v="Oakland"/>
    <s v="California"/>
    <x v="76"/>
    <n v="13960"/>
    <s v="Import, Empty"/>
  </r>
  <r>
    <x v="6"/>
    <s v="New York"/>
    <s v="New York"/>
    <x v="0"/>
    <n v="1016"/>
    <s v="Import, Empty"/>
  </r>
  <r>
    <x v="6"/>
    <s v="New York"/>
    <s v="New York"/>
    <x v="1"/>
    <n v="977"/>
    <s v="Import, Empty"/>
  </r>
  <r>
    <x v="6"/>
    <s v="New York"/>
    <s v="New York"/>
    <x v="2"/>
    <n v="1302"/>
    <s v="Import, Empty"/>
  </r>
  <r>
    <x v="6"/>
    <s v="New York"/>
    <s v="New York"/>
    <x v="3"/>
    <n v="1550"/>
    <s v="Import, Empty"/>
  </r>
  <r>
    <x v="6"/>
    <s v="New York"/>
    <s v="New York"/>
    <x v="4"/>
    <n v="1263"/>
    <s v="Import, Empty"/>
  </r>
  <r>
    <x v="6"/>
    <s v="New York"/>
    <s v="New York"/>
    <x v="5"/>
    <n v="1601"/>
    <s v="Import, Empty"/>
  </r>
  <r>
    <x v="6"/>
    <s v="New York"/>
    <s v="New York"/>
    <x v="6"/>
    <n v="1756"/>
    <s v="Import, Empty"/>
  </r>
  <r>
    <x v="6"/>
    <s v="New York"/>
    <s v="New York"/>
    <x v="7"/>
    <n v="1932"/>
    <s v="Import, Empty"/>
  </r>
  <r>
    <x v="6"/>
    <s v="New York"/>
    <s v="New York"/>
    <x v="8"/>
    <n v="1721"/>
    <s v="Import, Empty"/>
  </r>
  <r>
    <x v="6"/>
    <s v="New York"/>
    <s v="New York"/>
    <x v="9"/>
    <n v="1509"/>
    <s v="Import, Empty"/>
  </r>
  <r>
    <x v="6"/>
    <s v="New York"/>
    <s v="New York"/>
    <x v="10"/>
    <n v="1337"/>
    <s v="Import, Empty"/>
  </r>
  <r>
    <x v="6"/>
    <s v="New York"/>
    <s v="New York"/>
    <x v="11"/>
    <n v="1544"/>
    <s v="Import, Empty"/>
  </r>
  <r>
    <x v="6"/>
    <s v="New York"/>
    <s v="New York"/>
    <x v="12"/>
    <n v="2001"/>
    <s v="Import, Empty"/>
  </r>
  <r>
    <x v="6"/>
    <s v="New York"/>
    <s v="New York"/>
    <x v="13"/>
    <n v="1314"/>
    <s v="Import, Empty"/>
  </r>
  <r>
    <x v="6"/>
    <s v="New York"/>
    <s v="New York"/>
    <x v="14"/>
    <n v="1837"/>
    <s v="Import, Empty"/>
  </r>
  <r>
    <x v="6"/>
    <s v="New York"/>
    <s v="New York"/>
    <x v="15"/>
    <n v="1289"/>
    <s v="Import, Empty"/>
  </r>
  <r>
    <x v="6"/>
    <s v="New York"/>
    <s v="New York"/>
    <x v="16"/>
    <n v="1004"/>
    <s v="Import, Empty"/>
  </r>
  <r>
    <x v="6"/>
    <s v="New York"/>
    <s v="New York"/>
    <x v="17"/>
    <n v="2782"/>
    <s v="Import, Empty"/>
  </r>
  <r>
    <x v="6"/>
    <s v="New York"/>
    <s v="New York"/>
    <x v="18"/>
    <n v="2785"/>
    <s v="Import, Empty"/>
  </r>
  <r>
    <x v="6"/>
    <s v="New York"/>
    <s v="New York"/>
    <x v="19"/>
    <n v="1981"/>
    <s v="Import, Empty"/>
  </r>
  <r>
    <x v="6"/>
    <s v="New York"/>
    <s v="New York"/>
    <x v="20"/>
    <n v="2107"/>
    <s v="Import, Empty"/>
  </r>
  <r>
    <x v="6"/>
    <s v="New York"/>
    <s v="New York"/>
    <x v="21"/>
    <n v="2312"/>
    <s v="Import, Empty"/>
  </r>
  <r>
    <x v="6"/>
    <s v="New York"/>
    <s v="New York"/>
    <x v="22"/>
    <n v="3307"/>
    <s v="Import, Empty"/>
  </r>
  <r>
    <x v="6"/>
    <s v="New York"/>
    <s v="New York"/>
    <x v="23"/>
    <n v="2921"/>
    <s v="Import, Empty"/>
  </r>
  <r>
    <x v="6"/>
    <s v="New York"/>
    <s v="New York"/>
    <x v="24"/>
    <n v="1645"/>
    <s v="Import, Empty"/>
  </r>
  <r>
    <x v="6"/>
    <s v="New York"/>
    <s v="New York"/>
    <x v="25"/>
    <n v="2290"/>
    <s v="Import, Empty"/>
  </r>
  <r>
    <x v="6"/>
    <s v="New York"/>
    <s v="New York"/>
    <x v="26"/>
    <n v="2376"/>
    <s v="Import, Empty"/>
  </r>
  <r>
    <x v="6"/>
    <s v="New York"/>
    <s v="New York"/>
    <x v="27"/>
    <n v="2568"/>
    <s v="Import, Empty"/>
  </r>
  <r>
    <x v="6"/>
    <s v="New York"/>
    <s v="New York"/>
    <x v="28"/>
    <n v="2291"/>
    <s v="Import, Empty"/>
  </r>
  <r>
    <x v="6"/>
    <s v="New York"/>
    <s v="New York"/>
    <x v="29"/>
    <n v="1678"/>
    <s v="Import, Empty"/>
  </r>
  <r>
    <x v="6"/>
    <s v="New York"/>
    <s v="New York"/>
    <x v="30"/>
    <n v="2754"/>
    <s v="Import, Empty"/>
  </r>
  <r>
    <x v="6"/>
    <s v="New York"/>
    <s v="New York"/>
    <x v="31"/>
    <n v="1688"/>
    <s v="Import, Empty"/>
  </r>
  <r>
    <x v="6"/>
    <s v="New York"/>
    <s v="New York"/>
    <x v="32"/>
    <n v="1968"/>
    <s v="Import, Empty"/>
  </r>
  <r>
    <x v="6"/>
    <s v="New York"/>
    <s v="New York"/>
    <x v="33"/>
    <n v="2530"/>
    <s v="Import, Empty"/>
  </r>
  <r>
    <x v="6"/>
    <s v="New York"/>
    <s v="New York"/>
    <x v="34"/>
    <n v="1971"/>
    <s v="Import, Empty"/>
  </r>
  <r>
    <x v="6"/>
    <s v="New York"/>
    <s v="New York"/>
    <x v="35"/>
    <n v="3025"/>
    <s v="Import, Empty"/>
  </r>
  <r>
    <x v="6"/>
    <s v="New York"/>
    <s v="New York"/>
    <x v="36"/>
    <n v="1697"/>
    <s v="Import, Empty"/>
  </r>
  <r>
    <x v="6"/>
    <s v="New York"/>
    <s v="New York"/>
    <x v="37"/>
    <n v="674"/>
    <s v="Import, Empty"/>
  </r>
  <r>
    <x v="6"/>
    <s v="New York"/>
    <s v="New York"/>
    <x v="38"/>
    <n v="1378"/>
    <s v="Import, Empty"/>
  </r>
  <r>
    <x v="6"/>
    <s v="New York"/>
    <s v="New York"/>
    <x v="39"/>
    <n v="2278"/>
    <s v="Import, Empty"/>
  </r>
  <r>
    <x v="6"/>
    <s v="New York"/>
    <s v="New York"/>
    <x v="40"/>
    <n v="1353"/>
    <s v="Import, Empty"/>
  </r>
  <r>
    <x v="6"/>
    <s v="New York"/>
    <s v="New York"/>
    <x v="41"/>
    <n v="1660"/>
    <s v="Import, Empty"/>
  </r>
  <r>
    <x v="6"/>
    <s v="New York"/>
    <s v="New York"/>
    <x v="42"/>
    <n v="1821"/>
    <s v="Import, Empty"/>
  </r>
  <r>
    <x v="6"/>
    <s v="New York"/>
    <s v="New York"/>
    <x v="43"/>
    <n v="1750"/>
    <s v="Import, Empty"/>
  </r>
  <r>
    <x v="6"/>
    <s v="New York"/>
    <s v="New York"/>
    <x v="44"/>
    <n v="1770"/>
    <s v="Import, Empty"/>
  </r>
  <r>
    <x v="6"/>
    <s v="New York"/>
    <s v="New York"/>
    <x v="45"/>
    <n v="1848"/>
    <s v="Import, Empty"/>
  </r>
  <r>
    <x v="6"/>
    <s v="New York"/>
    <s v="New York"/>
    <x v="46"/>
    <n v="1975"/>
    <s v="Import, Empty"/>
  </r>
  <r>
    <x v="6"/>
    <s v="New York"/>
    <s v="New York"/>
    <x v="47"/>
    <n v="2434"/>
    <s v="Import, Empty"/>
  </r>
  <r>
    <x v="6"/>
    <s v="New York"/>
    <s v="New York"/>
    <x v="48"/>
    <n v="1537"/>
    <s v="Import, Empty"/>
  </r>
  <r>
    <x v="6"/>
    <s v="New York"/>
    <s v="New York"/>
    <x v="49"/>
    <n v="1235"/>
    <s v="Import, Empty"/>
  </r>
  <r>
    <x v="6"/>
    <s v="New York"/>
    <s v="New York"/>
    <x v="50"/>
    <n v="1423"/>
    <s v="Import, Empty"/>
  </r>
  <r>
    <x v="6"/>
    <s v="New York"/>
    <s v="New York"/>
    <x v="51"/>
    <n v="2333"/>
    <s v="Import, Empty"/>
  </r>
  <r>
    <x v="6"/>
    <s v="New York"/>
    <s v="New York"/>
    <x v="52"/>
    <n v="1191"/>
    <s v="Import, Empty"/>
  </r>
  <r>
    <x v="6"/>
    <s v="New York"/>
    <s v="New York"/>
    <x v="53"/>
    <n v="2168"/>
    <s v="Import, Empty"/>
  </r>
  <r>
    <x v="6"/>
    <s v="New York"/>
    <s v="New York"/>
    <x v="54"/>
    <n v="2005"/>
    <s v="Import, Empty"/>
  </r>
  <r>
    <x v="6"/>
    <s v="New York"/>
    <s v="New York"/>
    <x v="55"/>
    <n v="1730"/>
    <s v="Import, Empty"/>
  </r>
  <r>
    <x v="6"/>
    <s v="New York"/>
    <s v="New York"/>
    <x v="56"/>
    <n v="1734"/>
    <s v="Import, Empty"/>
  </r>
  <r>
    <x v="6"/>
    <s v="New York"/>
    <s v="New York"/>
    <x v="57"/>
    <n v="2372"/>
    <s v="Import, Empty"/>
  </r>
  <r>
    <x v="6"/>
    <s v="New York"/>
    <s v="New York"/>
    <x v="58"/>
    <n v="2504"/>
    <s v="Import, Empty"/>
  </r>
  <r>
    <x v="6"/>
    <s v="New York"/>
    <s v="New York"/>
    <x v="59"/>
    <n v="2489"/>
    <s v="Import, Empty"/>
  </r>
  <r>
    <x v="6"/>
    <s v="New York"/>
    <s v="New York"/>
    <x v="60"/>
    <n v="1954"/>
    <s v="Import, Empty"/>
  </r>
  <r>
    <x v="6"/>
    <s v="New York"/>
    <s v="New York"/>
    <x v="61"/>
    <n v="2365"/>
    <s v="Import, Empty"/>
  </r>
  <r>
    <x v="6"/>
    <s v="New York"/>
    <s v="New York"/>
    <x v="62"/>
    <n v="2143"/>
    <s v="Import, Empty"/>
  </r>
  <r>
    <x v="6"/>
    <s v="New York"/>
    <s v="New York"/>
    <x v="63"/>
    <n v="2330"/>
    <s v="Import, Empty"/>
  </r>
  <r>
    <x v="6"/>
    <s v="New York"/>
    <s v="New York"/>
    <x v="64"/>
    <n v="2054"/>
    <s v="Import, Empty"/>
  </r>
  <r>
    <x v="6"/>
    <s v="New York"/>
    <s v="New York"/>
    <x v="65"/>
    <n v="1640"/>
    <s v="Import, Empty"/>
  </r>
  <r>
    <x v="6"/>
    <s v="New York"/>
    <s v="New York"/>
    <x v="66"/>
    <n v="2602"/>
    <s v="Import, Empty"/>
  </r>
  <r>
    <x v="6"/>
    <s v="New York"/>
    <s v="New York"/>
    <x v="67"/>
    <n v="2354"/>
    <s v="Import, Empty"/>
  </r>
  <r>
    <x v="6"/>
    <s v="New York"/>
    <s v="New York"/>
    <x v="68"/>
    <n v="2069"/>
    <s v="Import, Empty"/>
  </r>
  <r>
    <x v="6"/>
    <s v="New York"/>
    <s v="New York"/>
    <x v="69"/>
    <n v="1150"/>
    <s v="Import, Empty"/>
  </r>
  <r>
    <x v="6"/>
    <s v="New York"/>
    <s v="New York"/>
    <x v="70"/>
    <n v="1483"/>
    <s v="Import, Empty"/>
  </r>
  <r>
    <x v="6"/>
    <s v="New York"/>
    <s v="New York"/>
    <x v="71"/>
    <n v="1409"/>
    <s v="Import, Empty"/>
  </r>
  <r>
    <x v="6"/>
    <s v="New York"/>
    <s v="New York"/>
    <x v="72"/>
    <n v="1658"/>
    <s v="Import, Empty"/>
  </r>
  <r>
    <x v="6"/>
    <s v="New York"/>
    <s v="New York"/>
    <x v="73"/>
    <n v="1148"/>
    <s v="Import, Empty"/>
  </r>
  <r>
    <x v="6"/>
    <s v="New York"/>
    <s v="New York"/>
    <x v="74"/>
    <n v="1482"/>
    <s v="Import, Empty"/>
  </r>
  <r>
    <x v="6"/>
    <s v="New York"/>
    <s v="New York"/>
    <x v="75"/>
    <n v="1408"/>
    <s v="Import, Empty"/>
  </r>
  <r>
    <x v="6"/>
    <s v="New York"/>
    <s v="New York"/>
    <x v="76"/>
    <n v="1716"/>
    <s v="Import, Empty"/>
  </r>
  <r>
    <x v="7"/>
    <s v="Norfolk"/>
    <s v="Virginia "/>
    <x v="0"/>
    <n v="1868"/>
    <s v="Import, Empty"/>
  </r>
  <r>
    <x v="7"/>
    <s v="Norfolk"/>
    <s v="Virginia "/>
    <x v="1"/>
    <n v="2115"/>
    <s v="Import, Empty"/>
  </r>
  <r>
    <x v="7"/>
    <s v="Norfolk"/>
    <s v="Virginia "/>
    <x v="2"/>
    <n v="2002"/>
    <s v="Import, Empty"/>
  </r>
  <r>
    <x v="7"/>
    <s v="Norfolk"/>
    <s v="Virginia "/>
    <x v="3"/>
    <n v="2710"/>
    <s v="Import, Empty"/>
  </r>
  <r>
    <x v="7"/>
    <s v="Norfolk"/>
    <s v="Virginia "/>
    <x v="4"/>
    <n v="2064"/>
    <s v="Import, Empty"/>
  </r>
  <r>
    <x v="7"/>
    <s v="Norfolk"/>
    <s v="Virginia "/>
    <x v="5"/>
    <n v="1508"/>
    <s v="Import, Empty"/>
  </r>
  <r>
    <x v="7"/>
    <s v="Norfolk"/>
    <s v="Virginia "/>
    <x v="6"/>
    <n v="2649"/>
    <s v="Import, Empty"/>
  </r>
  <r>
    <x v="7"/>
    <s v="Norfolk"/>
    <s v="Virginia "/>
    <x v="7"/>
    <n v="1073"/>
    <s v="Import, Empty"/>
  </r>
  <r>
    <x v="7"/>
    <s v="Norfolk"/>
    <s v="Virginia "/>
    <x v="8"/>
    <n v="2447"/>
    <s v="Import, Empty"/>
  </r>
  <r>
    <x v="7"/>
    <s v="Norfolk"/>
    <s v="Virginia "/>
    <x v="9"/>
    <n v="1850"/>
    <s v="Import, Empty"/>
  </r>
  <r>
    <x v="7"/>
    <s v="Norfolk"/>
    <s v="Virginia "/>
    <x v="10"/>
    <n v="1339"/>
    <s v="Import, Empty"/>
  </r>
  <r>
    <x v="7"/>
    <s v="Norfolk"/>
    <s v="Virginia "/>
    <x v="11"/>
    <n v="1052"/>
    <s v="Import, Empty"/>
  </r>
  <r>
    <x v="7"/>
    <s v="Norfolk"/>
    <s v="Virginia "/>
    <x v="12"/>
    <n v="2366"/>
    <s v="Import, Empty"/>
  </r>
  <r>
    <x v="7"/>
    <s v="Norfolk"/>
    <s v="Virginia "/>
    <x v="13"/>
    <n v="1505"/>
    <s v="Import, Empty"/>
  </r>
  <r>
    <x v="7"/>
    <s v="Norfolk"/>
    <s v="Virginia "/>
    <x v="14"/>
    <n v="3078"/>
    <s v="Import, Empty"/>
  </r>
  <r>
    <x v="7"/>
    <s v="Norfolk"/>
    <s v="Virginia "/>
    <x v="15"/>
    <n v="3171"/>
    <s v="Import, Empty"/>
  </r>
  <r>
    <x v="7"/>
    <s v="Norfolk"/>
    <s v="Virginia "/>
    <x v="16"/>
    <n v="2068"/>
    <s v="Import, Empty"/>
  </r>
  <r>
    <x v="7"/>
    <s v="Norfolk"/>
    <s v="Virginia "/>
    <x v="17"/>
    <n v="1735"/>
    <s v="Import, Empty"/>
  </r>
  <r>
    <x v="7"/>
    <s v="Norfolk"/>
    <s v="Virginia "/>
    <x v="18"/>
    <n v="1359"/>
    <s v="Import, Empty"/>
  </r>
  <r>
    <x v="7"/>
    <s v="Norfolk"/>
    <s v="Virginia "/>
    <x v="19"/>
    <n v="950"/>
    <s v="Import, Empty"/>
  </r>
  <r>
    <x v="7"/>
    <s v="Norfolk"/>
    <s v="Virginia "/>
    <x v="20"/>
    <n v="2094"/>
    <s v="Import, Empty"/>
  </r>
  <r>
    <x v="7"/>
    <s v="Norfolk"/>
    <s v="Virginia "/>
    <x v="21"/>
    <n v="1096"/>
    <s v="Import, Empty"/>
  </r>
  <r>
    <x v="7"/>
    <s v="Norfolk"/>
    <s v="Virginia "/>
    <x v="22"/>
    <n v="778"/>
    <s v="Import, Empty"/>
  </r>
  <r>
    <x v="7"/>
    <s v="Norfolk"/>
    <s v="Virginia "/>
    <x v="23"/>
    <n v="1338"/>
    <s v="Import, Empty"/>
  </r>
  <r>
    <x v="7"/>
    <s v="Norfolk"/>
    <s v="Virginia "/>
    <x v="24"/>
    <n v="774"/>
    <s v="Import, Empty"/>
  </r>
  <r>
    <x v="7"/>
    <s v="Norfolk"/>
    <s v="Virginia "/>
    <x v="25"/>
    <n v="2292"/>
    <s v="Import, Empty"/>
  </r>
  <r>
    <x v="7"/>
    <s v="Norfolk"/>
    <s v="Virginia "/>
    <x v="26"/>
    <n v="3510"/>
    <s v="Import, Empty"/>
  </r>
  <r>
    <x v="7"/>
    <s v="Norfolk"/>
    <s v="Virginia "/>
    <x v="27"/>
    <n v="1924"/>
    <s v="Import, Empty"/>
  </r>
  <r>
    <x v="7"/>
    <s v="Norfolk"/>
    <s v="Virginia "/>
    <x v="28"/>
    <n v="2338"/>
    <s v="Import, Empty"/>
  </r>
  <r>
    <x v="7"/>
    <s v="Norfolk"/>
    <s v="Virginia "/>
    <x v="29"/>
    <n v="2387"/>
    <s v="Import, Empty"/>
  </r>
  <r>
    <x v="7"/>
    <s v="Norfolk"/>
    <s v="Virginia "/>
    <x v="30"/>
    <n v="2254"/>
    <s v="Import, Empty"/>
  </r>
  <r>
    <x v="7"/>
    <s v="Norfolk"/>
    <s v="Virginia "/>
    <x v="31"/>
    <n v="1616"/>
    <s v="Import, Empty"/>
  </r>
  <r>
    <x v="7"/>
    <s v="Norfolk"/>
    <s v="Virginia "/>
    <x v="32"/>
    <n v="2395"/>
    <s v="Import, Empty"/>
  </r>
  <r>
    <x v="7"/>
    <s v="Norfolk"/>
    <s v="Virginia "/>
    <x v="33"/>
    <n v="2475"/>
    <s v="Import, Empty"/>
  </r>
  <r>
    <x v="7"/>
    <s v="Norfolk"/>
    <s v="Virginia "/>
    <x v="34"/>
    <n v="4395"/>
    <s v="Import, Empty"/>
  </r>
  <r>
    <x v="7"/>
    <s v="Norfolk"/>
    <s v="Virginia "/>
    <x v="35"/>
    <n v="5005"/>
    <s v="Import, Empty"/>
  </r>
  <r>
    <x v="7"/>
    <s v="Norfolk"/>
    <s v="Virginia "/>
    <x v="36"/>
    <n v="3119"/>
    <s v="Import, Empty"/>
  </r>
  <r>
    <x v="7"/>
    <s v="Norfolk"/>
    <s v="Virginia "/>
    <x v="37"/>
    <n v="5263"/>
    <s v="Import, Empty"/>
  </r>
  <r>
    <x v="7"/>
    <s v="Norfolk"/>
    <s v="Virginia "/>
    <x v="38"/>
    <n v="3192"/>
    <s v="Import, Empty"/>
  </r>
  <r>
    <x v="7"/>
    <s v="Norfolk"/>
    <s v="Virginia "/>
    <x v="39"/>
    <n v="2292"/>
    <s v="Import, Empty"/>
  </r>
  <r>
    <x v="7"/>
    <s v="Norfolk"/>
    <s v="Virginia "/>
    <x v="40"/>
    <n v="4800"/>
    <s v="Import, Empty"/>
  </r>
  <r>
    <x v="7"/>
    <s v="Norfolk"/>
    <s v="Virginia "/>
    <x v="41"/>
    <n v="5146"/>
    <s v="Import, Empty"/>
  </r>
  <r>
    <x v="7"/>
    <s v="Norfolk"/>
    <s v="Virginia "/>
    <x v="42"/>
    <n v="4327.75"/>
    <s v="Import, Empty"/>
  </r>
  <r>
    <x v="7"/>
    <s v="Norfolk"/>
    <s v="Virginia "/>
    <x v="43"/>
    <n v="4097"/>
    <s v="Import, Empty"/>
  </r>
  <r>
    <x v="7"/>
    <s v="Norfolk"/>
    <s v="Virginia "/>
    <x v="44"/>
    <n v="3750"/>
    <s v="Import, Empty"/>
  </r>
  <r>
    <x v="7"/>
    <s v="Norfolk"/>
    <s v="Virginia "/>
    <x v="45"/>
    <n v="3727"/>
    <s v="Import, Empty"/>
  </r>
  <r>
    <x v="7"/>
    <s v="Norfolk"/>
    <s v="Virginia "/>
    <x v="46"/>
    <n v="3760"/>
    <s v="Import, Empty"/>
  </r>
  <r>
    <x v="7"/>
    <s v="Norfolk"/>
    <s v="Virginia "/>
    <x v="47"/>
    <n v="3800"/>
    <s v="Import, Empty"/>
  </r>
  <r>
    <x v="7"/>
    <s v="Norfolk"/>
    <s v="Virginia "/>
    <x v="48"/>
    <n v="3137"/>
    <s v="Import, Empty"/>
  </r>
  <r>
    <x v="7"/>
    <s v="Norfolk"/>
    <s v="Virginia "/>
    <x v="49"/>
    <n v="4630"/>
    <s v="Import, Empty"/>
  </r>
  <r>
    <x v="7"/>
    <s v="Norfolk"/>
    <s v="Virginia "/>
    <x v="50"/>
    <n v="4115"/>
    <s v="Import, Empty"/>
  </r>
  <r>
    <x v="7"/>
    <s v="Norfolk"/>
    <s v="Virginia "/>
    <x v="51"/>
    <n v="4730"/>
    <s v="Import, Empty"/>
  </r>
  <r>
    <x v="7"/>
    <s v="Norfolk"/>
    <s v="Virginia "/>
    <x v="52"/>
    <n v="3260"/>
    <s v="Import, Empty"/>
  </r>
  <r>
    <x v="7"/>
    <s v="Norfolk"/>
    <s v="Virginia "/>
    <x v="53"/>
    <n v="4011"/>
    <s v="Import, Empty"/>
  </r>
  <r>
    <x v="7"/>
    <s v="Norfolk"/>
    <s v="Virginia "/>
    <x v="54"/>
    <n v="3155"/>
    <s v="Import, Empty"/>
  </r>
  <r>
    <x v="7"/>
    <s v="Norfolk"/>
    <s v="Virginia "/>
    <x v="55"/>
    <n v="2435"/>
    <s v="Import, Empty"/>
  </r>
  <r>
    <x v="7"/>
    <s v="Norfolk"/>
    <s v="Virginia "/>
    <x v="56"/>
    <n v="2299"/>
    <s v="Import, Empty"/>
  </r>
  <r>
    <x v="7"/>
    <s v="Norfolk"/>
    <s v="Virginia "/>
    <x v="57"/>
    <n v="3111"/>
    <s v="Import, Empty"/>
  </r>
  <r>
    <x v="7"/>
    <s v="Norfolk"/>
    <s v="Virginia "/>
    <x v="58"/>
    <n v="1474"/>
    <s v="Import, Empty"/>
  </r>
  <r>
    <x v="7"/>
    <s v="Norfolk"/>
    <s v="Virginia "/>
    <x v="59"/>
    <n v="4828"/>
    <s v="Import, Empty"/>
  </r>
  <r>
    <x v="7"/>
    <s v="Norfolk"/>
    <s v="Virginia "/>
    <x v="60"/>
    <n v="2589"/>
    <s v="Import, Empty"/>
  </r>
  <r>
    <x v="7"/>
    <s v="Norfolk"/>
    <s v="Virginia "/>
    <x v="61"/>
    <n v="4091"/>
    <s v="Import, Empty"/>
  </r>
  <r>
    <x v="7"/>
    <s v="Norfolk"/>
    <s v="Virginia "/>
    <x v="62"/>
    <n v="4203"/>
    <s v="Import, Empty"/>
  </r>
  <r>
    <x v="7"/>
    <s v="Norfolk"/>
    <s v="Virginia "/>
    <x v="63"/>
    <n v="5383"/>
    <s v="Import, Empty"/>
  </r>
  <r>
    <x v="7"/>
    <s v="Norfolk"/>
    <s v="Virginia "/>
    <x v="64"/>
    <n v="4506"/>
    <s v="Import, Empty"/>
  </r>
  <r>
    <x v="7"/>
    <s v="Norfolk"/>
    <s v="Virginia "/>
    <x v="65"/>
    <n v="6952"/>
    <s v="Import, Empty"/>
  </r>
  <r>
    <x v="7"/>
    <s v="Norfolk"/>
    <s v="Virginia "/>
    <x v="66"/>
    <n v="4827"/>
    <s v="Import, Empty"/>
  </r>
  <r>
    <x v="7"/>
    <s v="Norfolk"/>
    <s v="Virginia "/>
    <x v="67"/>
    <n v="4845"/>
    <s v="Import, Empty"/>
  </r>
  <r>
    <x v="7"/>
    <s v="Norfolk"/>
    <s v="Virginia "/>
    <x v="68"/>
    <n v="2584"/>
    <s v="Import, Empty"/>
  </r>
  <r>
    <x v="7"/>
    <s v="Norfolk"/>
    <s v="Virginia "/>
    <x v="69"/>
    <n v="4061"/>
    <s v="Import, Empty"/>
  </r>
  <r>
    <x v="7"/>
    <s v="Norfolk"/>
    <s v="Virginia "/>
    <x v="70"/>
    <n v="4905"/>
    <s v="Import, Empty"/>
  </r>
  <r>
    <x v="7"/>
    <s v="Norfolk"/>
    <s v="Virginia "/>
    <x v="71"/>
    <n v="6840"/>
    <s v="Import, Empty"/>
  </r>
  <r>
    <x v="7"/>
    <s v="Norfolk"/>
    <s v="Virginia "/>
    <x v="72"/>
    <n v="6166"/>
    <s v="Import, Empty"/>
  </r>
  <r>
    <x v="7"/>
    <s v="Norfolk"/>
    <s v="Virginia "/>
    <x v="73"/>
    <n v="6056"/>
    <s v="Import, Empty"/>
  </r>
  <r>
    <x v="7"/>
    <s v="Norfolk"/>
    <s v="Virginia "/>
    <x v="74"/>
    <n v="4893"/>
    <s v="Import, Empty"/>
  </r>
  <r>
    <x v="7"/>
    <s v="Norfolk"/>
    <s v="Virginia "/>
    <x v="75"/>
    <n v="3006"/>
    <s v="Import, Empty"/>
  </r>
  <r>
    <x v="7"/>
    <s v="Norfolk"/>
    <s v="Virginia "/>
    <x v="76"/>
    <n v="2311"/>
    <s v="Import, Empty"/>
  </r>
  <r>
    <x v="8"/>
    <s v="Savannah"/>
    <s v="Georgia"/>
    <x v="0"/>
    <n v="2216"/>
    <s v="Import, Empty"/>
  </r>
  <r>
    <x v="8"/>
    <s v="Savannah"/>
    <s v="Georgia"/>
    <x v="1"/>
    <n v="4465"/>
    <s v="Import, Empty"/>
  </r>
  <r>
    <x v="8"/>
    <s v="Savannah"/>
    <s v="Georgia"/>
    <x v="2"/>
    <n v="9785"/>
    <s v="Import, Empty"/>
  </r>
  <r>
    <x v="8"/>
    <s v="Savannah"/>
    <s v="Georgia"/>
    <x v="3"/>
    <n v="7386"/>
    <s v="Import, Empty"/>
  </r>
  <r>
    <x v="8"/>
    <s v="Savannah"/>
    <s v="Georgia"/>
    <x v="4"/>
    <n v="2773"/>
    <s v="Import, Empty"/>
  </r>
  <r>
    <x v="8"/>
    <s v="Savannah"/>
    <s v="Georgia"/>
    <x v="5"/>
    <n v="4756"/>
    <s v="Import, Empty"/>
  </r>
  <r>
    <x v="8"/>
    <s v="Savannah"/>
    <s v="Georgia"/>
    <x v="6"/>
    <n v="5401"/>
    <s v="Import, Empty"/>
  </r>
  <r>
    <x v="8"/>
    <s v="Savannah"/>
    <s v="Georgia"/>
    <x v="7"/>
    <n v="6095"/>
    <s v="Import, Empty"/>
  </r>
  <r>
    <x v="8"/>
    <s v="Savannah"/>
    <s v="Georgia"/>
    <x v="8"/>
    <n v="8879"/>
    <s v="Import, Empty"/>
  </r>
  <r>
    <x v="8"/>
    <s v="Savannah"/>
    <s v="Georgia"/>
    <x v="9"/>
    <n v="7678"/>
    <s v="Import, Empty"/>
  </r>
  <r>
    <x v="8"/>
    <s v="Savannah"/>
    <s v="Georgia"/>
    <x v="10"/>
    <n v="7383"/>
    <s v="Import, Empty"/>
  </r>
  <r>
    <x v="8"/>
    <s v="Savannah"/>
    <s v="Georgia"/>
    <x v="11"/>
    <n v="9385"/>
    <s v="Import, Empty"/>
  </r>
  <r>
    <x v="8"/>
    <s v="Savannah"/>
    <s v="Georgia"/>
    <x v="12"/>
    <n v="6950"/>
    <s v="Import, Empty"/>
  </r>
  <r>
    <x v="8"/>
    <s v="Savannah"/>
    <s v="Georgia"/>
    <x v="13"/>
    <n v="11042"/>
    <s v="Import, Empty"/>
  </r>
  <r>
    <x v="8"/>
    <s v="Savannah"/>
    <s v="Georgia"/>
    <x v="14"/>
    <n v="15296"/>
    <s v="Import, Empty"/>
  </r>
  <r>
    <x v="8"/>
    <s v="Savannah"/>
    <s v="Georgia"/>
    <x v="15"/>
    <n v="7874"/>
    <s v="Import, Empty"/>
  </r>
  <r>
    <x v="8"/>
    <s v="Savannah"/>
    <s v="Georgia"/>
    <x v="16"/>
    <n v="7695"/>
    <s v="Import, Empty"/>
  </r>
  <r>
    <x v="8"/>
    <s v="Savannah"/>
    <s v="Georgia"/>
    <x v="17"/>
    <n v="7143"/>
    <s v="Import, Empty"/>
  </r>
  <r>
    <x v="8"/>
    <s v="Savannah"/>
    <s v="Georgia"/>
    <x v="18"/>
    <n v="7509"/>
    <s v="Import, Empty"/>
  </r>
  <r>
    <x v="8"/>
    <s v="Savannah"/>
    <s v="Georgia"/>
    <x v="19"/>
    <n v="5779"/>
    <s v="Import, Empty"/>
  </r>
  <r>
    <x v="8"/>
    <s v="Savannah"/>
    <s v="Georgia"/>
    <x v="20"/>
    <n v="4400"/>
    <s v="Import, Empty"/>
  </r>
  <r>
    <x v="8"/>
    <s v="Savannah"/>
    <s v="Georgia"/>
    <x v="21"/>
    <n v="5854"/>
    <s v="Import, Empty"/>
  </r>
  <r>
    <x v="8"/>
    <s v="Savannah"/>
    <s v="Georgia"/>
    <x v="22"/>
    <n v="5158"/>
    <s v="Import, Empty"/>
  </r>
  <r>
    <x v="8"/>
    <s v="Savannah"/>
    <s v="Georgia"/>
    <x v="23"/>
    <n v="5283"/>
    <s v="Import, Empty"/>
  </r>
  <r>
    <x v="8"/>
    <s v="Savannah"/>
    <s v="Georgia"/>
    <x v="24"/>
    <n v="3498"/>
    <s v="Import, Empty"/>
  </r>
  <r>
    <x v="8"/>
    <s v="Savannah"/>
    <s v="Georgia"/>
    <x v="25"/>
    <n v="3672"/>
    <s v="Import, Empty"/>
  </r>
  <r>
    <x v="8"/>
    <s v="Savannah"/>
    <s v="Georgia"/>
    <x v="26"/>
    <n v="6127"/>
    <s v="Import, Empty"/>
  </r>
  <r>
    <x v="8"/>
    <s v="Savannah"/>
    <s v="Georgia"/>
    <x v="27"/>
    <n v="4984"/>
    <s v="Import, Empty"/>
  </r>
  <r>
    <x v="8"/>
    <s v="Savannah"/>
    <s v="Georgia"/>
    <x v="28"/>
    <n v="3011"/>
    <s v="Import, Empty"/>
  </r>
  <r>
    <x v="8"/>
    <s v="Savannah"/>
    <s v="Georgia"/>
    <x v="29"/>
    <n v="3562"/>
    <s v="Import, Empty"/>
  </r>
  <r>
    <x v="8"/>
    <s v="Savannah"/>
    <s v="Georgia"/>
    <x v="30"/>
    <n v="3597"/>
    <s v="Import, Empty"/>
  </r>
  <r>
    <x v="8"/>
    <s v="Savannah"/>
    <s v="Georgia"/>
    <x v="31"/>
    <n v="3450"/>
    <s v="Import, Empty"/>
  </r>
  <r>
    <x v="8"/>
    <s v="Savannah"/>
    <s v="Georgia"/>
    <x v="32"/>
    <n v="2756"/>
    <s v="Import, Empty"/>
  </r>
  <r>
    <x v="8"/>
    <s v="Savannah"/>
    <s v="Georgia"/>
    <x v="33"/>
    <n v="2402"/>
    <s v="Import, Empty"/>
  </r>
  <r>
    <x v="8"/>
    <s v="Savannah"/>
    <s v="Georgia"/>
    <x v="34"/>
    <n v="3367"/>
    <s v="Import, Empty"/>
  </r>
  <r>
    <x v="8"/>
    <s v="Savannah"/>
    <s v="Georgia"/>
    <x v="35"/>
    <n v="2279"/>
    <s v="Import, Empty"/>
  </r>
  <r>
    <x v="8"/>
    <s v="Savannah"/>
    <s v="Georgia"/>
    <x v="36"/>
    <n v="2569"/>
    <s v="Import, Empty"/>
  </r>
  <r>
    <x v="8"/>
    <s v="Savannah"/>
    <s v="Georgia"/>
    <x v="37"/>
    <n v="4057"/>
    <s v="Import, Empty"/>
  </r>
  <r>
    <x v="8"/>
    <s v="Savannah"/>
    <s v="Georgia"/>
    <x v="38"/>
    <n v="5050"/>
    <s v="Import, Empty"/>
  </r>
  <r>
    <x v="8"/>
    <s v="Savannah"/>
    <s v="Georgia"/>
    <x v="39"/>
    <n v="6330"/>
    <s v="Import, Empty"/>
  </r>
  <r>
    <x v="8"/>
    <s v="Savannah"/>
    <s v="Georgia"/>
    <x v="40"/>
    <n v="5686"/>
    <s v="Import, Empty"/>
  </r>
  <r>
    <x v="8"/>
    <s v="Savannah"/>
    <s v="Georgia"/>
    <x v="41"/>
    <n v="4198"/>
    <s v="Import, Empty"/>
  </r>
  <r>
    <x v="8"/>
    <s v="Savannah"/>
    <s v="Georgia"/>
    <x v="42"/>
    <n v="4574"/>
    <s v="Import, Empty"/>
  </r>
  <r>
    <x v="8"/>
    <s v="Savannah"/>
    <s v="Georgia"/>
    <x v="43"/>
    <n v="4970"/>
    <s v="Import, Empty"/>
  </r>
  <r>
    <x v="8"/>
    <s v="Savannah"/>
    <s v="Georgia"/>
    <x v="44"/>
    <n v="3939"/>
    <s v="Import, Empty"/>
  </r>
  <r>
    <x v="8"/>
    <s v="Savannah"/>
    <s v="Georgia"/>
    <x v="45"/>
    <n v="4534"/>
    <s v="Import, Empty"/>
  </r>
  <r>
    <x v="8"/>
    <s v="Savannah"/>
    <s v="Georgia"/>
    <x v="46"/>
    <n v="4424"/>
    <s v="Import, Empty"/>
  </r>
  <r>
    <x v="8"/>
    <s v="Savannah"/>
    <s v="Georgia"/>
    <x v="47"/>
    <n v="3960"/>
    <s v="Import, Empty"/>
  </r>
  <r>
    <x v="8"/>
    <s v="Savannah"/>
    <s v="Georgia"/>
    <x v="48"/>
    <n v="2649"/>
    <s v="Import, Empty"/>
  </r>
  <r>
    <x v="8"/>
    <s v="Savannah"/>
    <s v="Georgia"/>
    <x v="49"/>
    <n v="3100"/>
    <s v="Import, Empty"/>
  </r>
  <r>
    <x v="8"/>
    <s v="Savannah"/>
    <s v="Georgia"/>
    <x v="50"/>
    <n v="4245"/>
    <s v="Import, Empty"/>
  </r>
  <r>
    <x v="8"/>
    <s v="Savannah"/>
    <s v="Georgia"/>
    <x v="51"/>
    <n v="6571"/>
    <s v="Import, Empty"/>
  </r>
  <r>
    <x v="8"/>
    <s v="Savannah"/>
    <s v="Georgia"/>
    <x v="52"/>
    <n v="4920"/>
    <s v="Import, Empty"/>
  </r>
  <r>
    <x v="8"/>
    <s v="Savannah"/>
    <s v="Georgia"/>
    <x v="53"/>
    <n v="5063"/>
    <s v="Import, Empty"/>
  </r>
  <r>
    <x v="8"/>
    <s v="Savannah"/>
    <s v="Georgia"/>
    <x v="54"/>
    <n v="4104"/>
    <s v="Import, Empty"/>
  </r>
  <r>
    <x v="8"/>
    <s v="Savannah"/>
    <s v="Georgia"/>
    <x v="55"/>
    <n v="2746"/>
    <s v="Import, Empty"/>
  </r>
  <r>
    <x v="8"/>
    <s v="Savannah"/>
    <s v="Georgia"/>
    <x v="56"/>
    <n v="2746"/>
    <s v="Import, Empty"/>
  </r>
  <r>
    <x v="8"/>
    <s v="Savannah"/>
    <s v="Georgia"/>
    <x v="57"/>
    <n v="3500"/>
    <s v="Import, Empty"/>
  </r>
  <r>
    <x v="8"/>
    <s v="Savannah"/>
    <s v="Georgia"/>
    <x v="58"/>
    <n v="4341"/>
    <s v="Import, Empty"/>
  </r>
  <r>
    <x v="8"/>
    <s v="Savannah"/>
    <s v="Georgia"/>
    <x v="59"/>
    <n v="2326"/>
    <s v="Import, Empty"/>
  </r>
  <r>
    <x v="8"/>
    <s v="Savannah"/>
    <s v="Georgia"/>
    <x v="60"/>
    <n v="1042"/>
    <s v="Import, Empty"/>
  </r>
  <r>
    <x v="8"/>
    <s v="Savannah"/>
    <s v="Georgia"/>
    <x v="61"/>
    <n v="2839"/>
    <s v="Import, Empty"/>
  </r>
  <r>
    <x v="8"/>
    <s v="Savannah"/>
    <s v="Georgia"/>
    <x v="62"/>
    <n v="4801"/>
    <s v="Import, Empty"/>
  </r>
  <r>
    <x v="8"/>
    <s v="Savannah"/>
    <s v="Georgia"/>
    <x v="63"/>
    <n v="7485"/>
    <s v="Import, Empty"/>
  </r>
  <r>
    <x v="8"/>
    <s v="Savannah"/>
    <s v="Georgia"/>
    <x v="64"/>
    <n v="6961"/>
    <s v="Import, Empty"/>
  </r>
  <r>
    <x v="8"/>
    <s v="Savannah"/>
    <s v="Georgia"/>
    <x v="65"/>
    <n v="5544"/>
    <s v="Import, Empty"/>
  </r>
  <r>
    <x v="8"/>
    <s v="Savannah"/>
    <s v="Georgia"/>
    <x v="66"/>
    <n v="3638"/>
    <s v="Import, Empty"/>
  </r>
  <r>
    <x v="8"/>
    <s v="Savannah"/>
    <s v="Georgia"/>
    <x v="67"/>
    <n v="4989"/>
    <s v="Import, Empty"/>
  </r>
  <r>
    <x v="8"/>
    <s v="Savannah"/>
    <s v="Georgia"/>
    <x v="68"/>
    <n v="4726"/>
    <s v="Import, Empty"/>
  </r>
  <r>
    <x v="8"/>
    <s v="Savannah"/>
    <s v="Georgia"/>
    <x v="69"/>
    <n v="3040"/>
    <s v="Import, Empty"/>
  </r>
  <r>
    <x v="8"/>
    <s v="Savannah"/>
    <s v="Georgia"/>
    <x v="70"/>
    <n v="2999"/>
    <s v="Import, Empty"/>
  </r>
  <r>
    <x v="8"/>
    <s v="Savannah"/>
    <s v="Georgia"/>
    <x v="71"/>
    <n v="3439"/>
    <s v="Import, Empty"/>
  </r>
  <r>
    <x v="8"/>
    <s v="Savannah"/>
    <s v="Georgia"/>
    <x v="72"/>
    <n v="2618"/>
    <s v="Import, Empty"/>
  </r>
  <r>
    <x v="8"/>
    <s v="Savannah"/>
    <s v="Georgia"/>
    <x v="73"/>
    <n v="3190"/>
    <s v="Import, Empty"/>
  </r>
  <r>
    <x v="8"/>
    <s v="Savannah"/>
    <s v="Georgia"/>
    <x v="74"/>
    <n v="6545"/>
    <s v="Import, Empty"/>
  </r>
  <r>
    <x v="8"/>
    <s v="Savannah"/>
    <s v="Georgia"/>
    <x v="75"/>
    <n v="3017"/>
    <s v="Import, Empty"/>
  </r>
  <r>
    <x v="8"/>
    <s v="Savannah"/>
    <s v="Georgia"/>
    <x v="76"/>
    <n v="4791"/>
    <s v="Import, Empty"/>
  </r>
  <r>
    <x v="1"/>
    <s v="Houston"/>
    <s v="Texas "/>
    <x v="77"/>
    <n v="22746"/>
    <s v="Import, Empty"/>
  </r>
  <r>
    <x v="2"/>
    <s v="Long Beach"/>
    <s v="California"/>
    <x v="77"/>
    <n v="13098"/>
    <s v="Import, Empty"/>
  </r>
  <r>
    <x v="3"/>
    <s v="Los Angeles"/>
    <s v="California"/>
    <x v="77"/>
    <n v="148"/>
    <s v="Import, Empty"/>
  </r>
  <r>
    <x v="4"/>
    <s v="Seattle"/>
    <s v="Washington"/>
    <x v="77"/>
    <n v="7925"/>
    <s v="Import, Empty"/>
  </r>
  <r>
    <x v="5"/>
    <s v="Oakland"/>
    <s v="California"/>
    <x v="77"/>
    <n v="10399.75"/>
    <s v="Import, Empty"/>
  </r>
  <r>
    <x v="7"/>
    <s v="Norfolk"/>
    <s v="Virginia "/>
    <x v="77"/>
    <n v="2319"/>
    <s v="Import, Empty"/>
  </r>
  <r>
    <x v="6"/>
    <s v="New York"/>
    <s v="New York"/>
    <x v="77"/>
    <n v="1545"/>
    <s v="Import, Empty"/>
  </r>
  <r>
    <x v="8"/>
    <s v="Savannah"/>
    <s v="Georgia"/>
    <x v="77"/>
    <n v="4872"/>
    <s v="Import, Empty"/>
  </r>
  <r>
    <x v="0"/>
    <s v="Charleston"/>
    <s v="South Carolina"/>
    <x v="77"/>
    <n v="950"/>
    <s v="Import, Empty"/>
  </r>
  <r>
    <x v="6"/>
    <s v="New York"/>
    <s v="New York"/>
    <x v="78"/>
    <n v="1228"/>
    <s v="Import, Empty"/>
  </r>
  <r>
    <x v="0"/>
    <s v="Charleston"/>
    <s v="South Carolina"/>
    <x v="78"/>
    <n v="1495"/>
    <s v="Import, Empty"/>
  </r>
  <r>
    <x v="8"/>
    <s v="Savannah"/>
    <s v="Georgia"/>
    <x v="78"/>
    <n v="3673"/>
    <s v="Import, Empty"/>
  </r>
  <r>
    <x v="1"/>
    <s v="Houston"/>
    <s v="Texas "/>
    <x v="78"/>
    <n v="23566"/>
    <s v="Import, Empty"/>
  </r>
  <r>
    <x v="2"/>
    <s v="Long Beach"/>
    <s v="California"/>
    <x v="78"/>
    <n v="13474"/>
    <s v="Import, Empty"/>
  </r>
  <r>
    <x v="3"/>
    <s v="Los Angeles"/>
    <s v="California"/>
    <x v="78"/>
    <n v="503"/>
    <s v="Import, Empty"/>
  </r>
  <r>
    <x v="5"/>
    <s v="Oakland"/>
    <s v="California"/>
    <x v="78"/>
    <n v="11793"/>
    <s v="Import, Empty"/>
  </r>
  <r>
    <x v="4"/>
    <s v="Seattle"/>
    <s v="Washington"/>
    <x v="78"/>
    <n v="8312"/>
    <s v="Import, Empty"/>
  </r>
  <r>
    <x v="7"/>
    <s v="Norfolk"/>
    <s v="Virginia "/>
    <x v="78"/>
    <n v="1842"/>
    <s v="Import, Empt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s v="Charleston"/>
    <s v="South Carolina"/>
    <x v="0"/>
    <n v="45712"/>
    <s v="Export, Empty"/>
  </r>
  <r>
    <x v="0"/>
    <s v="Charleston"/>
    <s v="South Carolina"/>
    <x v="1"/>
    <n v="31869"/>
    <s v="Export, Empty"/>
  </r>
  <r>
    <x v="0"/>
    <s v="Charleston"/>
    <s v="South Carolina"/>
    <x v="2"/>
    <n v="37439"/>
    <s v="Export, Empty"/>
  </r>
  <r>
    <x v="0"/>
    <s v="Charleston"/>
    <s v="South Carolina"/>
    <x v="3"/>
    <n v="35969"/>
    <s v="Export, Empty"/>
  </r>
  <r>
    <x v="0"/>
    <s v="Charleston"/>
    <s v="South Carolina"/>
    <x v="4"/>
    <n v="38875"/>
    <s v="Export, Empty"/>
  </r>
  <r>
    <x v="0"/>
    <s v="Charleston"/>
    <s v="South Carolina"/>
    <x v="5"/>
    <n v="39463"/>
    <s v="Export, Empty"/>
  </r>
  <r>
    <x v="0"/>
    <s v="Charleston"/>
    <s v="South Carolina"/>
    <x v="6"/>
    <n v="38174"/>
    <s v="Export, Empty"/>
  </r>
  <r>
    <x v="0"/>
    <s v="Charleston"/>
    <s v="South Carolina"/>
    <x v="7"/>
    <n v="48363"/>
    <s v="Export, Empty"/>
  </r>
  <r>
    <x v="0"/>
    <s v="Charleston"/>
    <s v="South Carolina"/>
    <x v="8"/>
    <n v="39408"/>
    <s v="Export, Empty"/>
  </r>
  <r>
    <x v="0"/>
    <s v="Charleston"/>
    <s v="South Carolina"/>
    <x v="9"/>
    <n v="45191"/>
    <s v="Export, Empty"/>
  </r>
  <r>
    <x v="0"/>
    <s v="Charleston"/>
    <s v="South Carolina"/>
    <x v="10"/>
    <n v="34357"/>
    <s v="Export, Empty"/>
  </r>
  <r>
    <x v="0"/>
    <s v="Charleston"/>
    <s v="South Carolina"/>
    <x v="11"/>
    <n v="37829"/>
    <s v="Export, Empty"/>
  </r>
  <r>
    <x v="0"/>
    <s v="Charleston"/>
    <s v="South Carolina"/>
    <x v="12"/>
    <n v="44752"/>
    <s v="Export, Empty"/>
  </r>
  <r>
    <x v="0"/>
    <s v="Charleston"/>
    <s v="South Carolina"/>
    <x v="13"/>
    <n v="29117"/>
    <s v="Export, Empty"/>
  </r>
  <r>
    <x v="0"/>
    <s v="Charleston"/>
    <s v="South Carolina"/>
    <x v="14"/>
    <n v="28911"/>
    <s v="Export, Empty"/>
  </r>
  <r>
    <x v="0"/>
    <s v="Charleston"/>
    <s v="South Carolina"/>
    <x v="15"/>
    <n v="31463"/>
    <s v="Export, Empty"/>
  </r>
  <r>
    <x v="0"/>
    <s v="Charleston"/>
    <s v="South Carolina"/>
    <x v="16"/>
    <n v="32400"/>
    <s v="Export, Empty"/>
  </r>
  <r>
    <x v="0"/>
    <s v="Charleston"/>
    <s v="South Carolina"/>
    <x v="17"/>
    <n v="25021"/>
    <s v="Export, Empty"/>
  </r>
  <r>
    <x v="0"/>
    <s v="Charleston"/>
    <s v="South Carolina"/>
    <x v="18"/>
    <n v="35140"/>
    <s v="Export, Empty"/>
  </r>
  <r>
    <x v="0"/>
    <s v="Charleston"/>
    <s v="South Carolina"/>
    <x v="19"/>
    <n v="42817"/>
    <s v="Export, Empty"/>
  </r>
  <r>
    <x v="0"/>
    <s v="Charleston"/>
    <s v="South Carolina"/>
    <x v="20"/>
    <n v="38804"/>
    <s v="Export, Empty"/>
  </r>
  <r>
    <x v="0"/>
    <s v="Charleston"/>
    <s v="South Carolina"/>
    <x v="21"/>
    <n v="44717"/>
    <s v="Export, Empty"/>
  </r>
  <r>
    <x v="0"/>
    <s v="Charleston"/>
    <s v="South Carolina"/>
    <x v="22"/>
    <n v="45090"/>
    <s v="Export, Empty"/>
  </r>
  <r>
    <x v="0"/>
    <s v="Charleston"/>
    <s v="South Carolina"/>
    <x v="23"/>
    <n v="43990"/>
    <s v="Export, Empty"/>
  </r>
  <r>
    <x v="0"/>
    <s v="Charleston"/>
    <s v="South Carolina"/>
    <x v="24"/>
    <n v="48224"/>
    <s v="Export, Empty"/>
  </r>
  <r>
    <x v="0"/>
    <s v="Charleston"/>
    <s v="South Carolina"/>
    <x v="25"/>
    <n v="29293"/>
    <s v="Export, Empty"/>
  </r>
  <r>
    <x v="0"/>
    <s v="Charleston"/>
    <s v="South Carolina"/>
    <x v="26"/>
    <n v="46872"/>
    <s v="Export, Empty"/>
  </r>
  <r>
    <x v="0"/>
    <s v="Charleston"/>
    <s v="South Carolina"/>
    <x v="27"/>
    <n v="42252"/>
    <s v="Export, Empty"/>
  </r>
  <r>
    <x v="0"/>
    <s v="Charleston"/>
    <s v="South Carolina"/>
    <x v="28"/>
    <n v="44445"/>
    <s v="Export, Empty"/>
  </r>
  <r>
    <x v="0"/>
    <s v="Charleston"/>
    <s v="South Carolina"/>
    <x v="29"/>
    <n v="48037"/>
    <s v="Export, Empty"/>
  </r>
  <r>
    <x v="0"/>
    <s v="Charleston"/>
    <s v="South Carolina"/>
    <x v="30"/>
    <n v="54188"/>
    <s v="Export, Empty"/>
  </r>
  <r>
    <x v="0"/>
    <s v="Charleston"/>
    <s v="South Carolina"/>
    <x v="31"/>
    <n v="51084"/>
    <s v="Export, Empty"/>
  </r>
  <r>
    <x v="0"/>
    <s v="Charleston"/>
    <s v="South Carolina"/>
    <x v="32"/>
    <n v="42152"/>
    <s v="Export, Empty"/>
  </r>
  <r>
    <x v="0"/>
    <s v="Charleston"/>
    <s v="South Carolina"/>
    <x v="33"/>
    <n v="53612"/>
    <s v="Export, Empty"/>
  </r>
  <r>
    <x v="0"/>
    <s v="Charleston"/>
    <s v="South Carolina"/>
    <x v="34"/>
    <n v="48819"/>
    <s v="Export, Empty"/>
  </r>
  <r>
    <x v="0"/>
    <s v="Charleston"/>
    <s v="South Carolina"/>
    <x v="35"/>
    <n v="64055"/>
    <s v="Export, Empty"/>
  </r>
  <r>
    <x v="0"/>
    <s v="Charleston"/>
    <s v="South Carolina"/>
    <x v="36"/>
    <n v="52103"/>
    <s v="Export, Empty"/>
  </r>
  <r>
    <x v="0"/>
    <s v="Charleston"/>
    <s v="South Carolina"/>
    <x v="37"/>
    <n v="54141"/>
    <s v="Export, Empty"/>
  </r>
  <r>
    <x v="0"/>
    <s v="Charleston"/>
    <s v="South Carolina"/>
    <x v="38"/>
    <n v="61093"/>
    <s v="Export, Empty"/>
  </r>
  <r>
    <x v="0"/>
    <s v="Charleston"/>
    <s v="South Carolina"/>
    <x v="39"/>
    <n v="66405"/>
    <s v="Export, Empty"/>
  </r>
  <r>
    <x v="0"/>
    <s v="Charleston"/>
    <s v="South Carolina"/>
    <x v="40"/>
    <n v="73638"/>
    <s v="Export, Empty"/>
  </r>
  <r>
    <x v="0"/>
    <s v="Charleston"/>
    <s v="South Carolina"/>
    <x v="41"/>
    <n v="59788"/>
    <s v="Export, Empty"/>
  </r>
  <r>
    <x v="0"/>
    <s v="Charleston"/>
    <s v="South Carolina"/>
    <x v="42"/>
    <n v="60020"/>
    <s v="Export, Empty"/>
  </r>
  <r>
    <x v="0"/>
    <s v="Charleston"/>
    <s v="South Carolina"/>
    <x v="43"/>
    <n v="55630"/>
    <s v="Export, Empty"/>
  </r>
  <r>
    <x v="0"/>
    <s v="Charleston"/>
    <s v="South Carolina"/>
    <x v="44"/>
    <n v="60490"/>
    <s v="Export, Empty"/>
  </r>
  <r>
    <x v="0"/>
    <s v="Charleston"/>
    <s v="South Carolina"/>
    <x v="45"/>
    <n v="69675"/>
    <s v="Export, Empty"/>
  </r>
  <r>
    <x v="0"/>
    <s v="Charleston"/>
    <s v="South Carolina"/>
    <x v="46"/>
    <n v="55312"/>
    <s v="Export, Empty"/>
  </r>
  <r>
    <x v="0"/>
    <s v="Charleston"/>
    <s v="South Carolina"/>
    <x v="47"/>
    <n v="50389"/>
    <s v="Export, Empty"/>
  </r>
  <r>
    <x v="0"/>
    <s v="Charleston"/>
    <s v="South Carolina"/>
    <x v="48"/>
    <n v="44946"/>
    <s v="Export, Empty"/>
  </r>
  <r>
    <x v="0"/>
    <s v="Charleston"/>
    <s v="South Carolina"/>
    <x v="49"/>
    <n v="42536"/>
    <s v="Export, Empty"/>
  </r>
  <r>
    <x v="0"/>
    <s v="Charleston"/>
    <s v="South Carolina"/>
    <x v="50"/>
    <n v="39248"/>
    <s v="Export, Empty"/>
  </r>
  <r>
    <x v="0"/>
    <s v="Charleston"/>
    <s v="South Carolina"/>
    <x v="51"/>
    <n v="48172"/>
    <s v="Export, Empty"/>
  </r>
  <r>
    <x v="0"/>
    <s v="Charleston"/>
    <s v="South Carolina"/>
    <x v="52"/>
    <n v="41185"/>
    <s v="Export, Empty"/>
  </r>
  <r>
    <x v="0"/>
    <s v="Charleston"/>
    <s v="South Carolina"/>
    <x v="53"/>
    <n v="44794"/>
    <s v="Export, Empty"/>
  </r>
  <r>
    <x v="0"/>
    <s v="Charleston"/>
    <s v="South Carolina"/>
    <x v="54"/>
    <n v="45272"/>
    <s v="Export, Empty"/>
  </r>
  <r>
    <x v="0"/>
    <s v="Charleston"/>
    <s v="South Carolina"/>
    <x v="55"/>
    <n v="43116"/>
    <s v="Export, Empty"/>
  </r>
  <r>
    <x v="0"/>
    <s v="Charleston"/>
    <s v="South Carolina"/>
    <x v="56"/>
    <n v="43804"/>
    <s v="Export, Empty"/>
  </r>
  <r>
    <x v="0"/>
    <s v="Charleston"/>
    <s v="South Carolina"/>
    <x v="57"/>
    <n v="50843"/>
    <s v="Export, Empty"/>
  </r>
  <r>
    <x v="0"/>
    <s v="Charleston"/>
    <s v="South Carolina"/>
    <x v="58"/>
    <n v="41323"/>
    <s v="Export, Empty"/>
  </r>
  <r>
    <x v="0"/>
    <s v="Charleston"/>
    <s v="South Carolina"/>
    <x v="59"/>
    <n v="45752"/>
    <s v="Export, Empty"/>
  </r>
  <r>
    <x v="0"/>
    <s v="Charleston"/>
    <s v="South Carolina"/>
    <x v="60"/>
    <n v="44556"/>
    <s v="Export, Empty"/>
  </r>
  <r>
    <x v="0"/>
    <s v="Charleston"/>
    <s v="South Carolina"/>
    <x v="61"/>
    <n v="37198"/>
    <s v="Export, Empty"/>
  </r>
  <r>
    <x v="0"/>
    <s v="Charleston"/>
    <s v="South Carolina"/>
    <x v="62"/>
    <n v="47511"/>
    <s v="Export, Empty"/>
  </r>
  <r>
    <x v="0"/>
    <s v="Charleston"/>
    <s v="South Carolina"/>
    <x v="63"/>
    <n v="47424"/>
    <s v="Export, Empty"/>
  </r>
  <r>
    <x v="0"/>
    <s v="Charleston"/>
    <s v="South Carolina"/>
    <x v="64"/>
    <n v="37362"/>
    <s v="Export, Empty"/>
  </r>
  <r>
    <x v="0"/>
    <s v="Charleston"/>
    <s v="South Carolina"/>
    <x v="65"/>
    <n v="48017"/>
    <s v="Export, Empty"/>
  </r>
  <r>
    <x v="0"/>
    <s v="Charleston"/>
    <s v="South Carolina"/>
    <x v="66"/>
    <n v="56512"/>
    <s v="Export, Empty"/>
  </r>
  <r>
    <x v="0"/>
    <s v="Charleston"/>
    <s v="South Carolina"/>
    <x v="67"/>
    <n v="46916"/>
    <s v="Export, Empty"/>
  </r>
  <r>
    <x v="0"/>
    <s v="Charleston"/>
    <s v="South Carolina"/>
    <x v="68"/>
    <n v="46735"/>
    <s v="Export, Empty"/>
  </r>
  <r>
    <x v="0"/>
    <s v="Charleston"/>
    <s v="South Carolina"/>
    <x v="69"/>
    <n v="59268"/>
    <s v="Export, Empty"/>
  </r>
  <r>
    <x v="0"/>
    <s v="Charleston"/>
    <s v="South Carolina"/>
    <x v="70"/>
    <n v="50698"/>
    <s v="Export, Empty"/>
  </r>
  <r>
    <x v="0"/>
    <s v="Charleston"/>
    <s v="South Carolina"/>
    <x v="71"/>
    <n v="49678"/>
    <s v="Export, Empty"/>
  </r>
  <r>
    <x v="0"/>
    <s v="Charleston"/>
    <s v="South Carolina"/>
    <x v="72"/>
    <n v="52214"/>
    <s v="Export, Empty"/>
  </r>
  <r>
    <x v="0"/>
    <s v="Charleston"/>
    <s v="South Carolina"/>
    <x v="73"/>
    <n v="56883"/>
    <s v="Export, Empty"/>
  </r>
  <r>
    <x v="0"/>
    <s v="Charleston"/>
    <s v="South Carolina"/>
    <x v="74"/>
    <n v="64613"/>
    <s v="Export, Empty"/>
  </r>
  <r>
    <x v="0"/>
    <s v="Charleston"/>
    <s v="South Carolina"/>
    <x v="75"/>
    <n v="63857"/>
    <s v="Export, Empty"/>
  </r>
  <r>
    <x v="0"/>
    <s v="Charleston"/>
    <s v="South Carolina"/>
    <x v="76"/>
    <n v="55208"/>
    <s v="Export, Empty"/>
  </r>
  <r>
    <x v="1"/>
    <s v="Houston"/>
    <s v="Texas "/>
    <x v="0"/>
    <n v="20698"/>
    <s v="Export, Empty"/>
  </r>
  <r>
    <x v="1"/>
    <s v="Houston"/>
    <s v="Texas "/>
    <x v="1"/>
    <n v="15322"/>
    <s v="Export, Empty"/>
  </r>
  <r>
    <x v="1"/>
    <s v="Houston"/>
    <s v="Texas "/>
    <x v="2"/>
    <n v="17489"/>
    <s v="Export, Empty"/>
  </r>
  <r>
    <x v="1"/>
    <s v="Houston"/>
    <s v="Texas "/>
    <x v="3"/>
    <n v="18230"/>
    <s v="Export, Empty"/>
  </r>
  <r>
    <x v="1"/>
    <s v="Houston"/>
    <s v="Texas "/>
    <x v="4"/>
    <n v="17953"/>
    <s v="Export, Empty"/>
  </r>
  <r>
    <x v="1"/>
    <s v="Houston"/>
    <s v="Texas "/>
    <x v="5"/>
    <n v="19897"/>
    <s v="Export, Empty"/>
  </r>
  <r>
    <x v="1"/>
    <s v="Houston"/>
    <s v="Texas "/>
    <x v="6"/>
    <n v="24035"/>
    <s v="Export, Empty"/>
  </r>
  <r>
    <x v="1"/>
    <s v="Houston"/>
    <s v="Texas "/>
    <x v="7"/>
    <n v="22418"/>
    <s v="Export, Empty"/>
  </r>
  <r>
    <x v="1"/>
    <s v="Houston"/>
    <s v="Texas "/>
    <x v="8"/>
    <n v="20777"/>
    <s v="Export, Empty"/>
  </r>
  <r>
    <x v="1"/>
    <s v="Houston"/>
    <s v="Texas "/>
    <x v="9"/>
    <n v="20904"/>
    <s v="Export, Empty"/>
  </r>
  <r>
    <x v="1"/>
    <s v="Houston"/>
    <s v="Texas "/>
    <x v="10"/>
    <n v="14129"/>
    <s v="Export, Empty"/>
  </r>
  <r>
    <x v="1"/>
    <s v="Houston"/>
    <s v="Texas "/>
    <x v="11"/>
    <n v="15322"/>
    <s v="Export, Empty"/>
  </r>
  <r>
    <x v="1"/>
    <s v="Houston"/>
    <s v="Texas "/>
    <x v="12"/>
    <n v="14692"/>
    <s v="Export, Empty"/>
  </r>
  <r>
    <x v="1"/>
    <s v="Houston"/>
    <s v="Texas "/>
    <x v="13"/>
    <n v="10137"/>
    <s v="Export, Empty"/>
  </r>
  <r>
    <x v="1"/>
    <s v="Houston"/>
    <s v="Texas "/>
    <x v="14"/>
    <n v="8118"/>
    <s v="Export, Empty"/>
  </r>
  <r>
    <x v="1"/>
    <s v="Houston"/>
    <s v="Texas "/>
    <x v="15"/>
    <n v="11276"/>
    <s v="Export, Empty"/>
  </r>
  <r>
    <x v="1"/>
    <s v="Houston"/>
    <s v="Texas "/>
    <x v="16"/>
    <n v="13244"/>
    <s v="Export, Empty"/>
  </r>
  <r>
    <x v="1"/>
    <s v="Houston"/>
    <s v="Texas "/>
    <x v="17"/>
    <n v="9392"/>
    <s v="Export, Empty"/>
  </r>
  <r>
    <x v="1"/>
    <s v="Houston"/>
    <s v="Texas "/>
    <x v="18"/>
    <n v="12212"/>
    <s v="Export, Empty"/>
  </r>
  <r>
    <x v="1"/>
    <s v="Houston"/>
    <s v="Texas "/>
    <x v="19"/>
    <n v="21394"/>
    <s v="Export, Empty"/>
  </r>
  <r>
    <x v="1"/>
    <s v="Houston"/>
    <s v="Texas "/>
    <x v="20"/>
    <n v="29781"/>
    <s v="Export, Empty"/>
  </r>
  <r>
    <x v="1"/>
    <s v="Houston"/>
    <s v="Texas "/>
    <x v="21"/>
    <n v="50979"/>
    <s v="Export, Empty"/>
  </r>
  <r>
    <x v="1"/>
    <s v="Houston"/>
    <s v="Texas "/>
    <x v="22"/>
    <n v="29682"/>
    <s v="Export, Empty"/>
  </r>
  <r>
    <x v="1"/>
    <s v="Houston"/>
    <s v="Texas "/>
    <x v="23"/>
    <n v="26619"/>
    <s v="Export, Empty"/>
  </r>
  <r>
    <x v="1"/>
    <s v="Houston"/>
    <s v="Texas "/>
    <x v="24"/>
    <n v="23503"/>
    <s v="Export, Empty"/>
  </r>
  <r>
    <x v="1"/>
    <s v="Houston"/>
    <s v="Texas "/>
    <x v="25"/>
    <n v="17227"/>
    <s v="Export, Empty"/>
  </r>
  <r>
    <x v="1"/>
    <s v="Houston"/>
    <s v="Texas "/>
    <x v="26"/>
    <n v="37869"/>
    <s v="Export, Empty"/>
  </r>
  <r>
    <x v="1"/>
    <s v="Houston"/>
    <s v="Texas "/>
    <x v="27"/>
    <n v="40809"/>
    <s v="Export, Empty"/>
  </r>
  <r>
    <x v="1"/>
    <s v="Houston"/>
    <s v="Texas "/>
    <x v="28"/>
    <n v="51202"/>
    <s v="Export, Empty"/>
  </r>
  <r>
    <x v="1"/>
    <s v="Houston"/>
    <s v="Texas "/>
    <x v="29"/>
    <n v="56337"/>
    <s v="Export, Empty"/>
  </r>
  <r>
    <x v="1"/>
    <s v="Houston"/>
    <s v="Texas "/>
    <x v="30"/>
    <n v="75964"/>
    <s v="Export, Empty"/>
  </r>
  <r>
    <x v="1"/>
    <s v="Houston"/>
    <s v="Texas "/>
    <x v="31"/>
    <n v="65983"/>
    <s v="Export, Empty"/>
  </r>
  <r>
    <x v="1"/>
    <s v="Houston"/>
    <s v="Texas "/>
    <x v="32"/>
    <n v="66234"/>
    <s v="Export, Empty"/>
  </r>
  <r>
    <x v="1"/>
    <s v="Houston"/>
    <s v="Texas "/>
    <x v="33"/>
    <n v="69633"/>
    <s v="Export, Empty"/>
  </r>
  <r>
    <x v="1"/>
    <s v="Houston"/>
    <s v="Texas "/>
    <x v="34"/>
    <n v="58655"/>
    <s v="Export, Empty"/>
  </r>
  <r>
    <x v="1"/>
    <s v="Houston"/>
    <s v="Texas "/>
    <x v="35"/>
    <n v="60792"/>
    <s v="Export, Empty"/>
  </r>
  <r>
    <x v="1"/>
    <s v="Houston"/>
    <s v="Texas "/>
    <x v="36"/>
    <n v="73181"/>
    <s v="Export, Empty"/>
  </r>
  <r>
    <x v="1"/>
    <s v="Houston"/>
    <s v="Texas "/>
    <x v="37"/>
    <n v="56230"/>
    <s v="Export, Empty"/>
  </r>
  <r>
    <x v="1"/>
    <s v="Houston"/>
    <s v="Texas "/>
    <x v="38"/>
    <n v="42740"/>
    <s v="Export, Empty"/>
  </r>
  <r>
    <x v="1"/>
    <s v="Houston"/>
    <s v="Texas "/>
    <x v="39"/>
    <n v="43155"/>
    <s v="Export, Empty"/>
  </r>
  <r>
    <x v="1"/>
    <s v="Houston"/>
    <s v="Texas "/>
    <x v="40"/>
    <n v="56741"/>
    <s v="Export, Empty"/>
  </r>
  <r>
    <x v="1"/>
    <s v="Houston"/>
    <s v="Texas "/>
    <x v="41"/>
    <n v="53392"/>
    <s v="Export, Empty"/>
  </r>
  <r>
    <x v="1"/>
    <s v="Houston"/>
    <s v="Texas "/>
    <x v="42"/>
    <n v="57663"/>
    <s v="Export, Empty"/>
  </r>
  <r>
    <x v="1"/>
    <s v="Houston"/>
    <s v="Texas "/>
    <x v="43"/>
    <n v="78094"/>
    <s v="Export, Empty"/>
  </r>
  <r>
    <x v="1"/>
    <s v="Houston"/>
    <s v="Texas "/>
    <x v="44"/>
    <n v="62837"/>
    <s v="Export, Empty"/>
  </r>
  <r>
    <x v="1"/>
    <s v="Houston"/>
    <s v="Texas "/>
    <x v="45"/>
    <n v="63823"/>
    <s v="Export, Empty"/>
  </r>
  <r>
    <x v="1"/>
    <s v="Houston"/>
    <s v="Texas "/>
    <x v="46"/>
    <n v="59436"/>
    <s v="Export, Empty"/>
  </r>
  <r>
    <x v="1"/>
    <s v="Houston"/>
    <s v="Texas "/>
    <x v="47"/>
    <n v="41777"/>
    <s v="Export, Empty"/>
  </r>
  <r>
    <x v="1"/>
    <s v="Houston"/>
    <s v="Texas "/>
    <x v="48"/>
    <n v="35067"/>
    <s v="Export, Empty"/>
  </r>
  <r>
    <x v="1"/>
    <s v="Houston"/>
    <s v="Texas "/>
    <x v="49"/>
    <n v="37400"/>
    <s v="Export, Empty"/>
  </r>
  <r>
    <x v="1"/>
    <s v="Houston"/>
    <s v="Texas "/>
    <x v="50"/>
    <n v="36905"/>
    <s v="Export, Empty"/>
  </r>
  <r>
    <x v="1"/>
    <s v="Houston"/>
    <s v="Texas "/>
    <x v="51"/>
    <n v="42433"/>
    <s v="Export, Empty"/>
  </r>
  <r>
    <x v="1"/>
    <s v="Houston"/>
    <s v="Texas "/>
    <x v="52"/>
    <n v="39430"/>
    <s v="Export, Empty"/>
  </r>
  <r>
    <x v="1"/>
    <s v="Houston"/>
    <s v="Texas "/>
    <x v="53"/>
    <n v="46961"/>
    <s v="Export, Empty"/>
  </r>
  <r>
    <x v="1"/>
    <s v="Houston"/>
    <s v="Texas "/>
    <x v="54"/>
    <n v="49482"/>
    <s v="Export, Empty"/>
  </r>
  <r>
    <x v="1"/>
    <s v="Houston"/>
    <s v="Texas "/>
    <x v="55"/>
    <n v="40398"/>
    <s v="Export, Empty"/>
  </r>
  <r>
    <x v="1"/>
    <s v="Houston"/>
    <s v="Texas "/>
    <x v="56"/>
    <n v="28480"/>
    <s v="Export, Empty"/>
  </r>
  <r>
    <x v="1"/>
    <s v="Houston"/>
    <s v="Texas "/>
    <x v="57"/>
    <n v="52947"/>
    <s v="Export, Empty"/>
  </r>
  <r>
    <x v="1"/>
    <s v="Houston"/>
    <s v="Texas "/>
    <x v="58"/>
    <n v="35239"/>
    <s v="Export, Empty"/>
  </r>
  <r>
    <x v="1"/>
    <s v="Houston"/>
    <s v="Texas "/>
    <x v="59"/>
    <n v="39588"/>
    <s v="Export, Empty"/>
  </r>
  <r>
    <x v="1"/>
    <s v="Houston"/>
    <s v="Texas "/>
    <x v="60"/>
    <n v="38543"/>
    <s v="Export, Empty"/>
  </r>
  <r>
    <x v="1"/>
    <s v="Houston"/>
    <s v="Texas "/>
    <x v="61"/>
    <n v="45198"/>
    <s v="Export, Empty"/>
  </r>
  <r>
    <x v="1"/>
    <s v="Houston"/>
    <s v="Texas "/>
    <x v="62"/>
    <n v="47867"/>
    <s v="Export, Empty"/>
  </r>
  <r>
    <x v="1"/>
    <s v="Houston"/>
    <s v="Texas "/>
    <x v="63"/>
    <n v="44109"/>
    <s v="Export, Empty"/>
  </r>
  <r>
    <x v="1"/>
    <s v="Houston"/>
    <s v="Texas "/>
    <x v="64"/>
    <n v="52147"/>
    <s v="Export, Empty"/>
  </r>
  <r>
    <x v="1"/>
    <s v="Houston"/>
    <s v="Texas "/>
    <x v="65"/>
    <n v="59447"/>
    <s v="Export, Empty"/>
  </r>
  <r>
    <x v="1"/>
    <s v="Houston"/>
    <s v="Texas "/>
    <x v="66"/>
    <n v="42378"/>
    <s v="Export, Empty"/>
  </r>
  <r>
    <x v="1"/>
    <s v="Houston"/>
    <s v="Texas "/>
    <x v="67"/>
    <n v="57029"/>
    <s v="Export, Empty"/>
  </r>
  <r>
    <x v="1"/>
    <s v="Houston"/>
    <s v="Texas "/>
    <x v="68"/>
    <n v="40983"/>
    <s v="Export, Empty"/>
  </r>
  <r>
    <x v="1"/>
    <s v="Houston"/>
    <s v="Texas "/>
    <x v="69"/>
    <n v="49971"/>
    <s v="Export, Empty"/>
  </r>
  <r>
    <x v="1"/>
    <s v="Houston"/>
    <s v="Texas "/>
    <x v="70"/>
    <n v="56184"/>
    <s v="Export, Empty"/>
  </r>
  <r>
    <x v="1"/>
    <s v="Houston"/>
    <s v="Texas "/>
    <x v="71"/>
    <n v="36494"/>
    <s v="Export, Empty"/>
  </r>
  <r>
    <x v="1"/>
    <s v="Houston"/>
    <s v="Texas "/>
    <x v="72"/>
    <n v="47165"/>
    <s v="Export, Empty"/>
  </r>
  <r>
    <x v="1"/>
    <s v="Houston"/>
    <s v="Texas "/>
    <x v="73"/>
    <n v="37955"/>
    <s v="Export, Empty"/>
  </r>
  <r>
    <x v="1"/>
    <s v="Houston"/>
    <s v="Texas "/>
    <x v="74"/>
    <n v="44346"/>
    <s v="Export, Empty"/>
  </r>
  <r>
    <x v="1"/>
    <s v="Houston"/>
    <s v="Texas "/>
    <x v="75"/>
    <n v="52446"/>
    <s v="Export, Empty"/>
  </r>
  <r>
    <x v="1"/>
    <s v="Houston"/>
    <s v="Texas "/>
    <x v="76"/>
    <n v="64377"/>
    <s v="Export, Empty"/>
  </r>
  <r>
    <x v="2"/>
    <s v="Long Beach"/>
    <s v="California"/>
    <x v="0"/>
    <n v="209870"/>
    <s v="Export, Empty"/>
  </r>
  <r>
    <x v="2"/>
    <s v="Long Beach"/>
    <s v="California"/>
    <x v="1"/>
    <n v="182731"/>
    <s v="Export, Empty"/>
  </r>
  <r>
    <x v="2"/>
    <s v="Long Beach"/>
    <s v="California"/>
    <x v="2"/>
    <n v="165313"/>
    <s v="Export, Empty"/>
  </r>
  <r>
    <x v="2"/>
    <s v="Long Beach"/>
    <s v="California"/>
    <x v="3"/>
    <n v="179721"/>
    <s v="Export, Empty"/>
  </r>
  <r>
    <x v="2"/>
    <s v="Long Beach"/>
    <s v="California"/>
    <x v="4"/>
    <n v="157592"/>
    <s v="Export, Empty"/>
  </r>
  <r>
    <x v="2"/>
    <s v="Long Beach"/>
    <s v="California"/>
    <x v="5"/>
    <n v="205497"/>
    <s v="Export, Empty"/>
  </r>
  <r>
    <x v="2"/>
    <s v="Long Beach"/>
    <s v="California"/>
    <x v="6"/>
    <n v="191914"/>
    <s v="Export, Empty"/>
  </r>
  <r>
    <x v="2"/>
    <s v="Long Beach"/>
    <s v="California"/>
    <x v="7"/>
    <n v="209078"/>
    <s v="Export, Empty"/>
  </r>
  <r>
    <x v="2"/>
    <s v="Long Beach"/>
    <s v="California"/>
    <x v="8"/>
    <n v="224215"/>
    <s v="Export, Empty"/>
  </r>
  <r>
    <x v="2"/>
    <s v="Long Beach"/>
    <s v="California"/>
    <x v="9"/>
    <n v="214574"/>
    <s v="Export, Empty"/>
  </r>
  <r>
    <x v="2"/>
    <s v="Long Beach"/>
    <s v="California"/>
    <x v="10"/>
    <n v="176730"/>
    <s v="Export, Empty"/>
  </r>
  <r>
    <x v="2"/>
    <s v="Long Beach"/>
    <s v="California"/>
    <x v="11"/>
    <n v="208852"/>
    <s v="Export, Empty"/>
  </r>
  <r>
    <x v="2"/>
    <s v="Long Beach"/>
    <s v="California"/>
    <x v="12"/>
    <n v="200807"/>
    <s v="Export, Empty"/>
  </r>
  <r>
    <x v="2"/>
    <s v="Long Beach"/>
    <s v="California"/>
    <x v="13"/>
    <n v="154986"/>
    <s v="Export, Empty"/>
  </r>
  <r>
    <x v="2"/>
    <s v="Long Beach"/>
    <s v="California"/>
    <x v="14"/>
    <n v="125300"/>
    <s v="Export, Empty"/>
  </r>
  <r>
    <x v="2"/>
    <s v="Long Beach"/>
    <s v="California"/>
    <x v="15"/>
    <n v="145931"/>
    <s v="Export, Empty"/>
  </r>
  <r>
    <x v="2"/>
    <s v="Long Beach"/>
    <s v="California"/>
    <x v="16"/>
    <n v="171841"/>
    <s v="Export, Empty"/>
  </r>
  <r>
    <x v="2"/>
    <s v="Long Beach"/>
    <s v="California"/>
    <x v="17"/>
    <n v="172628"/>
    <s v="Export, Empty"/>
  </r>
  <r>
    <x v="2"/>
    <s v="Long Beach"/>
    <s v="California"/>
    <x v="18"/>
    <n v="224918"/>
    <s v="Export, Empty"/>
  </r>
  <r>
    <x v="2"/>
    <s v="Long Beach"/>
    <s v="California"/>
    <x v="19"/>
    <n v="220951"/>
    <s v="Export, Empty"/>
  </r>
  <r>
    <x v="2"/>
    <s v="Long Beach"/>
    <s v="California"/>
    <x v="20"/>
    <n v="266071"/>
    <s v="Export, Empty"/>
  </r>
  <r>
    <x v="2"/>
    <s v="Long Beach"/>
    <s v="California"/>
    <x v="21"/>
    <n v="274988"/>
    <s v="Export, Empty"/>
  </r>
  <r>
    <x v="2"/>
    <s v="Long Beach"/>
    <s v="California"/>
    <x v="22"/>
    <n v="240447"/>
    <s v="Export, Empty"/>
  </r>
  <r>
    <x v="2"/>
    <s v="Long Beach"/>
    <s v="California"/>
    <x v="23"/>
    <n v="263852"/>
    <s v="Export, Empty"/>
  </r>
  <r>
    <x v="2"/>
    <s v="Long Beach"/>
    <s v="California"/>
    <x v="24"/>
    <n v="270221"/>
    <s v="Export, Empty"/>
  </r>
  <r>
    <x v="2"/>
    <s v="Long Beach"/>
    <s v="California"/>
    <x v="25"/>
    <n v="265431"/>
    <s v="Export, Empty"/>
  </r>
  <r>
    <x v="2"/>
    <s v="Long Beach"/>
    <s v="California"/>
    <x v="26"/>
    <n v="279016"/>
    <s v="Export, Empty"/>
  </r>
  <r>
    <x v="2"/>
    <s v="Long Beach"/>
    <s v="California"/>
    <x v="27"/>
    <n v="243392"/>
    <s v="Export, Empty"/>
  </r>
  <r>
    <x v="2"/>
    <s v="Long Beach"/>
    <s v="California"/>
    <x v="28"/>
    <n v="314070"/>
    <s v="Export, Empty"/>
  </r>
  <r>
    <x v="2"/>
    <s v="Long Beach"/>
    <s v="California"/>
    <x v="29"/>
    <n v="237615"/>
    <s v="Export, Empty"/>
  </r>
  <r>
    <x v="2"/>
    <s v="Long Beach"/>
    <s v="California"/>
    <x v="30"/>
    <n v="276363"/>
    <s v="Export, Empty"/>
  </r>
  <r>
    <x v="2"/>
    <s v="Long Beach"/>
    <s v="California"/>
    <x v="31"/>
    <n v="268505"/>
    <s v="Export, Empty"/>
  </r>
  <r>
    <x v="2"/>
    <s v="Long Beach"/>
    <s v="California"/>
    <x v="32"/>
    <n v="253964"/>
    <s v="Export, Empty"/>
  </r>
  <r>
    <x v="2"/>
    <s v="Long Beach"/>
    <s v="California"/>
    <x v="33"/>
    <n v="270373"/>
    <s v="Export, Empty"/>
  </r>
  <r>
    <x v="2"/>
    <s v="Long Beach"/>
    <s v="California"/>
    <x v="34"/>
    <n v="262184"/>
    <s v="Export, Empty"/>
  </r>
  <r>
    <x v="2"/>
    <s v="Long Beach"/>
    <s v="California"/>
    <x v="35"/>
    <n v="269184"/>
    <s v="Export, Empty"/>
  </r>
  <r>
    <x v="2"/>
    <s v="Long Beach"/>
    <s v="California"/>
    <x v="36"/>
    <n v="276058"/>
    <s v="Export, Empty"/>
  </r>
  <r>
    <x v="2"/>
    <s v="Long Beach"/>
    <s v="California"/>
    <x v="37"/>
    <n v="276673"/>
    <s v="Export, Empty"/>
  </r>
  <r>
    <x v="2"/>
    <s v="Long Beach"/>
    <s v="California"/>
    <x v="38"/>
    <n v="310094"/>
    <s v="Export, Empty"/>
  </r>
  <r>
    <x v="2"/>
    <s v="Long Beach"/>
    <s v="California"/>
    <x v="39"/>
    <n v="285145"/>
    <s v="Export, Empty"/>
  </r>
  <r>
    <x v="2"/>
    <s v="Long Beach"/>
    <s v="California"/>
    <x v="40"/>
    <n v="325105"/>
    <s v="Export, Empty"/>
  </r>
  <r>
    <x v="2"/>
    <s v="Long Beach"/>
    <s v="California"/>
    <x v="41"/>
    <n v="289788"/>
    <s v="Export, Empty"/>
  </r>
  <r>
    <x v="2"/>
    <s v="Long Beach"/>
    <s v="California"/>
    <x v="42"/>
    <n v="285370"/>
    <s v="Export, Empty"/>
  </r>
  <r>
    <x v="2"/>
    <s v="Long Beach"/>
    <s v="California"/>
    <x v="43"/>
    <n v="288558"/>
    <s v="Export, Empty"/>
  </r>
  <r>
    <x v="2"/>
    <s v="Long Beach"/>
    <s v="California"/>
    <x v="44"/>
    <n v="269519"/>
    <s v="Export, Empty"/>
  </r>
  <r>
    <x v="2"/>
    <s v="Long Beach"/>
    <s v="California"/>
    <x v="45"/>
    <n v="228225"/>
    <s v="Export, Empty"/>
  </r>
  <r>
    <x v="2"/>
    <s v="Long Beach"/>
    <s v="California"/>
    <x v="46"/>
    <n v="186546"/>
    <s v="Export, Empty"/>
  </r>
  <r>
    <x v="2"/>
    <s v="Long Beach"/>
    <s v="California"/>
    <x v="47"/>
    <n v="170698"/>
    <s v="Export, Empty"/>
  </r>
  <r>
    <x v="2"/>
    <s v="Long Beach"/>
    <s v="California"/>
    <x v="48"/>
    <n v="191458"/>
    <s v="Export, Empty"/>
  </r>
  <r>
    <x v="2"/>
    <s v="Long Beach"/>
    <s v="California"/>
    <x v="49"/>
    <n v="164529"/>
    <s v="Export, Empty"/>
  </r>
  <r>
    <x v="2"/>
    <s v="Long Beach"/>
    <s v="California"/>
    <x v="50"/>
    <n v="176907"/>
    <s v="Export, Empty"/>
  </r>
  <r>
    <x v="2"/>
    <s v="Long Beach"/>
    <s v="California"/>
    <x v="51"/>
    <n v="203127"/>
    <s v="Export, Empty"/>
  </r>
  <r>
    <x v="2"/>
    <s v="Long Beach"/>
    <s v="California"/>
    <x v="52"/>
    <n v="255725"/>
    <s v="Export, Empty"/>
  </r>
  <r>
    <x v="2"/>
    <s v="Long Beach"/>
    <s v="California"/>
    <x v="53"/>
    <n v="214128"/>
    <s v="Export, Empty"/>
  </r>
  <r>
    <x v="2"/>
    <s v="Long Beach"/>
    <s v="California"/>
    <x v="54"/>
    <n v="200096"/>
    <s v="Export, Empty"/>
  </r>
  <r>
    <x v="2"/>
    <s v="Long Beach"/>
    <s v="California"/>
    <x v="55"/>
    <n v="248198"/>
    <s v="Export, Empty"/>
  </r>
  <r>
    <x v="2"/>
    <s v="Long Beach"/>
    <s v="California"/>
    <x v="56"/>
    <n v="300807"/>
    <s v="Export, Empty"/>
  </r>
  <r>
    <x v="2"/>
    <s v="Long Beach"/>
    <s v="California"/>
    <x v="57"/>
    <n v="286960"/>
    <s v="Export, Empty"/>
  </r>
  <r>
    <x v="2"/>
    <s v="Long Beach"/>
    <s v="California"/>
    <x v="58"/>
    <n v="251833"/>
    <s v="Export, Empty"/>
  </r>
  <r>
    <x v="2"/>
    <s v="Long Beach"/>
    <s v="California"/>
    <x v="59"/>
    <n v="257166"/>
    <s v="Export, Empty"/>
  </r>
  <r>
    <x v="2"/>
    <s v="Long Beach"/>
    <s v="California"/>
    <x v="60"/>
    <n v="249169"/>
    <s v="Export, Empty"/>
  </r>
  <r>
    <x v="2"/>
    <s v="Long Beach"/>
    <s v="California"/>
    <x v="61"/>
    <n v="244470"/>
    <s v="Export, Empty"/>
  </r>
  <r>
    <x v="2"/>
    <s v="Long Beach"/>
    <s v="California"/>
    <x v="62"/>
    <n v="230750"/>
    <s v="Export, Empty"/>
  </r>
  <r>
    <x v="2"/>
    <s v="Long Beach"/>
    <s v="California"/>
    <x v="63"/>
    <n v="274223"/>
    <s v="Export, Empty"/>
  </r>
  <r>
    <x v="2"/>
    <s v="Long Beach"/>
    <s v="California"/>
    <x v="64"/>
    <n v="310542"/>
    <s v="Export, Empty"/>
  </r>
  <r>
    <x v="2"/>
    <s v="Long Beach"/>
    <s v="California"/>
    <x v="65"/>
    <n v="310542"/>
    <s v="Export, Empty"/>
  </r>
  <r>
    <x v="2"/>
    <s v="Long Beach"/>
    <s v="California"/>
    <x v="66"/>
    <n v="325503"/>
    <s v="Export, Empty"/>
  </r>
  <r>
    <x v="2"/>
    <s v="Long Beach"/>
    <s v="California"/>
    <x v="67"/>
    <n v="338750"/>
    <s v="Export, Empty"/>
  </r>
  <r>
    <x v="2"/>
    <s v="Long Beach"/>
    <s v="California"/>
    <x v="68"/>
    <n v="310829"/>
    <s v="Export, Empty"/>
  </r>
  <r>
    <x v="2"/>
    <s v="Long Beach"/>
    <s v="California"/>
    <x v="69"/>
    <n v="372136"/>
    <s v="Export, Empty"/>
  </r>
  <r>
    <x v="2"/>
    <s v="Long Beach"/>
    <s v="California"/>
    <x v="70"/>
    <n v="316944"/>
    <s v="Export, Empty"/>
  </r>
  <r>
    <x v="2"/>
    <s v="Long Beach"/>
    <s v="California"/>
    <x v="71"/>
    <n v="332855"/>
    <s v="Export, Empty"/>
  </r>
  <r>
    <x v="2"/>
    <s v="Long Beach"/>
    <s v="California"/>
    <x v="72"/>
    <n v="369205"/>
    <s v="Export, Empty"/>
  </r>
  <r>
    <x v="2"/>
    <s v="Long Beach"/>
    <s v="California"/>
    <x v="73"/>
    <n v="292293"/>
    <s v="Export, Empty"/>
  </r>
  <r>
    <x v="2"/>
    <s v="Long Beach"/>
    <s v="California"/>
    <x v="74"/>
    <n v="315619"/>
    <s v="Export, Empty"/>
  </r>
  <r>
    <x v="2"/>
    <s v="Long Beach"/>
    <s v="California"/>
    <x v="75"/>
    <n v="336456"/>
    <s v="Export, Empty"/>
  </r>
  <r>
    <x v="2"/>
    <s v="Long Beach"/>
    <s v="California"/>
    <x v="76"/>
    <n v="242471"/>
    <s v="Export, Empty"/>
  </r>
  <r>
    <x v="3"/>
    <s v="Los Angeles"/>
    <s v="California"/>
    <x v="0"/>
    <n v="261726"/>
    <s v="Export, Empty"/>
  </r>
  <r>
    <x v="3"/>
    <s v="Los Angeles"/>
    <s v="California"/>
    <x v="1"/>
    <n v="198201.5"/>
    <s v="Export, Empty"/>
  </r>
  <r>
    <x v="3"/>
    <s v="Los Angeles"/>
    <s v="California"/>
    <x v="2"/>
    <n v="180999.5"/>
    <s v="Export, Empty"/>
  </r>
  <r>
    <x v="3"/>
    <s v="Los Angeles"/>
    <s v="California"/>
    <x v="3"/>
    <n v="202589.7"/>
    <s v="Export, Empty"/>
  </r>
  <r>
    <x v="3"/>
    <s v="Los Angeles"/>
    <s v="California"/>
    <x v="4"/>
    <n v="220991.5"/>
    <s v="Export, Empty"/>
  </r>
  <r>
    <x v="3"/>
    <s v="Los Angeles"/>
    <s v="California"/>
    <x v="5"/>
    <n v="219635.25"/>
    <s v="Export, Empty"/>
  </r>
  <r>
    <x v="3"/>
    <s v="Los Angeles"/>
    <s v="California"/>
    <x v="6"/>
    <n v="263209"/>
    <s v="Export, Empty"/>
  </r>
  <r>
    <x v="3"/>
    <s v="Los Angeles"/>
    <s v="California"/>
    <x v="7"/>
    <n v="265711"/>
    <s v="Export, Empty"/>
  </r>
  <r>
    <x v="3"/>
    <s v="Los Angeles"/>
    <s v="California"/>
    <x v="8"/>
    <n v="234453.5"/>
    <s v="Export, Empty"/>
  </r>
  <r>
    <x v="3"/>
    <s v="Los Angeles"/>
    <s v="California"/>
    <x v="9"/>
    <n v="227431.5"/>
    <s v="Export, Empty"/>
  </r>
  <r>
    <x v="3"/>
    <s v="Los Angeles"/>
    <s v="California"/>
    <x v="10"/>
    <n v="209935.75"/>
    <s v="Export, Empty"/>
  </r>
  <r>
    <x v="3"/>
    <s v="Los Angeles"/>
    <s v="California"/>
    <x v="11"/>
    <n v="232727"/>
    <s v="Export, Empty"/>
  </r>
  <r>
    <x v="3"/>
    <s v="Los Angeles"/>
    <s v="California"/>
    <x v="12"/>
    <n v="232176.25"/>
    <s v="Export, Empty"/>
  </r>
  <r>
    <x v="3"/>
    <s v="Los Angeles"/>
    <s v="California"/>
    <x v="13"/>
    <n v="130833.75"/>
    <s v="Export, Empty"/>
  </r>
  <r>
    <x v="3"/>
    <s v="Los Angeles"/>
    <s v="California"/>
    <x v="14"/>
    <n v="96815"/>
    <s v="Export, Empty"/>
  </r>
  <r>
    <x v="3"/>
    <s v="Los Angeles"/>
    <s v="California"/>
    <x v="15"/>
    <n v="184491.75"/>
    <s v="Export, Empty"/>
  </r>
  <r>
    <x v="3"/>
    <s v="Los Angeles"/>
    <s v="California"/>
    <x v="16"/>
    <n v="170916.75"/>
    <s v="Export, Empty"/>
  </r>
  <r>
    <x v="3"/>
    <s v="Los Angeles"/>
    <s v="California"/>
    <x v="17"/>
    <n v="212632.75"/>
    <s v="Export, Empty"/>
  </r>
  <r>
    <x v="3"/>
    <s v="Los Angeles"/>
    <s v="California"/>
    <x v="18"/>
    <n v="272838.7"/>
    <s v="Export, Empty"/>
  </r>
  <r>
    <x v="3"/>
    <s v="Los Angeles"/>
    <s v="California"/>
    <x v="19"/>
    <n v="313379.25"/>
    <s v="Export, Empty"/>
  </r>
  <r>
    <x v="3"/>
    <s v="Los Angeles"/>
    <s v="California"/>
    <x v="20"/>
    <n v="276546.5"/>
    <s v="Export, Empty"/>
  </r>
  <r>
    <x v="3"/>
    <s v="Los Angeles"/>
    <s v="California"/>
    <x v="21"/>
    <n v="325980"/>
    <s v="Export, Empty"/>
  </r>
  <r>
    <x v="3"/>
    <s v="Los Angeles"/>
    <s v="California"/>
    <x v="22"/>
    <n v="292762.25"/>
    <s v="Export, Empty"/>
  </r>
  <r>
    <x v="3"/>
    <s v="Los Angeles"/>
    <s v="California"/>
    <x v="23"/>
    <n v="296265.75"/>
    <s v="Export, Empty"/>
  </r>
  <r>
    <x v="3"/>
    <s v="Los Angeles"/>
    <s v="California"/>
    <x v="24"/>
    <n v="278326.25"/>
    <s v="Export, Empty"/>
  </r>
  <r>
    <x v="3"/>
    <s v="Los Angeles"/>
    <s v="California"/>
    <x v="25"/>
    <n v="283952.75"/>
    <s v="Export, Empty"/>
  </r>
  <r>
    <x v="3"/>
    <s v="Los Angeles"/>
    <s v="California"/>
    <x v="26"/>
    <n v="341235"/>
    <s v="Export, Empty"/>
  </r>
  <r>
    <x v="3"/>
    <s v="Los Angeles"/>
    <s v="California"/>
    <x v="27"/>
    <n v="337836.25"/>
    <s v="Export, Empty"/>
  </r>
  <r>
    <x v="3"/>
    <s v="Los Angeles"/>
    <s v="California"/>
    <x v="28"/>
    <n v="361358.75"/>
    <s v="Export, Empty"/>
  </r>
  <r>
    <x v="3"/>
    <s v="Los Angeles"/>
    <s v="California"/>
    <x v="29"/>
    <n v="310810"/>
    <s v="Export, Empty"/>
  </r>
  <r>
    <x v="3"/>
    <s v="Los Angeles"/>
    <s v="California"/>
    <x v="30"/>
    <n v="329878.75"/>
    <s v="Export, Empty"/>
  </r>
  <r>
    <x v="3"/>
    <s v="Los Angeles"/>
    <s v="California"/>
    <x v="31"/>
    <n v="364211.5"/>
    <s v="Export, Empty"/>
  </r>
  <r>
    <x v="3"/>
    <s v="Los Angeles"/>
    <s v="California"/>
    <x v="32"/>
    <n v="358581"/>
    <s v="Export, Empty"/>
  </r>
  <r>
    <x v="3"/>
    <s v="Los Angeles"/>
    <s v="California"/>
    <x v="33"/>
    <n v="335679.05"/>
    <s v="Export, Empty"/>
  </r>
  <r>
    <x v="3"/>
    <s v="Los Angeles"/>
    <s v="California"/>
    <x v="34"/>
    <n v="323409.25"/>
    <s v="Export, Empty"/>
  </r>
  <r>
    <x v="3"/>
    <s v="Los Angeles"/>
    <s v="California"/>
    <x v="35"/>
    <n v="328193.84999999998"/>
    <s v="Export, Empty"/>
  </r>
  <r>
    <x v="3"/>
    <s v="Los Angeles"/>
    <s v="California"/>
    <x v="36"/>
    <n v="336935.85"/>
    <s v="Export, Empty"/>
  </r>
  <r>
    <x v="3"/>
    <s v="Los Angeles"/>
    <s v="California"/>
    <x v="37"/>
    <n v="335510.95"/>
    <s v="Export, Empty"/>
  </r>
  <r>
    <x v="3"/>
    <s v="Los Angeles"/>
    <s v="California"/>
    <x v="38"/>
    <n v="349116.95"/>
    <s v="Export, Empty"/>
  </r>
  <r>
    <x v="3"/>
    <s v="Los Angeles"/>
    <s v="California"/>
    <x v="39"/>
    <n v="329215.3"/>
    <s v="Export, Empty"/>
  </r>
  <r>
    <x v="3"/>
    <s v="Los Angeles"/>
    <s v="California"/>
    <x v="40"/>
    <n v="340565.35"/>
    <s v="Export, Empty"/>
  </r>
  <r>
    <x v="3"/>
    <s v="Los Angeles"/>
    <s v="California"/>
    <x v="41"/>
    <n v="334454.45"/>
    <s v="Export, Empty"/>
  </r>
  <r>
    <x v="3"/>
    <s v="Los Angeles"/>
    <s v="California"/>
    <x v="42"/>
    <n v="340815.95"/>
    <s v="Export, Empty"/>
  </r>
  <r>
    <x v="3"/>
    <s v="Los Angeles"/>
    <s v="California"/>
    <x v="43"/>
    <n v="297328.75"/>
    <s v="Export, Empty"/>
  </r>
  <r>
    <x v="3"/>
    <s v="Los Angeles"/>
    <s v="California"/>
    <x v="44"/>
    <n v="286618"/>
    <s v="Export, Empty"/>
  </r>
  <r>
    <x v="3"/>
    <s v="Los Angeles"/>
    <s v="California"/>
    <x v="45"/>
    <n v="248044"/>
    <s v="Export, Empty"/>
  </r>
  <r>
    <x v="3"/>
    <s v="Los Angeles"/>
    <s v="California"/>
    <x v="46"/>
    <n v="237672.25"/>
    <s v="Export, Empty"/>
  </r>
  <r>
    <x v="3"/>
    <s v="Los Angeles"/>
    <s v="California"/>
    <x v="47"/>
    <n v="272481.25"/>
    <s v="Export, Empty"/>
  </r>
  <r>
    <x v="3"/>
    <s v="Los Angeles"/>
    <s v="California"/>
    <x v="48"/>
    <n v="244770"/>
    <s v="Export, Empty"/>
  </r>
  <r>
    <x v="3"/>
    <s v="Los Angeles"/>
    <s v="California"/>
    <x v="49"/>
    <n v="153859.5"/>
    <s v="Export, Empty"/>
  </r>
  <r>
    <x v="3"/>
    <s v="Los Angeles"/>
    <s v="California"/>
    <x v="50"/>
    <n v="199003"/>
    <s v="Export, Empty"/>
  </r>
  <r>
    <x v="3"/>
    <s v="Los Angeles"/>
    <s v="California"/>
    <x v="51"/>
    <n v="252024.25"/>
    <s v="Export, Empty"/>
  </r>
  <r>
    <x v="3"/>
    <s v="Los Angeles"/>
    <s v="California"/>
    <x v="52"/>
    <n v="265713.25"/>
    <s v="Export, Empty"/>
  </r>
  <r>
    <x v="3"/>
    <s v="Los Angeles"/>
    <s v="California"/>
    <x v="53"/>
    <n v="287609.75"/>
    <s v="Export, Empty"/>
  </r>
  <r>
    <x v="3"/>
    <s v="Los Angeles"/>
    <s v="California"/>
    <x v="54"/>
    <n v="209068.25"/>
    <s v="Export, Empty"/>
  </r>
  <r>
    <x v="3"/>
    <s v="Los Angeles"/>
    <s v="California"/>
    <x v="55"/>
    <n v="267045"/>
    <s v="Export, Empty"/>
  </r>
  <r>
    <x v="3"/>
    <s v="Los Angeles"/>
    <s v="California"/>
    <x v="56"/>
    <n v="233752.5"/>
    <s v="Export, Empty"/>
  </r>
  <r>
    <x v="3"/>
    <s v="Los Angeles"/>
    <s v="California"/>
    <x v="57"/>
    <n v="231934.25"/>
    <s v="Export, Empty"/>
  </r>
  <r>
    <x v="3"/>
    <s v="Los Angeles"/>
    <s v="California"/>
    <x v="58"/>
    <n v="266747.25"/>
    <s v="Export, Empty"/>
  </r>
  <r>
    <x v="3"/>
    <s v="Los Angeles"/>
    <s v="California"/>
    <x v="59"/>
    <n v="256092.25"/>
    <s v="Export, Empty"/>
  </r>
  <r>
    <x v="3"/>
    <s v="Los Angeles"/>
    <s v="California"/>
    <x v="60"/>
    <n v="287156.5"/>
    <s v="Export, Empty"/>
  </r>
  <r>
    <x v="3"/>
    <s v="Los Angeles"/>
    <s v="California"/>
    <x v="61"/>
    <n v="239776.5"/>
    <s v="Export, Empty"/>
  </r>
  <r>
    <x v="3"/>
    <s v="Los Angeles"/>
    <s v="California"/>
    <x v="62"/>
    <n v="218139.25"/>
    <s v="Export, Empty"/>
  </r>
  <r>
    <x v="3"/>
    <s v="Los Angeles"/>
    <s v="California"/>
    <x v="63"/>
    <n v="220109"/>
    <s v="Export, Empty"/>
  </r>
  <r>
    <x v="3"/>
    <s v="Los Angeles"/>
    <s v="California"/>
    <x v="64"/>
    <n v="235800"/>
    <s v="Export, Empty"/>
  </r>
  <r>
    <x v="3"/>
    <s v="Los Angeles"/>
    <s v="California"/>
    <x v="65"/>
    <n v="275944.25"/>
    <s v="Export, Empty"/>
  </r>
  <r>
    <x v="3"/>
    <s v="Los Angeles"/>
    <s v="California"/>
    <x v="66"/>
    <n v="323072.25"/>
    <s v="Export, Empty"/>
  </r>
  <r>
    <x v="3"/>
    <s v="Los Angeles"/>
    <s v="California"/>
    <x v="67"/>
    <n v="328154"/>
    <s v="Export, Empty"/>
  </r>
  <r>
    <x v="3"/>
    <s v="Los Angeles"/>
    <s v="California"/>
    <x v="68"/>
    <n v="340117.25"/>
    <s v="Export, Empty"/>
  </r>
  <r>
    <x v="3"/>
    <s v="Los Angeles"/>
    <s v="California"/>
    <x v="69"/>
    <n v="319057.5"/>
    <s v="Export, Empty"/>
  </r>
  <r>
    <x v="3"/>
    <s v="Los Angeles"/>
    <s v="California"/>
    <x v="70"/>
    <n v="301794.5"/>
    <s v="Export, Empty"/>
  </r>
  <r>
    <x v="3"/>
    <s v="Los Angeles"/>
    <s v="California"/>
    <x v="71"/>
    <n v="349820.5"/>
    <s v="Export, Empty"/>
  </r>
  <r>
    <x v="3"/>
    <s v="Los Angeles"/>
    <s v="California"/>
    <x v="72"/>
    <n v="326999"/>
    <s v="Export, Empty"/>
  </r>
  <r>
    <x v="3"/>
    <s v="Los Angeles"/>
    <s v="California"/>
    <x v="73"/>
    <n v="278972.5"/>
    <s v="Export, Empty"/>
  </r>
  <r>
    <x v="3"/>
    <s v="Los Angeles"/>
    <s v="California"/>
    <x v="74"/>
    <n v="268838.2"/>
    <s v="Export, Empty"/>
  </r>
  <r>
    <x v="3"/>
    <s v="Los Angeles"/>
    <s v="California"/>
    <x v="75"/>
    <n v="274528.5"/>
    <s v="Export, Empty"/>
  </r>
  <r>
    <x v="3"/>
    <s v="Los Angeles"/>
    <s v="California"/>
    <x v="76"/>
    <n v="240058.75"/>
    <s v="Export, Empty"/>
  </r>
  <r>
    <x v="4"/>
    <s v="Seattle"/>
    <s v="Washington"/>
    <x v="0"/>
    <n v="60043"/>
    <s v="Export, Empty"/>
  </r>
  <r>
    <x v="4"/>
    <s v="Seattle"/>
    <s v="Washington"/>
    <x v="1"/>
    <n v="44157"/>
    <s v="Export, Empty"/>
  </r>
  <r>
    <x v="4"/>
    <s v="Seattle"/>
    <s v="Washington"/>
    <x v="2"/>
    <n v="52437"/>
    <s v="Export, Empty"/>
  </r>
  <r>
    <x v="4"/>
    <s v="Seattle"/>
    <s v="Washington"/>
    <x v="3"/>
    <n v="56604"/>
    <s v="Export, Empty"/>
  </r>
  <r>
    <x v="4"/>
    <s v="Seattle"/>
    <s v="Washington"/>
    <x v="4"/>
    <n v="51252"/>
    <s v="Export, Empty"/>
  </r>
  <r>
    <x v="4"/>
    <s v="Seattle"/>
    <s v="Washington"/>
    <x v="5"/>
    <n v="59432"/>
    <s v="Export, Empty"/>
  </r>
  <r>
    <x v="4"/>
    <s v="Seattle"/>
    <s v="Washington"/>
    <x v="6"/>
    <n v="52580"/>
    <s v="Export, Empty"/>
  </r>
  <r>
    <x v="4"/>
    <s v="Seattle"/>
    <s v="Washington"/>
    <x v="7"/>
    <n v="58749"/>
    <s v="Export, Empty"/>
  </r>
  <r>
    <x v="4"/>
    <s v="Seattle"/>
    <s v="Washington"/>
    <x v="8"/>
    <n v="56313"/>
    <s v="Export, Empty"/>
  </r>
  <r>
    <x v="4"/>
    <s v="Seattle"/>
    <s v="Washington"/>
    <x v="9"/>
    <n v="49468"/>
    <s v="Export, Empty"/>
  </r>
  <r>
    <x v="4"/>
    <s v="Seattle"/>
    <s v="Washington"/>
    <x v="10"/>
    <n v="33655"/>
    <s v="Export, Empty"/>
  </r>
  <r>
    <x v="4"/>
    <s v="Seattle"/>
    <s v="Washington"/>
    <x v="11"/>
    <n v="43299"/>
    <s v="Export, Empty"/>
  </r>
  <r>
    <x v="4"/>
    <s v="Seattle"/>
    <s v="Washington"/>
    <x v="12"/>
    <n v="39248"/>
    <s v="Export, Empty"/>
  </r>
  <r>
    <x v="4"/>
    <s v="Seattle"/>
    <s v="Washington"/>
    <x v="13"/>
    <n v="39591"/>
    <s v="Export, Empty"/>
  </r>
  <r>
    <x v="4"/>
    <s v="Seattle"/>
    <s v="Washington"/>
    <x v="14"/>
    <n v="22167"/>
    <s v="Export, Empty"/>
  </r>
  <r>
    <x v="4"/>
    <s v="Seattle"/>
    <s v="Washington"/>
    <x v="15"/>
    <n v="23847"/>
    <s v="Export, Empty"/>
  </r>
  <r>
    <x v="4"/>
    <s v="Seattle"/>
    <s v="Washington"/>
    <x v="16"/>
    <n v="29583"/>
    <s v="Export, Empty"/>
  </r>
  <r>
    <x v="4"/>
    <s v="Seattle"/>
    <s v="Washington"/>
    <x v="17"/>
    <n v="40903"/>
    <s v="Export, Empty"/>
  </r>
  <r>
    <x v="4"/>
    <s v="Seattle"/>
    <s v="Washington"/>
    <x v="18"/>
    <n v="40352"/>
    <s v="Export, Empty"/>
  </r>
  <r>
    <x v="4"/>
    <s v="Seattle"/>
    <s v="Washington"/>
    <x v="19"/>
    <n v="46533"/>
    <s v="Export, Empty"/>
  </r>
  <r>
    <x v="4"/>
    <s v="Seattle"/>
    <s v="Washington"/>
    <x v="20"/>
    <n v="50494"/>
    <s v="Export, Empty"/>
  </r>
  <r>
    <x v="4"/>
    <s v="Seattle"/>
    <s v="Washington"/>
    <x v="21"/>
    <n v="51634"/>
    <s v="Export, Empty"/>
  </r>
  <r>
    <x v="4"/>
    <s v="Seattle"/>
    <s v="Washington"/>
    <x v="22"/>
    <n v="48668"/>
    <s v="Export, Empty"/>
  </r>
  <r>
    <x v="4"/>
    <s v="Seattle"/>
    <s v="Washington"/>
    <x v="23"/>
    <n v="52842"/>
    <s v="Export, Empty"/>
  </r>
  <r>
    <x v="4"/>
    <s v="Seattle"/>
    <s v="Washington"/>
    <x v="24"/>
    <n v="60251"/>
    <s v="Export, Empty"/>
  </r>
  <r>
    <x v="4"/>
    <s v="Seattle"/>
    <s v="Washington"/>
    <x v="25"/>
    <n v="47260"/>
    <s v="Export, Empty"/>
  </r>
  <r>
    <x v="4"/>
    <s v="Seattle"/>
    <s v="Washington"/>
    <x v="26"/>
    <n v="51242"/>
    <s v="Export, Empty"/>
  </r>
  <r>
    <x v="4"/>
    <s v="Seattle"/>
    <s v="Washington"/>
    <x v="27"/>
    <n v="55216"/>
    <s v="Export, Empty"/>
  </r>
  <r>
    <x v="4"/>
    <s v="Seattle"/>
    <s v="Washington"/>
    <x v="28"/>
    <n v="63425"/>
    <s v="Export, Empty"/>
  </r>
  <r>
    <x v="4"/>
    <s v="Seattle"/>
    <s v="Washington"/>
    <x v="29"/>
    <n v="72076"/>
    <s v="Export, Empty"/>
  </r>
  <r>
    <x v="4"/>
    <s v="Seattle"/>
    <s v="Washington"/>
    <x v="30"/>
    <n v="65369"/>
    <s v="Export, Empty"/>
  </r>
  <r>
    <x v="4"/>
    <s v="Seattle"/>
    <s v="Washington"/>
    <x v="31"/>
    <n v="69038"/>
    <s v="Export, Empty"/>
  </r>
  <r>
    <x v="4"/>
    <s v="Seattle"/>
    <s v="Washington"/>
    <x v="32"/>
    <n v="66547"/>
    <s v="Export, Empty"/>
  </r>
  <r>
    <x v="4"/>
    <s v="Seattle"/>
    <s v="Washington"/>
    <x v="33"/>
    <n v="66734"/>
    <s v="Export, Empty"/>
  </r>
  <r>
    <x v="4"/>
    <s v="Seattle"/>
    <s v="Washington"/>
    <x v="34"/>
    <n v="70693"/>
    <s v="Export, Empty"/>
  </r>
  <r>
    <x v="4"/>
    <s v="Seattle"/>
    <s v="Washington"/>
    <x v="35"/>
    <n v="58153"/>
    <s v="Export, Empty"/>
  </r>
  <r>
    <x v="4"/>
    <s v="Seattle"/>
    <s v="Washington"/>
    <x v="36"/>
    <n v="66679"/>
    <s v="Export, Empty"/>
  </r>
  <r>
    <x v="4"/>
    <s v="Seattle"/>
    <s v="Washington"/>
    <x v="37"/>
    <n v="69202"/>
    <s v="Export, Empty"/>
  </r>
  <r>
    <x v="4"/>
    <s v="Seattle"/>
    <s v="Washington"/>
    <x v="38"/>
    <n v="77788"/>
    <s v="Export, Empty"/>
  </r>
  <r>
    <x v="4"/>
    <s v="Seattle"/>
    <s v="Washington"/>
    <x v="39"/>
    <n v="56462"/>
    <s v="Export, Empty"/>
  </r>
  <r>
    <x v="4"/>
    <s v="Seattle"/>
    <s v="Washington"/>
    <x v="40"/>
    <n v="80774"/>
    <s v="Export, Empty"/>
  </r>
  <r>
    <x v="4"/>
    <s v="Seattle"/>
    <s v="Washington"/>
    <x v="41"/>
    <n v="69687"/>
    <s v="Export, Empty"/>
  </r>
  <r>
    <x v="4"/>
    <s v="Seattle"/>
    <s v="Washington"/>
    <x v="42"/>
    <n v="58837"/>
    <s v="Export, Empty"/>
  </r>
  <r>
    <x v="4"/>
    <s v="Seattle"/>
    <s v="Washington"/>
    <x v="43"/>
    <n v="62039"/>
    <s v="Export, Empty"/>
  </r>
  <r>
    <x v="4"/>
    <s v="Seattle"/>
    <s v="Washington"/>
    <x v="44"/>
    <n v="63348"/>
    <s v="Export, Empty"/>
  </r>
  <r>
    <x v="4"/>
    <s v="Seattle"/>
    <s v="Washington"/>
    <x v="45"/>
    <n v="64888"/>
    <s v="Export, Empty"/>
  </r>
  <r>
    <x v="4"/>
    <s v="Seattle"/>
    <s v="Washington"/>
    <x v="46"/>
    <n v="47675"/>
    <s v="Export, Empty"/>
  </r>
  <r>
    <x v="4"/>
    <s v="Seattle"/>
    <s v="Washington"/>
    <x v="47"/>
    <n v="47082"/>
    <s v="Export, Empty"/>
  </r>
  <r>
    <x v="4"/>
    <s v="Seattle"/>
    <s v="Washington"/>
    <x v="48"/>
    <n v="42356"/>
    <s v="Export, Empty"/>
  </r>
  <r>
    <x v="4"/>
    <s v="Seattle"/>
    <s v="Washington"/>
    <x v="49"/>
    <n v="42947"/>
    <s v="Export, Empty"/>
  </r>
  <r>
    <x v="4"/>
    <s v="Seattle"/>
    <s v="Washington"/>
    <x v="50"/>
    <n v="39022"/>
    <s v="Export, Empty"/>
  </r>
  <r>
    <x v="4"/>
    <s v="Seattle"/>
    <s v="Washington"/>
    <x v="51"/>
    <n v="36369"/>
    <s v="Export, Empty"/>
  </r>
  <r>
    <x v="4"/>
    <s v="Seattle"/>
    <s v="Washington"/>
    <x v="52"/>
    <n v="38038"/>
    <s v="Export, Empty"/>
  </r>
  <r>
    <x v="4"/>
    <s v="Seattle"/>
    <s v="Washington"/>
    <x v="53"/>
    <n v="41205"/>
    <s v="Export, Empty"/>
  </r>
  <r>
    <x v="4"/>
    <s v="Seattle"/>
    <s v="Washington"/>
    <x v="54"/>
    <n v="32454"/>
    <s v="Export, Empty"/>
  </r>
  <r>
    <x v="4"/>
    <s v="Seattle"/>
    <s v="Washington"/>
    <x v="55"/>
    <n v="36974"/>
    <s v="Export, Empty"/>
  </r>
  <r>
    <x v="4"/>
    <s v="Seattle"/>
    <s v="Washington"/>
    <x v="56"/>
    <n v="60746"/>
    <s v="Export, Empty"/>
  </r>
  <r>
    <x v="4"/>
    <s v="Seattle"/>
    <s v="Washington"/>
    <x v="57"/>
    <n v="48984"/>
    <s v="Export, Empty"/>
  </r>
  <r>
    <x v="4"/>
    <s v="Seattle"/>
    <s v="Washington"/>
    <x v="58"/>
    <n v="32597"/>
    <s v="Export, Empty"/>
  </r>
  <r>
    <x v="4"/>
    <s v="Seattle"/>
    <s v="Washington"/>
    <x v="59"/>
    <n v="41370"/>
    <s v="Export, Empty"/>
  </r>
  <r>
    <x v="4"/>
    <s v="Seattle"/>
    <s v="Washington"/>
    <x v="60"/>
    <n v="34547"/>
    <s v="Export, Empty"/>
  </r>
  <r>
    <x v="4"/>
    <s v="Seattle"/>
    <s v="Washington"/>
    <x v="61"/>
    <n v="38933"/>
    <s v="Export, Empty"/>
  </r>
  <r>
    <x v="4"/>
    <s v="Seattle"/>
    <s v="Washington"/>
    <x v="62"/>
    <n v="30647"/>
    <s v="Export, Empty"/>
  </r>
  <r>
    <x v="4"/>
    <s v="Seattle"/>
    <s v="Washington"/>
    <x v="63"/>
    <n v="37860"/>
    <s v="Export, Empty"/>
  </r>
  <r>
    <x v="4"/>
    <s v="Seattle"/>
    <s v="Washington"/>
    <x v="64"/>
    <n v="48778"/>
    <s v="Export, Empty"/>
  </r>
  <r>
    <x v="4"/>
    <s v="Seattle"/>
    <s v="Washington"/>
    <x v="65"/>
    <n v="57649"/>
    <s v="Export, Empty"/>
  </r>
  <r>
    <x v="4"/>
    <s v="Seattle"/>
    <s v="Washington"/>
    <x v="66"/>
    <n v="53779"/>
    <s v="Export, Empty"/>
  </r>
  <r>
    <x v="4"/>
    <s v="Seattle"/>
    <s v="Washington"/>
    <x v="67"/>
    <n v="68265"/>
    <s v="Export, Empty"/>
  </r>
  <r>
    <x v="4"/>
    <s v="Seattle"/>
    <s v="Washington"/>
    <x v="68"/>
    <n v="69330"/>
    <s v="Export, Empty"/>
  </r>
  <r>
    <x v="4"/>
    <s v="Seattle"/>
    <s v="Washington"/>
    <x v="69"/>
    <n v="58035"/>
    <s v="Export, Empty"/>
  </r>
  <r>
    <x v="4"/>
    <s v="Seattle"/>
    <s v="Washington"/>
    <x v="70"/>
    <n v="59965"/>
    <s v="Export, Empty"/>
  </r>
  <r>
    <x v="4"/>
    <s v="Seattle"/>
    <s v="Washington"/>
    <x v="71"/>
    <n v="54573"/>
    <s v="Export, Empty"/>
  </r>
  <r>
    <x v="4"/>
    <s v="Seattle"/>
    <s v="Washington"/>
    <x v="72"/>
    <n v="51080"/>
    <s v="Export, Empty"/>
  </r>
  <r>
    <x v="4"/>
    <s v="Seattle"/>
    <s v="Washington"/>
    <x v="73"/>
    <n v="51521"/>
    <s v="Export, Empty"/>
  </r>
  <r>
    <x v="4"/>
    <s v="Seattle"/>
    <s v="Washington"/>
    <x v="74"/>
    <n v="65417"/>
    <s v="Export, Empty"/>
  </r>
  <r>
    <x v="4"/>
    <s v="Seattle"/>
    <s v="Washington"/>
    <x v="75"/>
    <n v="50345"/>
    <s v="Export, Empty"/>
  </r>
  <r>
    <x v="4"/>
    <s v="Seattle"/>
    <s v="Washington"/>
    <x v="76"/>
    <n v="46735"/>
    <s v="Export, Empty"/>
  </r>
  <r>
    <x v="5"/>
    <s v="Oakland"/>
    <s v="California"/>
    <x v="0"/>
    <n v="39769"/>
    <s v="Export, Empty"/>
  </r>
  <r>
    <x v="5"/>
    <s v="Oakland"/>
    <s v="California"/>
    <x v="1"/>
    <n v="33662"/>
    <s v="Export, Empty"/>
  </r>
  <r>
    <x v="5"/>
    <s v="Oakland"/>
    <s v="California"/>
    <x v="2"/>
    <n v="30533"/>
    <s v="Export, Empty"/>
  </r>
  <r>
    <x v="5"/>
    <s v="Oakland"/>
    <s v="California"/>
    <x v="3"/>
    <n v="36357"/>
    <s v="Export, Empty"/>
  </r>
  <r>
    <x v="5"/>
    <s v="Oakland"/>
    <s v="California"/>
    <x v="4"/>
    <n v="42363"/>
    <s v="Export, Empty"/>
  </r>
  <r>
    <x v="5"/>
    <s v="Oakland"/>
    <s v="California"/>
    <x v="5"/>
    <n v="35113"/>
    <s v="Export, Empty"/>
  </r>
  <r>
    <x v="5"/>
    <s v="Oakland"/>
    <s v="California"/>
    <x v="6"/>
    <n v="36266"/>
    <s v="Export, Empty"/>
  </r>
  <r>
    <x v="5"/>
    <s v="Oakland"/>
    <s v="California"/>
    <x v="7"/>
    <n v="44938"/>
    <s v="Export, Empty"/>
  </r>
  <r>
    <x v="5"/>
    <s v="Oakland"/>
    <s v="California"/>
    <x v="8"/>
    <n v="37332"/>
    <s v="Export, Empty"/>
  </r>
  <r>
    <x v="5"/>
    <s v="Oakland"/>
    <s v="California"/>
    <x v="9"/>
    <n v="23234"/>
    <s v="Export, Empty"/>
  </r>
  <r>
    <x v="5"/>
    <s v="Oakland"/>
    <s v="California"/>
    <x v="10"/>
    <n v="19743"/>
    <s v="Export, Empty"/>
  </r>
  <r>
    <x v="5"/>
    <s v="Oakland"/>
    <s v="California"/>
    <x v="11"/>
    <n v="23668"/>
    <s v="Export, Empty"/>
  </r>
  <r>
    <x v="5"/>
    <s v="Oakland"/>
    <s v="California"/>
    <x v="12"/>
    <n v="29334"/>
    <s v="Export, Empty"/>
  </r>
  <r>
    <x v="5"/>
    <s v="Oakland"/>
    <s v="California"/>
    <x v="13"/>
    <n v="20520"/>
    <s v="Export, Empty"/>
  </r>
  <r>
    <x v="5"/>
    <s v="Oakland"/>
    <s v="California"/>
    <x v="14"/>
    <n v="17282"/>
    <s v="Export, Empty"/>
  </r>
  <r>
    <x v="5"/>
    <s v="Oakland"/>
    <s v="California"/>
    <x v="15"/>
    <n v="19981"/>
    <s v="Export, Empty"/>
  </r>
  <r>
    <x v="5"/>
    <s v="Oakland"/>
    <s v="California"/>
    <x v="16"/>
    <n v="25444"/>
    <s v="Export, Empty"/>
  </r>
  <r>
    <x v="5"/>
    <s v="Oakland"/>
    <s v="California"/>
    <x v="17"/>
    <n v="30007"/>
    <s v="Export, Empty"/>
  </r>
  <r>
    <x v="5"/>
    <s v="Oakland"/>
    <s v="California"/>
    <x v="18"/>
    <n v="39651"/>
    <s v="Export, Empty"/>
  </r>
  <r>
    <x v="5"/>
    <s v="Oakland"/>
    <s v="California"/>
    <x v="19"/>
    <n v="41215"/>
    <s v="Export, Empty"/>
  </r>
  <r>
    <x v="5"/>
    <s v="Oakland"/>
    <s v="California"/>
    <x v="20"/>
    <n v="41440"/>
    <s v="Export, Empty"/>
  </r>
  <r>
    <x v="5"/>
    <s v="Oakland"/>
    <s v="California"/>
    <x v="21"/>
    <n v="29000"/>
    <s v="Export, Empty"/>
  </r>
  <r>
    <x v="5"/>
    <s v="Oakland"/>
    <s v="California"/>
    <x v="22"/>
    <n v="23647"/>
    <s v="Export, Empty"/>
  </r>
  <r>
    <x v="5"/>
    <s v="Oakland"/>
    <s v="California"/>
    <x v="23"/>
    <n v="27718"/>
    <s v="Export, Empty"/>
  </r>
  <r>
    <x v="5"/>
    <s v="Oakland"/>
    <s v="California"/>
    <x v="24"/>
    <n v="36428"/>
    <s v="Export, Empty"/>
  </r>
  <r>
    <x v="5"/>
    <s v="Oakland"/>
    <s v="California"/>
    <x v="25"/>
    <n v="28301"/>
    <s v="Export, Empty"/>
  </r>
  <r>
    <x v="5"/>
    <s v="Oakland"/>
    <s v="California"/>
    <x v="26"/>
    <n v="28624"/>
    <s v="Export, Empty"/>
  </r>
  <r>
    <x v="5"/>
    <s v="Oakland"/>
    <s v="California"/>
    <x v="27"/>
    <n v="25659"/>
    <s v="Export, Empty"/>
  </r>
  <r>
    <x v="5"/>
    <s v="Oakland"/>
    <s v="California"/>
    <x v="28"/>
    <n v="40113"/>
    <s v="Export, Empty"/>
  </r>
  <r>
    <x v="5"/>
    <s v="Oakland"/>
    <s v="California"/>
    <x v="29"/>
    <n v="40229"/>
    <s v="Export, Empty"/>
  </r>
  <r>
    <x v="5"/>
    <s v="Oakland"/>
    <s v="California"/>
    <x v="30"/>
    <n v="34594"/>
    <s v="Export, Empty"/>
  </r>
  <r>
    <x v="5"/>
    <s v="Oakland"/>
    <s v="California"/>
    <x v="31"/>
    <n v="40670"/>
    <s v="Export, Empty"/>
  </r>
  <r>
    <x v="5"/>
    <s v="Oakland"/>
    <s v="California"/>
    <x v="32"/>
    <n v="27234"/>
    <s v="Export, Empty"/>
  </r>
  <r>
    <x v="5"/>
    <s v="Oakland"/>
    <s v="California"/>
    <x v="33"/>
    <n v="26412"/>
    <s v="Export, Empty"/>
  </r>
  <r>
    <x v="5"/>
    <s v="Oakland"/>
    <s v="California"/>
    <x v="34"/>
    <n v="21911"/>
    <s v="Export, Empty"/>
  </r>
  <r>
    <x v="5"/>
    <s v="Oakland"/>
    <s v="California"/>
    <x v="35"/>
    <n v="23229"/>
    <s v="Export, Empty"/>
  </r>
  <r>
    <x v="5"/>
    <s v="Oakland"/>
    <s v="California"/>
    <x v="36"/>
    <n v="35775"/>
    <s v="Export, Empty"/>
  </r>
  <r>
    <x v="5"/>
    <s v="Oakland"/>
    <s v="California"/>
    <x v="37"/>
    <n v="32135"/>
    <s v="Export, Empty"/>
  </r>
  <r>
    <x v="5"/>
    <s v="Oakland"/>
    <s v="California"/>
    <x v="38"/>
    <n v="36832"/>
    <s v="Export, Empty"/>
  </r>
  <r>
    <x v="5"/>
    <s v="Oakland"/>
    <s v="California"/>
    <x v="39"/>
    <n v="20365"/>
    <s v="Export, Empty"/>
  </r>
  <r>
    <x v="5"/>
    <s v="Oakland"/>
    <s v="California"/>
    <x v="40"/>
    <n v="35188"/>
    <s v="Export, Empty"/>
  </r>
  <r>
    <x v="5"/>
    <s v="Oakland"/>
    <s v="California"/>
    <x v="41"/>
    <n v="40408"/>
    <s v="Export, Empty"/>
  </r>
  <r>
    <x v="5"/>
    <s v="Oakland"/>
    <s v="California"/>
    <x v="42"/>
    <n v="31542"/>
    <s v="Export, Empty"/>
  </r>
  <r>
    <x v="5"/>
    <s v="Oakland"/>
    <s v="California"/>
    <x v="43"/>
    <n v="43443"/>
    <s v="Export, Empty"/>
  </r>
  <r>
    <x v="5"/>
    <s v="Oakland"/>
    <s v="California"/>
    <x v="44"/>
    <n v="37660"/>
    <s v="Export, Empty"/>
  </r>
  <r>
    <x v="5"/>
    <s v="Oakland"/>
    <s v="California"/>
    <x v="45"/>
    <n v="40744"/>
    <s v="Export, Empty"/>
  </r>
  <r>
    <x v="5"/>
    <s v="Oakland"/>
    <s v="California"/>
    <x v="46"/>
    <n v="38481"/>
    <s v="Export, Empty"/>
  </r>
  <r>
    <x v="5"/>
    <s v="Oakland"/>
    <s v="California"/>
    <x v="47"/>
    <n v="25741"/>
    <s v="Export, Empty"/>
  </r>
  <r>
    <x v="5"/>
    <s v="Oakland"/>
    <s v="California"/>
    <x v="48"/>
    <n v="38013.5"/>
    <s v="Export, Empty"/>
  </r>
  <r>
    <x v="5"/>
    <s v="Oakland"/>
    <s v="California"/>
    <x v="49"/>
    <n v="25460.5"/>
    <s v="Export, Empty"/>
  </r>
  <r>
    <x v="5"/>
    <s v="Oakland"/>
    <s v="California"/>
    <x v="50"/>
    <n v="26224"/>
    <s v="Export, Empty"/>
  </r>
  <r>
    <x v="5"/>
    <s v="Oakland"/>
    <s v="California"/>
    <x v="51"/>
    <n v="24754.25"/>
    <s v="Export, Empty"/>
  </r>
  <r>
    <x v="5"/>
    <s v="Oakland"/>
    <s v="California"/>
    <x v="52"/>
    <n v="28315"/>
    <s v="Export, Empty"/>
  </r>
  <r>
    <x v="5"/>
    <s v="Oakland"/>
    <s v="California"/>
    <x v="53"/>
    <n v="23878.75"/>
    <s v="Export, Empty"/>
  </r>
  <r>
    <x v="5"/>
    <s v="Oakland"/>
    <s v="California"/>
    <x v="54"/>
    <n v="31178.75"/>
    <s v="Export, Empty"/>
  </r>
  <r>
    <x v="5"/>
    <s v="Oakland"/>
    <s v="California"/>
    <x v="55"/>
    <n v="30579"/>
    <s v="Export, Empty"/>
  </r>
  <r>
    <x v="5"/>
    <s v="Oakland"/>
    <s v="California"/>
    <x v="56"/>
    <n v="26429"/>
    <s v="Export, Empty"/>
  </r>
  <r>
    <x v="5"/>
    <s v="Oakland"/>
    <s v="California"/>
    <x v="57"/>
    <n v="22775"/>
    <s v="Export, Empty"/>
  </r>
  <r>
    <x v="5"/>
    <s v="Oakland"/>
    <s v="California"/>
    <x v="58"/>
    <n v="19613"/>
    <s v="Export, Empty"/>
  </r>
  <r>
    <x v="5"/>
    <s v="Oakland"/>
    <s v="California"/>
    <x v="59"/>
    <n v="21655"/>
    <s v="Export, Empty"/>
  </r>
  <r>
    <x v="5"/>
    <s v="Oakland"/>
    <s v="California"/>
    <x v="60"/>
    <n v="28694"/>
    <s v="Export, Empty"/>
  </r>
  <r>
    <x v="5"/>
    <s v="Oakland"/>
    <s v="California"/>
    <x v="61"/>
    <n v="23633"/>
    <s v="Export, Empty"/>
  </r>
  <r>
    <x v="5"/>
    <s v="Oakland"/>
    <s v="California"/>
    <x v="62"/>
    <n v="23728"/>
    <s v="Export, Empty"/>
  </r>
  <r>
    <x v="5"/>
    <s v="Oakland"/>
    <s v="California"/>
    <x v="63"/>
    <n v="29375"/>
    <s v="Export, Empty"/>
  </r>
  <r>
    <x v="5"/>
    <s v="Oakland"/>
    <s v="California"/>
    <x v="64"/>
    <n v="33389.75"/>
    <s v="Export, Empty"/>
  </r>
  <r>
    <x v="5"/>
    <s v="Oakland"/>
    <s v="California"/>
    <x v="65"/>
    <n v="32244"/>
    <s v="Export, Empty"/>
  </r>
  <r>
    <x v="5"/>
    <s v="Oakland"/>
    <s v="California"/>
    <x v="66"/>
    <n v="34342.75"/>
    <s v="Export, Empty"/>
  </r>
  <r>
    <x v="5"/>
    <s v="Oakland"/>
    <s v="California"/>
    <x v="67"/>
    <n v="38507"/>
    <s v="Export, Empty"/>
  </r>
  <r>
    <x v="5"/>
    <s v="Oakland"/>
    <s v="California"/>
    <x v="68"/>
    <n v="35337"/>
    <s v="Export, Empty"/>
  </r>
  <r>
    <x v="5"/>
    <s v="Oakland"/>
    <s v="California"/>
    <x v="69"/>
    <n v="29749.5"/>
    <s v="Export, Empty"/>
  </r>
  <r>
    <x v="5"/>
    <s v="Oakland"/>
    <s v="California"/>
    <x v="70"/>
    <n v="22495"/>
    <s v="Export, Empty"/>
  </r>
  <r>
    <x v="5"/>
    <s v="Oakland"/>
    <s v="California"/>
    <x v="71"/>
    <n v="27500.75"/>
    <s v="Export, Empty"/>
  </r>
  <r>
    <x v="5"/>
    <s v="Oakland"/>
    <s v="California"/>
    <x v="72"/>
    <n v="34363"/>
    <s v="Export, Empty"/>
  </r>
  <r>
    <x v="5"/>
    <s v="Oakland"/>
    <s v="California"/>
    <x v="73"/>
    <n v="30343"/>
    <s v="Export, Empty"/>
  </r>
  <r>
    <x v="5"/>
    <s v="Oakland"/>
    <s v="California"/>
    <x v="74"/>
    <n v="34823"/>
    <s v="Export, Empty"/>
  </r>
  <r>
    <x v="5"/>
    <s v="Oakland"/>
    <s v="California"/>
    <x v="75"/>
    <n v="27373.5"/>
    <s v="Export, Empty"/>
  </r>
  <r>
    <x v="5"/>
    <s v="Oakland"/>
    <s v="California"/>
    <x v="76"/>
    <n v="26779"/>
    <s v="Export, Empty"/>
  </r>
  <r>
    <x v="6"/>
    <s v="New York"/>
    <s v="New York"/>
    <x v="0"/>
    <n v="182337"/>
    <s v="Export, Empty"/>
  </r>
  <r>
    <x v="6"/>
    <s v="New York"/>
    <s v="New York"/>
    <x v="1"/>
    <n v="175358"/>
    <s v="Export, Empty"/>
  </r>
  <r>
    <x v="6"/>
    <s v="New York"/>
    <s v="New York"/>
    <x v="2"/>
    <n v="170777"/>
    <s v="Export, Empty"/>
  </r>
  <r>
    <x v="6"/>
    <s v="New York"/>
    <s v="New York"/>
    <x v="3"/>
    <n v="174577"/>
    <s v="Export, Empty"/>
  </r>
  <r>
    <x v="6"/>
    <s v="New York"/>
    <s v="New York"/>
    <x v="4"/>
    <n v="169448"/>
    <s v="Export, Empty"/>
  </r>
  <r>
    <x v="6"/>
    <s v="New York"/>
    <s v="New York"/>
    <x v="5"/>
    <n v="185055"/>
    <s v="Export, Empty"/>
  </r>
  <r>
    <x v="6"/>
    <s v="New York"/>
    <s v="New York"/>
    <x v="6"/>
    <n v="206251"/>
    <s v="Export, Empty"/>
  </r>
  <r>
    <x v="6"/>
    <s v="New York"/>
    <s v="New York"/>
    <x v="7"/>
    <n v="207875"/>
    <s v="Export, Empty"/>
  </r>
  <r>
    <x v="6"/>
    <s v="New York"/>
    <s v="New York"/>
    <x v="8"/>
    <n v="191143"/>
    <s v="Export, Empty"/>
  </r>
  <r>
    <x v="6"/>
    <s v="New York"/>
    <s v="New York"/>
    <x v="9"/>
    <n v="198173"/>
    <s v="Export, Empty"/>
  </r>
  <r>
    <x v="6"/>
    <s v="New York"/>
    <s v="New York"/>
    <x v="10"/>
    <n v="177744"/>
    <s v="Export, Empty"/>
  </r>
  <r>
    <x v="6"/>
    <s v="New York"/>
    <s v="New York"/>
    <x v="11"/>
    <n v="183467"/>
    <s v="Export, Empty"/>
  </r>
  <r>
    <x v="6"/>
    <s v="New York"/>
    <s v="New York"/>
    <x v="12"/>
    <n v="173892"/>
    <s v="Export, Empty"/>
  </r>
  <r>
    <x v="6"/>
    <s v="New York"/>
    <s v="New York"/>
    <x v="13"/>
    <n v="163564"/>
    <s v="Export, Empty"/>
  </r>
  <r>
    <x v="6"/>
    <s v="New York"/>
    <s v="New York"/>
    <x v="14"/>
    <n v="150702"/>
    <s v="Export, Empty"/>
  </r>
  <r>
    <x v="6"/>
    <s v="New York"/>
    <s v="New York"/>
    <x v="15"/>
    <n v="177254"/>
    <s v="Export, Empty"/>
  </r>
  <r>
    <x v="6"/>
    <s v="New York"/>
    <s v="New York"/>
    <x v="16"/>
    <n v="174942"/>
    <s v="Export, Empty"/>
  </r>
  <r>
    <x v="6"/>
    <s v="New York"/>
    <s v="New York"/>
    <x v="17"/>
    <n v="146701"/>
    <s v="Export, Empty"/>
  </r>
  <r>
    <x v="6"/>
    <s v="New York"/>
    <s v="New York"/>
    <x v="18"/>
    <n v="175859"/>
    <s v="Export, Empty"/>
  </r>
  <r>
    <x v="6"/>
    <s v="New York"/>
    <s v="New York"/>
    <x v="19"/>
    <n v="216430"/>
    <s v="Export, Empty"/>
  </r>
  <r>
    <x v="6"/>
    <s v="New York"/>
    <s v="New York"/>
    <x v="20"/>
    <n v="229523"/>
    <s v="Export, Empty"/>
  </r>
  <r>
    <x v="6"/>
    <s v="New York"/>
    <s v="New York"/>
    <x v="21"/>
    <n v="231741"/>
    <s v="Export, Empty"/>
  </r>
  <r>
    <x v="6"/>
    <s v="New York"/>
    <s v="New York"/>
    <x v="22"/>
    <n v="233904"/>
    <s v="Export, Empty"/>
  </r>
  <r>
    <x v="6"/>
    <s v="New York"/>
    <s v="New York"/>
    <x v="23"/>
    <n v="243938"/>
    <s v="Export, Empty"/>
  </r>
  <r>
    <x v="6"/>
    <s v="New York"/>
    <s v="New York"/>
    <x v="24"/>
    <n v="239509"/>
    <s v="Export, Empty"/>
  </r>
  <r>
    <x v="6"/>
    <s v="New York"/>
    <s v="New York"/>
    <x v="25"/>
    <n v="193956"/>
    <s v="Export, Empty"/>
  </r>
  <r>
    <x v="6"/>
    <s v="New York"/>
    <s v="New York"/>
    <x v="26"/>
    <n v="267542"/>
    <s v="Export, Empty"/>
  </r>
  <r>
    <x v="6"/>
    <s v="New York"/>
    <s v="New York"/>
    <x v="27"/>
    <n v="229295"/>
    <s v="Export, Empty"/>
  </r>
  <r>
    <x v="6"/>
    <s v="New York"/>
    <s v="New York"/>
    <x v="28"/>
    <n v="263257"/>
    <s v="Export, Empty"/>
  </r>
  <r>
    <x v="6"/>
    <s v="New York"/>
    <s v="New York"/>
    <x v="29"/>
    <n v="247964"/>
    <s v="Export, Empty"/>
  </r>
  <r>
    <x v="6"/>
    <s v="New York"/>
    <s v="New York"/>
    <x v="30"/>
    <n v="250952"/>
    <s v="Export, Empty"/>
  </r>
  <r>
    <x v="6"/>
    <s v="New York"/>
    <s v="New York"/>
    <x v="31"/>
    <n v="275492"/>
    <s v="Export, Empty"/>
  </r>
  <r>
    <x v="6"/>
    <s v="New York"/>
    <s v="New York"/>
    <x v="32"/>
    <n v="243367"/>
    <s v="Export, Empty"/>
  </r>
  <r>
    <x v="6"/>
    <s v="New York"/>
    <s v="New York"/>
    <x v="33"/>
    <n v="275389"/>
    <s v="Export, Empty"/>
  </r>
  <r>
    <x v="6"/>
    <s v="New York"/>
    <s v="New York"/>
    <x v="34"/>
    <n v="257190"/>
    <s v="Export, Empty"/>
  </r>
  <r>
    <x v="6"/>
    <s v="New York"/>
    <s v="New York"/>
    <x v="35"/>
    <n v="269244"/>
    <s v="Export, Empty"/>
  </r>
  <r>
    <x v="6"/>
    <s v="New York"/>
    <s v="New York"/>
    <x v="36"/>
    <n v="264475"/>
    <s v="Export, Empty"/>
  </r>
  <r>
    <x v="6"/>
    <s v="New York"/>
    <s v="New York"/>
    <x v="37"/>
    <n v="269253"/>
    <s v="Export, Empty"/>
  </r>
  <r>
    <x v="6"/>
    <s v="New York"/>
    <s v="New York"/>
    <x v="38"/>
    <n v="298515"/>
    <s v="Export, Empty"/>
  </r>
  <r>
    <x v="6"/>
    <s v="New York"/>
    <s v="New York"/>
    <x v="39"/>
    <n v="273234"/>
    <s v="Export, Empty"/>
  </r>
  <r>
    <x v="6"/>
    <s v="New York"/>
    <s v="New York"/>
    <x v="40"/>
    <n v="298977"/>
    <s v="Export, Empty"/>
  </r>
  <r>
    <x v="6"/>
    <s v="New York"/>
    <s v="New York"/>
    <x v="41"/>
    <n v="307646"/>
    <s v="Export, Empty"/>
  </r>
  <r>
    <x v="6"/>
    <s v="New York"/>
    <s v="New York"/>
    <x v="42"/>
    <n v="275554"/>
    <s v="Export, Empty"/>
  </r>
  <r>
    <x v="6"/>
    <s v="New York"/>
    <s v="New York"/>
    <x v="43"/>
    <n v="303662"/>
    <s v="Export, Empty"/>
  </r>
  <r>
    <x v="6"/>
    <s v="New York"/>
    <s v="New York"/>
    <x v="44"/>
    <n v="313762"/>
    <s v="Export, Empty"/>
  </r>
  <r>
    <x v="6"/>
    <s v="New York"/>
    <s v="New York"/>
    <x v="45"/>
    <n v="295922"/>
    <s v="Export, Empty"/>
  </r>
  <r>
    <x v="6"/>
    <s v="New York"/>
    <s v="New York"/>
    <x v="46"/>
    <n v="261325"/>
    <s v="Export, Empty"/>
  </r>
  <r>
    <x v="6"/>
    <s v="New York"/>
    <s v="New York"/>
    <x v="47"/>
    <n v="204115"/>
    <s v="Export, Empty"/>
  </r>
  <r>
    <x v="6"/>
    <s v="New York"/>
    <s v="New York"/>
    <x v="48"/>
    <n v="207643"/>
    <s v="Export, Empty"/>
  </r>
  <r>
    <x v="6"/>
    <s v="New York"/>
    <s v="New York"/>
    <x v="49"/>
    <n v="182936"/>
    <s v="Export, Empty"/>
  </r>
  <r>
    <x v="6"/>
    <s v="New York"/>
    <s v="New York"/>
    <x v="50"/>
    <n v="168936"/>
    <s v="Export, Empty"/>
  </r>
  <r>
    <x v="6"/>
    <s v="New York"/>
    <s v="New York"/>
    <x v="51"/>
    <n v="214938"/>
    <s v="Export, Empty"/>
  </r>
  <r>
    <x v="6"/>
    <s v="New York"/>
    <s v="New York"/>
    <x v="52"/>
    <n v="212995"/>
    <s v="Export, Empty"/>
  </r>
  <r>
    <x v="6"/>
    <s v="New York"/>
    <s v="New York"/>
    <x v="53"/>
    <n v="194154"/>
    <s v="Export, Empty"/>
  </r>
  <r>
    <x v="6"/>
    <s v="New York"/>
    <s v="New York"/>
    <x v="54"/>
    <n v="251140"/>
    <s v="Export, Empty"/>
  </r>
  <r>
    <x v="6"/>
    <s v="New York"/>
    <s v="New York"/>
    <x v="55"/>
    <n v="206064"/>
    <s v="Export, Empty"/>
  </r>
  <r>
    <x v="6"/>
    <s v="New York"/>
    <s v="New York"/>
    <x v="56"/>
    <n v="219407"/>
    <s v="Export, Empty"/>
  </r>
  <r>
    <x v="6"/>
    <s v="New York"/>
    <s v="New York"/>
    <x v="57"/>
    <n v="247419"/>
    <s v="Export, Empty"/>
  </r>
  <r>
    <x v="6"/>
    <s v="New York"/>
    <s v="New York"/>
    <x v="58"/>
    <n v="205633"/>
    <s v="Export, Empty"/>
  </r>
  <r>
    <x v="6"/>
    <s v="New York"/>
    <s v="New York"/>
    <x v="59"/>
    <n v="200746"/>
    <s v="Export, Empty"/>
  </r>
  <r>
    <x v="6"/>
    <s v="New York"/>
    <s v="New York"/>
    <x v="60"/>
    <n v="217878"/>
    <s v="Export, Empty"/>
  </r>
  <r>
    <x v="6"/>
    <s v="New York"/>
    <s v="New York"/>
    <x v="61"/>
    <n v="196213"/>
    <s v="Export, Empty"/>
  </r>
  <r>
    <x v="6"/>
    <s v="New York"/>
    <s v="New York"/>
    <x v="62"/>
    <n v="228312"/>
    <s v="Export, Empty"/>
  </r>
  <r>
    <x v="6"/>
    <s v="New York"/>
    <s v="New York"/>
    <x v="63"/>
    <n v="235500"/>
    <s v="Export, Empty"/>
  </r>
  <r>
    <x v="6"/>
    <s v="New York"/>
    <s v="New York"/>
    <x v="64"/>
    <n v="250070"/>
    <s v="Export, Empty"/>
  </r>
  <r>
    <x v="6"/>
    <s v="New York"/>
    <s v="New York"/>
    <x v="65"/>
    <n v="228575"/>
    <s v="Export, Empty"/>
  </r>
  <r>
    <x v="6"/>
    <s v="New York"/>
    <s v="New York"/>
    <x v="66"/>
    <n v="269026"/>
    <s v="Export, Empty"/>
  </r>
  <r>
    <x v="6"/>
    <s v="New York"/>
    <s v="New York"/>
    <x v="67"/>
    <n v="276222"/>
    <s v="Export, Empty"/>
  </r>
  <r>
    <x v="6"/>
    <s v="New York"/>
    <s v="New York"/>
    <x v="68"/>
    <n v="277247"/>
    <s v="Export, Empty"/>
  </r>
  <r>
    <x v="6"/>
    <s v="New York"/>
    <s v="New York"/>
    <x v="69"/>
    <n v="235521"/>
    <s v="Export, Empty"/>
  </r>
  <r>
    <x v="6"/>
    <s v="New York"/>
    <s v="New York"/>
    <x v="70"/>
    <n v="241930"/>
    <s v="Export, Empty"/>
  </r>
  <r>
    <x v="6"/>
    <s v="New York"/>
    <s v="New York"/>
    <x v="71"/>
    <n v="225928"/>
    <s v="Export, Empty"/>
  </r>
  <r>
    <x v="6"/>
    <s v="New York"/>
    <s v="New York"/>
    <x v="72"/>
    <n v="241751"/>
    <s v="Export, Empty"/>
  </r>
  <r>
    <x v="6"/>
    <s v="New York"/>
    <s v="New York"/>
    <x v="73"/>
    <n v="233839"/>
    <s v="Export, Empty"/>
  </r>
  <r>
    <x v="6"/>
    <s v="New York"/>
    <s v="New York"/>
    <x v="74"/>
    <n v="265493"/>
    <s v="Export, Empty"/>
  </r>
  <r>
    <x v="6"/>
    <s v="New York"/>
    <s v="New York"/>
    <x v="75"/>
    <n v="241289"/>
    <s v="Export, Empty"/>
  </r>
  <r>
    <x v="6"/>
    <s v="New York"/>
    <s v="New York"/>
    <x v="76"/>
    <n v="261200"/>
    <s v="Export, Empty"/>
  </r>
  <r>
    <x v="7"/>
    <s v="Norfolk"/>
    <s v="Virginia "/>
    <x v="0"/>
    <n v="50538"/>
    <s v="Export, Empty"/>
  </r>
  <r>
    <x v="7"/>
    <s v="Norfolk"/>
    <s v="Virginia "/>
    <x v="1"/>
    <n v="44038"/>
    <s v="Export, Empty"/>
  </r>
  <r>
    <x v="7"/>
    <s v="Norfolk"/>
    <s v="Virginia "/>
    <x v="2"/>
    <n v="41712"/>
    <s v="Export, Empty"/>
  </r>
  <r>
    <x v="7"/>
    <s v="Norfolk"/>
    <s v="Virginia "/>
    <x v="3"/>
    <n v="38580"/>
    <s v="Export, Empty"/>
  </r>
  <r>
    <x v="7"/>
    <s v="Norfolk"/>
    <s v="Virginia "/>
    <x v="4"/>
    <n v="51173"/>
    <s v="Export, Empty"/>
  </r>
  <r>
    <x v="7"/>
    <s v="Norfolk"/>
    <s v="Virginia "/>
    <x v="5"/>
    <n v="48622"/>
    <s v="Export, Empty"/>
  </r>
  <r>
    <x v="7"/>
    <s v="Norfolk"/>
    <s v="Virginia "/>
    <x v="6"/>
    <n v="56696"/>
    <s v="Export, Empty"/>
  </r>
  <r>
    <x v="7"/>
    <s v="Norfolk"/>
    <s v="Virginia "/>
    <x v="7"/>
    <n v="54405"/>
    <s v="Export, Empty"/>
  </r>
  <r>
    <x v="7"/>
    <s v="Norfolk"/>
    <s v="Virginia "/>
    <x v="8"/>
    <n v="52766"/>
    <s v="Export, Empty"/>
  </r>
  <r>
    <x v="7"/>
    <s v="Norfolk"/>
    <s v="Virginia "/>
    <x v="9"/>
    <n v="57427"/>
    <s v="Export, Empty"/>
  </r>
  <r>
    <x v="7"/>
    <s v="Norfolk"/>
    <s v="Virginia "/>
    <x v="10"/>
    <n v="44992"/>
    <s v="Export, Empty"/>
  </r>
  <r>
    <x v="7"/>
    <s v="Norfolk"/>
    <s v="Virginia "/>
    <x v="11"/>
    <n v="41854"/>
    <s v="Export, Empty"/>
  </r>
  <r>
    <x v="7"/>
    <s v="Norfolk"/>
    <s v="Virginia "/>
    <x v="12"/>
    <n v="36656"/>
    <s v="Export, Empty"/>
  </r>
  <r>
    <x v="7"/>
    <s v="Norfolk"/>
    <s v="Virginia "/>
    <x v="13"/>
    <n v="27918"/>
    <s v="Export, Empty"/>
  </r>
  <r>
    <x v="7"/>
    <s v="Norfolk"/>
    <s v="Virginia "/>
    <x v="14"/>
    <n v="26347"/>
    <s v="Export, Empty"/>
  </r>
  <r>
    <x v="7"/>
    <s v="Norfolk"/>
    <s v="Virginia "/>
    <x v="15"/>
    <n v="32605"/>
    <s v="Export, Empty"/>
  </r>
  <r>
    <x v="7"/>
    <s v="Norfolk"/>
    <s v="Virginia "/>
    <x v="16"/>
    <n v="39940"/>
    <s v="Export, Empty"/>
  </r>
  <r>
    <x v="7"/>
    <s v="Norfolk"/>
    <s v="Virginia "/>
    <x v="17"/>
    <n v="41841"/>
    <s v="Export, Empty"/>
  </r>
  <r>
    <x v="7"/>
    <s v="Norfolk"/>
    <s v="Virginia "/>
    <x v="18"/>
    <n v="45384"/>
    <s v="Export, Empty"/>
  </r>
  <r>
    <x v="7"/>
    <s v="Norfolk"/>
    <s v="Virginia "/>
    <x v="19"/>
    <n v="50160"/>
    <s v="Export, Empty"/>
  </r>
  <r>
    <x v="7"/>
    <s v="Norfolk"/>
    <s v="Virginia "/>
    <x v="20"/>
    <n v="57704"/>
    <s v="Export, Empty"/>
  </r>
  <r>
    <x v="7"/>
    <s v="Norfolk"/>
    <s v="Virginia "/>
    <x v="21"/>
    <n v="57644"/>
    <s v="Export, Empty"/>
  </r>
  <r>
    <x v="7"/>
    <s v="Norfolk"/>
    <s v="Virginia "/>
    <x v="22"/>
    <n v="64844"/>
    <s v="Export, Empty"/>
  </r>
  <r>
    <x v="7"/>
    <s v="Norfolk"/>
    <s v="Virginia "/>
    <x v="23"/>
    <n v="53175"/>
    <s v="Export, Empty"/>
  </r>
  <r>
    <x v="7"/>
    <s v="Norfolk"/>
    <s v="Virginia "/>
    <x v="24"/>
    <n v="54730"/>
    <s v="Export, Empty"/>
  </r>
  <r>
    <x v="7"/>
    <s v="Norfolk"/>
    <s v="Virginia "/>
    <x v="25"/>
    <n v="48494"/>
    <s v="Export, Empty"/>
  </r>
  <r>
    <x v="7"/>
    <s v="Norfolk"/>
    <s v="Virginia "/>
    <x v="26"/>
    <n v="51092"/>
    <s v="Export, Empty"/>
  </r>
  <r>
    <x v="7"/>
    <s v="Norfolk"/>
    <s v="Virginia "/>
    <x v="27"/>
    <n v="50909"/>
    <s v="Export, Empty"/>
  </r>
  <r>
    <x v="7"/>
    <s v="Norfolk"/>
    <s v="Virginia "/>
    <x v="28"/>
    <n v="67970"/>
    <s v="Export, Empty"/>
  </r>
  <r>
    <x v="7"/>
    <s v="Norfolk"/>
    <s v="Virginia "/>
    <x v="29"/>
    <n v="61369"/>
    <s v="Export, Empty"/>
  </r>
  <r>
    <x v="7"/>
    <s v="Norfolk"/>
    <s v="Virginia "/>
    <x v="30"/>
    <n v="66842"/>
    <s v="Export, Empty"/>
  </r>
  <r>
    <x v="7"/>
    <s v="Norfolk"/>
    <s v="Virginia "/>
    <x v="31"/>
    <n v="75925"/>
    <s v="Export, Empty"/>
  </r>
  <r>
    <x v="7"/>
    <s v="Norfolk"/>
    <s v="Virginia "/>
    <x v="32"/>
    <n v="70928"/>
    <s v="Export, Empty"/>
  </r>
  <r>
    <x v="7"/>
    <s v="Norfolk"/>
    <s v="Virginia "/>
    <x v="33"/>
    <n v="79085"/>
    <s v="Export, Empty"/>
  </r>
  <r>
    <x v="7"/>
    <s v="Norfolk"/>
    <s v="Virginia "/>
    <x v="34"/>
    <n v="60746"/>
    <s v="Export, Empty"/>
  </r>
  <r>
    <x v="7"/>
    <s v="Norfolk"/>
    <s v="Virginia "/>
    <x v="35"/>
    <n v="74265"/>
    <s v="Export, Empty"/>
  </r>
  <r>
    <x v="7"/>
    <s v="Norfolk"/>
    <s v="Virginia "/>
    <x v="36"/>
    <n v="61715"/>
    <s v="Export, Empty"/>
  </r>
  <r>
    <x v="7"/>
    <s v="Norfolk"/>
    <s v="Virginia "/>
    <x v="37"/>
    <n v="58881"/>
    <s v="Export, Empty"/>
  </r>
  <r>
    <x v="7"/>
    <s v="Norfolk"/>
    <s v="Virginia "/>
    <x v="38"/>
    <n v="66771"/>
    <s v="Export, Empty"/>
  </r>
  <r>
    <x v="7"/>
    <s v="Norfolk"/>
    <s v="Virginia "/>
    <x v="39"/>
    <n v="78724"/>
    <s v="Export, Empty"/>
  </r>
  <r>
    <x v="7"/>
    <s v="Norfolk"/>
    <s v="Virginia "/>
    <x v="40"/>
    <n v="71083"/>
    <s v="Export, Empty"/>
  </r>
  <r>
    <x v="7"/>
    <s v="Norfolk"/>
    <s v="Virginia "/>
    <x v="41"/>
    <n v="73626"/>
    <s v="Export, Empty"/>
  </r>
  <r>
    <x v="7"/>
    <s v="Norfolk"/>
    <s v="Virginia "/>
    <x v="42"/>
    <n v="78364.5"/>
    <s v="Export, Empty"/>
  </r>
  <r>
    <x v="7"/>
    <s v="Norfolk"/>
    <s v="Virginia "/>
    <x v="43"/>
    <n v="80410"/>
    <s v="Export, Empty"/>
  </r>
  <r>
    <x v="7"/>
    <s v="Norfolk"/>
    <s v="Virginia "/>
    <x v="44"/>
    <n v="80598"/>
    <s v="Export, Empty"/>
  </r>
  <r>
    <x v="7"/>
    <s v="Norfolk"/>
    <s v="Virginia "/>
    <x v="45"/>
    <n v="81108"/>
    <s v="Export, Empty"/>
  </r>
  <r>
    <x v="7"/>
    <s v="Norfolk"/>
    <s v="Virginia "/>
    <x v="46"/>
    <n v="66017"/>
    <s v="Export, Empty"/>
  </r>
  <r>
    <x v="7"/>
    <s v="Norfolk"/>
    <s v="Virginia "/>
    <x v="47"/>
    <n v="53603"/>
    <s v="Export, Empty"/>
  </r>
  <r>
    <x v="7"/>
    <s v="Norfolk"/>
    <s v="Virginia "/>
    <x v="48"/>
    <n v="54223"/>
    <s v="Export, Empty"/>
  </r>
  <r>
    <x v="7"/>
    <s v="Norfolk"/>
    <s v="Virginia "/>
    <x v="49"/>
    <n v="47129.25"/>
    <s v="Export, Empty"/>
  </r>
  <r>
    <x v="7"/>
    <s v="Norfolk"/>
    <s v="Virginia "/>
    <x v="50"/>
    <n v="38912"/>
    <s v="Export, Empty"/>
  </r>
  <r>
    <x v="7"/>
    <s v="Norfolk"/>
    <s v="Virginia "/>
    <x v="51"/>
    <n v="41249.5"/>
    <s v="Export, Empty"/>
  </r>
  <r>
    <x v="7"/>
    <s v="Norfolk"/>
    <s v="Virginia "/>
    <x v="52"/>
    <n v="45367.5"/>
    <s v="Export, Empty"/>
  </r>
  <r>
    <x v="7"/>
    <s v="Norfolk"/>
    <s v="Virginia "/>
    <x v="53"/>
    <n v="53234.5"/>
    <s v="Export, Empty"/>
  </r>
  <r>
    <x v="7"/>
    <s v="Norfolk"/>
    <s v="Virginia "/>
    <x v="54"/>
    <n v="64531"/>
    <s v="Export, Empty"/>
  </r>
  <r>
    <x v="7"/>
    <s v="Norfolk"/>
    <s v="Virginia "/>
    <x v="55"/>
    <n v="58051"/>
    <s v="Export, Empty"/>
  </r>
  <r>
    <x v="7"/>
    <s v="Norfolk"/>
    <s v="Virginia "/>
    <x v="56"/>
    <n v="57092"/>
    <s v="Export, Empty"/>
  </r>
  <r>
    <x v="7"/>
    <s v="Norfolk"/>
    <s v="Virginia "/>
    <x v="57"/>
    <n v="64675"/>
    <s v="Export, Empty"/>
  </r>
  <r>
    <x v="7"/>
    <s v="Norfolk"/>
    <s v="Virginia "/>
    <x v="58"/>
    <n v="44485"/>
    <s v="Export, Empty"/>
  </r>
  <r>
    <x v="7"/>
    <s v="Norfolk"/>
    <s v="Virginia "/>
    <x v="59"/>
    <n v="49891"/>
    <s v="Export, Empty"/>
  </r>
  <r>
    <x v="7"/>
    <s v="Norfolk"/>
    <s v="Virginia "/>
    <x v="60"/>
    <n v="50524"/>
    <s v="Export, Empty"/>
  </r>
  <r>
    <x v="7"/>
    <s v="Norfolk"/>
    <s v="Virginia "/>
    <x v="61"/>
    <n v="46877"/>
    <s v="Export, Empty"/>
  </r>
  <r>
    <x v="7"/>
    <s v="Norfolk"/>
    <s v="Virginia "/>
    <x v="62"/>
    <n v="51383"/>
    <s v="Export, Empty"/>
  </r>
  <r>
    <x v="7"/>
    <s v="Norfolk"/>
    <s v="Virginia "/>
    <x v="63"/>
    <n v="61355"/>
    <s v="Export, Empty"/>
  </r>
  <r>
    <x v="7"/>
    <s v="Norfolk"/>
    <s v="Virginia "/>
    <x v="64"/>
    <n v="71788"/>
    <s v="Export, Empty"/>
  </r>
  <r>
    <x v="7"/>
    <s v="Norfolk"/>
    <s v="Virginia "/>
    <x v="65"/>
    <n v="68770"/>
    <s v="Export, Empty"/>
  </r>
  <r>
    <x v="7"/>
    <s v="Norfolk"/>
    <s v="Virginia "/>
    <x v="66"/>
    <n v="63295"/>
    <s v="Export, Empty"/>
  </r>
  <r>
    <x v="7"/>
    <s v="Norfolk"/>
    <s v="Virginia "/>
    <x v="67"/>
    <n v="62271"/>
    <s v="Export, Empty"/>
  </r>
  <r>
    <x v="7"/>
    <s v="Norfolk"/>
    <s v="Virginia "/>
    <x v="68"/>
    <n v="63987"/>
    <s v="Export, Empty"/>
  </r>
  <r>
    <x v="7"/>
    <s v="Norfolk"/>
    <s v="Virginia "/>
    <x v="69"/>
    <n v="56341"/>
    <s v="Export, Empty"/>
  </r>
  <r>
    <x v="7"/>
    <s v="Norfolk"/>
    <s v="Virginia "/>
    <x v="70"/>
    <n v="53773"/>
    <s v="Export, Empty"/>
  </r>
  <r>
    <x v="7"/>
    <s v="Norfolk"/>
    <s v="Virginia "/>
    <x v="71"/>
    <n v="51241"/>
    <s v="Export, Empty"/>
  </r>
  <r>
    <x v="7"/>
    <s v="Norfolk"/>
    <s v="Virginia "/>
    <x v="72"/>
    <n v="56732"/>
    <s v="Export, Empty"/>
  </r>
  <r>
    <x v="7"/>
    <s v="Norfolk"/>
    <s v="Virginia "/>
    <x v="73"/>
    <n v="43524"/>
    <s v="Export, Empty"/>
  </r>
  <r>
    <x v="7"/>
    <s v="Norfolk"/>
    <s v="Virginia "/>
    <x v="74"/>
    <n v="54752"/>
    <s v="Export, Empty"/>
  </r>
  <r>
    <x v="7"/>
    <s v="Norfolk"/>
    <s v="Virginia "/>
    <x v="75"/>
    <n v="61405.75"/>
    <s v="Export, Empty"/>
  </r>
  <r>
    <x v="7"/>
    <s v="Norfolk"/>
    <s v="Virginia "/>
    <x v="76"/>
    <n v="57751"/>
    <s v="Export, Empty"/>
  </r>
  <r>
    <x v="8"/>
    <s v="Savannah"/>
    <s v="Georgia"/>
    <x v="0"/>
    <n v="93907"/>
    <s v="Export, Empty"/>
  </r>
  <r>
    <x v="8"/>
    <s v="Savannah"/>
    <s v="Georgia"/>
    <x v="1"/>
    <n v="52633"/>
    <s v="Export, Empty"/>
  </r>
  <r>
    <x v="8"/>
    <s v="Savannah"/>
    <s v="Georgia"/>
    <x v="2"/>
    <n v="59089"/>
    <s v="Export, Empty"/>
  </r>
  <r>
    <x v="8"/>
    <s v="Savannah"/>
    <s v="Georgia"/>
    <x v="3"/>
    <n v="51707"/>
    <s v="Export, Empty"/>
  </r>
  <r>
    <x v="8"/>
    <s v="Savannah"/>
    <s v="Georgia"/>
    <x v="4"/>
    <n v="58461"/>
    <s v="Export, Empty"/>
  </r>
  <r>
    <x v="8"/>
    <s v="Savannah"/>
    <s v="Georgia"/>
    <x v="5"/>
    <n v="69056"/>
    <s v="Export, Empty"/>
  </r>
  <r>
    <x v="8"/>
    <s v="Savannah"/>
    <s v="Georgia"/>
    <x v="6"/>
    <n v="66491"/>
    <s v="Export, Empty"/>
  </r>
  <r>
    <x v="8"/>
    <s v="Savannah"/>
    <s v="Georgia"/>
    <x v="7"/>
    <n v="89076"/>
    <s v="Export, Empty"/>
  </r>
  <r>
    <x v="8"/>
    <s v="Savannah"/>
    <s v="Georgia"/>
    <x v="8"/>
    <n v="69683"/>
    <s v="Export, Empty"/>
  </r>
  <r>
    <x v="8"/>
    <s v="Savannah"/>
    <s v="Georgia"/>
    <x v="9"/>
    <n v="93250"/>
    <s v="Export, Empty"/>
  </r>
  <r>
    <x v="8"/>
    <s v="Savannah"/>
    <s v="Georgia"/>
    <x v="10"/>
    <n v="62592"/>
    <s v="Export, Empty"/>
  </r>
  <r>
    <x v="8"/>
    <s v="Savannah"/>
    <s v="Georgia"/>
    <x v="11"/>
    <n v="68002"/>
    <s v="Export, Empty"/>
  </r>
  <r>
    <x v="8"/>
    <s v="Savannah"/>
    <s v="Georgia"/>
    <x v="12"/>
    <n v="60000"/>
    <s v="Export, Empty"/>
  </r>
  <r>
    <x v="8"/>
    <s v="Savannah"/>
    <s v="Georgia"/>
    <x v="13"/>
    <n v="57404"/>
    <s v="Export, Empty"/>
  </r>
  <r>
    <x v="8"/>
    <s v="Savannah"/>
    <s v="Georgia"/>
    <x v="14"/>
    <n v="36685"/>
    <s v="Export, Empty"/>
  </r>
  <r>
    <x v="8"/>
    <s v="Savannah"/>
    <s v="Georgia"/>
    <x v="15"/>
    <n v="42486"/>
    <s v="Export, Empty"/>
  </r>
  <r>
    <x v="8"/>
    <s v="Savannah"/>
    <s v="Georgia"/>
    <x v="16"/>
    <n v="52664"/>
    <s v="Export, Empty"/>
  </r>
  <r>
    <x v="8"/>
    <s v="Savannah"/>
    <s v="Georgia"/>
    <x v="17"/>
    <n v="52357"/>
    <s v="Export, Empty"/>
  </r>
  <r>
    <x v="8"/>
    <s v="Savannah"/>
    <s v="Georgia"/>
    <x v="18"/>
    <n v="55175"/>
    <s v="Export, Empty"/>
  </r>
  <r>
    <x v="8"/>
    <s v="Savannah"/>
    <s v="Georgia"/>
    <x v="19"/>
    <n v="92615"/>
    <s v="Export, Empty"/>
  </r>
  <r>
    <x v="8"/>
    <s v="Savannah"/>
    <s v="Georgia"/>
    <x v="20"/>
    <n v="89992"/>
    <s v="Export, Empty"/>
  </r>
  <r>
    <x v="8"/>
    <s v="Savannah"/>
    <s v="Georgia"/>
    <x v="21"/>
    <n v="107878"/>
    <s v="Export, Empty"/>
  </r>
  <r>
    <x v="8"/>
    <s v="Savannah"/>
    <s v="Georgia"/>
    <x v="22"/>
    <n v="111707"/>
    <s v="Export, Empty"/>
  </r>
  <r>
    <x v="8"/>
    <s v="Savannah"/>
    <s v="Georgia"/>
    <x v="23"/>
    <n v="111791"/>
    <s v="Export, Empty"/>
  </r>
  <r>
    <x v="8"/>
    <s v="Savannah"/>
    <s v="Georgia"/>
    <x v="24"/>
    <n v="110099"/>
    <s v="Export, Empty"/>
  </r>
  <r>
    <x v="8"/>
    <s v="Savannah"/>
    <s v="Georgia"/>
    <x v="25"/>
    <n v="86410"/>
    <s v="Export, Empty"/>
  </r>
  <r>
    <x v="8"/>
    <s v="Savannah"/>
    <s v="Georgia"/>
    <x v="26"/>
    <n v="107260"/>
    <s v="Export, Empty"/>
  </r>
  <r>
    <x v="8"/>
    <s v="Savannah"/>
    <s v="Georgia"/>
    <x v="27"/>
    <n v="96966"/>
    <s v="Export, Empty"/>
  </r>
  <r>
    <x v="8"/>
    <s v="Savannah"/>
    <s v="Georgia"/>
    <x v="28"/>
    <n v="102111"/>
    <s v="Export, Empty"/>
  </r>
  <r>
    <x v="8"/>
    <s v="Savannah"/>
    <s v="Georgia"/>
    <x v="29"/>
    <n v="109146"/>
    <s v="Export, Empty"/>
  </r>
  <r>
    <x v="8"/>
    <s v="Savannah"/>
    <s v="Georgia"/>
    <x v="30"/>
    <n v="99370"/>
    <s v="Export, Empty"/>
  </r>
  <r>
    <x v="8"/>
    <s v="Savannah"/>
    <s v="Georgia"/>
    <x v="31"/>
    <n v="126362"/>
    <s v="Export, Empty"/>
  </r>
  <r>
    <x v="8"/>
    <s v="Savannah"/>
    <s v="Georgia"/>
    <x v="32"/>
    <n v="127131"/>
    <s v="Export, Empty"/>
  </r>
  <r>
    <x v="8"/>
    <s v="Savannah"/>
    <s v="Georgia"/>
    <x v="33"/>
    <n v="129724"/>
    <s v="Export, Empty"/>
  </r>
  <r>
    <x v="8"/>
    <s v="Savannah"/>
    <s v="Georgia"/>
    <x v="34"/>
    <n v="152883"/>
    <s v="Export, Empty"/>
  </r>
  <r>
    <x v="8"/>
    <s v="Savannah"/>
    <s v="Georgia"/>
    <x v="35"/>
    <n v="139563"/>
    <s v="Export, Empty"/>
  </r>
  <r>
    <x v="8"/>
    <s v="Savannah"/>
    <s v="Georgia"/>
    <x v="36"/>
    <n v="132604"/>
    <s v="Export, Empty"/>
  </r>
  <r>
    <x v="8"/>
    <s v="Savannah"/>
    <s v="Georgia"/>
    <x v="37"/>
    <n v="132268"/>
    <s v="Export, Empty"/>
  </r>
  <r>
    <x v="8"/>
    <s v="Savannah"/>
    <s v="Georgia"/>
    <x v="38"/>
    <n v="118971"/>
    <s v="Export, Empty"/>
  </r>
  <r>
    <x v="8"/>
    <s v="Savannah"/>
    <s v="Georgia"/>
    <x v="39"/>
    <n v="116946"/>
    <s v="Export, Empty"/>
  </r>
  <r>
    <x v="8"/>
    <s v="Savannah"/>
    <s v="Georgia"/>
    <x v="40"/>
    <n v="137907"/>
    <s v="Export, Empty"/>
  </r>
  <r>
    <x v="8"/>
    <s v="Savannah"/>
    <s v="Georgia"/>
    <x v="41"/>
    <n v="131096"/>
    <s v="Export, Empty"/>
  </r>
  <r>
    <x v="8"/>
    <s v="Savannah"/>
    <s v="Georgia"/>
    <x v="42"/>
    <n v="151537"/>
    <s v="Export, Empty"/>
  </r>
  <r>
    <x v="8"/>
    <s v="Savannah"/>
    <s v="Georgia"/>
    <x v="43"/>
    <n v="160438"/>
    <s v="Export, Empty"/>
  </r>
  <r>
    <x v="8"/>
    <s v="Savannah"/>
    <s v="Georgia"/>
    <x v="44"/>
    <n v="121737"/>
    <s v="Export, Empty"/>
  </r>
  <r>
    <x v="8"/>
    <s v="Savannah"/>
    <s v="Georgia"/>
    <x v="45"/>
    <n v="168147"/>
    <s v="Export, Empty"/>
  </r>
  <r>
    <x v="8"/>
    <s v="Savannah"/>
    <s v="Georgia"/>
    <x v="46"/>
    <n v="132793"/>
    <s v="Export, Empty"/>
  </r>
  <r>
    <x v="8"/>
    <s v="Savannah"/>
    <s v="Georgia"/>
    <x v="47"/>
    <n v="111448"/>
    <s v="Export, Empty"/>
  </r>
  <r>
    <x v="8"/>
    <s v="Savannah"/>
    <s v="Georgia"/>
    <x v="48"/>
    <n v="97956"/>
    <s v="Export, Empty"/>
  </r>
  <r>
    <x v="8"/>
    <s v="Savannah"/>
    <s v="Georgia"/>
    <x v="49"/>
    <n v="96732"/>
    <s v="Export, Empty"/>
  </r>
  <r>
    <x v="8"/>
    <s v="Savannah"/>
    <s v="Georgia"/>
    <x v="50"/>
    <n v="75239"/>
    <s v="Export, Empty"/>
  </r>
  <r>
    <x v="8"/>
    <s v="Savannah"/>
    <s v="Georgia"/>
    <x v="51"/>
    <n v="88159"/>
    <s v="Export, Empty"/>
  </r>
  <r>
    <x v="8"/>
    <s v="Savannah"/>
    <s v="Georgia"/>
    <x v="52"/>
    <n v="90616"/>
    <s v="Export, Empty"/>
  </r>
  <r>
    <x v="8"/>
    <s v="Savannah"/>
    <s v="Georgia"/>
    <x v="53"/>
    <n v="85290"/>
    <s v="Export, Empty"/>
  </r>
  <r>
    <x v="8"/>
    <s v="Savannah"/>
    <s v="Georgia"/>
    <x v="54"/>
    <n v="107618"/>
    <s v="Export, Empty"/>
  </r>
  <r>
    <x v="8"/>
    <s v="Savannah"/>
    <s v="Georgia"/>
    <x v="55"/>
    <n v="106586"/>
    <s v="Export, Empty"/>
  </r>
  <r>
    <x v="8"/>
    <s v="Savannah"/>
    <s v="Georgia"/>
    <x v="56"/>
    <n v="106586"/>
    <s v="Export, Empty"/>
  </r>
  <r>
    <x v="8"/>
    <s v="Savannah"/>
    <s v="Georgia"/>
    <x v="57"/>
    <n v="113435"/>
    <s v="Export, Empty"/>
  </r>
  <r>
    <x v="8"/>
    <s v="Savannah"/>
    <s v="Georgia"/>
    <x v="58"/>
    <n v="94125"/>
    <s v="Export, Empty"/>
  </r>
  <r>
    <x v="8"/>
    <s v="Savannah"/>
    <s v="Georgia"/>
    <x v="59"/>
    <n v="98382"/>
    <s v="Export, Empty"/>
  </r>
  <r>
    <x v="8"/>
    <s v="Savannah"/>
    <s v="Georgia"/>
    <x v="60"/>
    <n v="103229"/>
    <s v="Export, Empty"/>
  </r>
  <r>
    <x v="8"/>
    <s v="Savannah"/>
    <s v="Georgia"/>
    <x v="61"/>
    <n v="107904"/>
    <s v="Export, Empty"/>
  </r>
  <r>
    <x v="8"/>
    <s v="Savannah"/>
    <s v="Georgia"/>
    <x v="62"/>
    <n v="92167"/>
    <s v="Export, Empty"/>
  </r>
  <r>
    <x v="8"/>
    <s v="Savannah"/>
    <s v="Georgia"/>
    <x v="63"/>
    <n v="99091"/>
    <s v="Export, Empty"/>
  </r>
  <r>
    <x v="8"/>
    <s v="Savannah"/>
    <s v="Georgia"/>
    <x v="64"/>
    <n v="129032"/>
    <s v="Export, Empty"/>
  </r>
  <r>
    <x v="8"/>
    <s v="Savannah"/>
    <s v="Georgia"/>
    <x v="65"/>
    <n v="101232"/>
    <s v="Export, Empty"/>
  </r>
  <r>
    <x v="8"/>
    <s v="Savannah"/>
    <s v="Georgia"/>
    <x v="66"/>
    <n v="126311"/>
    <s v="Export, Empty"/>
  </r>
  <r>
    <x v="8"/>
    <s v="Savannah"/>
    <s v="Georgia"/>
    <x v="67"/>
    <n v="122919"/>
    <s v="Export, Empty"/>
  </r>
  <r>
    <x v="8"/>
    <s v="Savannah"/>
    <s v="Georgia"/>
    <x v="68"/>
    <n v="109634"/>
    <s v="Export, Empty"/>
  </r>
  <r>
    <x v="8"/>
    <s v="Savannah"/>
    <s v="Georgia"/>
    <x v="69"/>
    <n v="151092"/>
    <s v="Export, Empty"/>
  </r>
  <r>
    <x v="8"/>
    <s v="Savannah"/>
    <s v="Georgia"/>
    <x v="70"/>
    <n v="129657"/>
    <s v="Export, Empty"/>
  </r>
  <r>
    <x v="8"/>
    <s v="Savannah"/>
    <s v="Georgia"/>
    <x v="71"/>
    <n v="105273"/>
    <s v="Export, Empty"/>
  </r>
  <r>
    <x v="8"/>
    <s v="Savannah"/>
    <s v="Georgia"/>
    <x v="72"/>
    <n v="112345"/>
    <s v="Export, Empty"/>
  </r>
  <r>
    <x v="8"/>
    <s v="Savannah"/>
    <s v="Georgia"/>
    <x v="73"/>
    <n v="113762"/>
    <s v="Export, Empty"/>
  </r>
  <r>
    <x v="8"/>
    <s v="Savannah"/>
    <s v="Georgia"/>
    <x v="74"/>
    <n v="118901"/>
    <s v="Export, Empty"/>
  </r>
  <r>
    <x v="8"/>
    <s v="Savannah"/>
    <s v="Georgia"/>
    <x v="75"/>
    <n v="132981"/>
    <s v="Export, Empty"/>
  </r>
  <r>
    <x v="8"/>
    <s v="Savannah"/>
    <s v="Georgia"/>
    <x v="76"/>
    <n v="138142"/>
    <s v="Export, Empty"/>
  </r>
  <r>
    <x v="1"/>
    <s v="Houston"/>
    <s v="Texas "/>
    <x v="77"/>
    <n v="36625"/>
    <s v="Export, Empty"/>
  </r>
  <r>
    <x v="2"/>
    <s v="Long Beach"/>
    <s v="California"/>
    <x v="77"/>
    <n v="254997"/>
    <s v="Export, Empty"/>
  </r>
  <r>
    <x v="3"/>
    <s v="Los Angeles"/>
    <s v="California"/>
    <x v="77"/>
    <n v="295597.75"/>
    <s v="Export, Empty"/>
  </r>
  <r>
    <x v="4"/>
    <s v="Seattle"/>
    <s v="Washington"/>
    <x v="77"/>
    <n v="51847"/>
    <s v="Export, Empty"/>
  </r>
  <r>
    <x v="5"/>
    <s v="Oakland"/>
    <s v="California"/>
    <x v="77"/>
    <n v="28133"/>
    <s v="Export, Empty"/>
  </r>
  <r>
    <x v="7"/>
    <s v="Norfolk"/>
    <s v="Virginia "/>
    <x v="77"/>
    <n v="46191"/>
    <s v="Export, Empty"/>
  </r>
  <r>
    <x v="6"/>
    <s v="New York"/>
    <s v="New York"/>
    <x v="77"/>
    <n v="218791"/>
    <s v="Export, Empty"/>
  </r>
  <r>
    <x v="8"/>
    <s v="Savannah"/>
    <s v="Georgia"/>
    <x v="77"/>
    <n v="98135"/>
    <s v="Export, Empty"/>
  </r>
  <r>
    <x v="0"/>
    <s v="Charleston"/>
    <s v="South Carolina"/>
    <x v="77"/>
    <n v="52054"/>
    <s v="Export, Empty"/>
  </r>
  <r>
    <x v="6"/>
    <s v="New York"/>
    <s v="New York"/>
    <x v="78"/>
    <n v="250910"/>
    <s v="Export, Empty"/>
  </r>
  <r>
    <x v="0"/>
    <s v="Charleston"/>
    <s v="South Carolina"/>
    <x v="78"/>
    <n v="56422"/>
    <s v="Export, Empty"/>
  </r>
  <r>
    <x v="8"/>
    <s v="Savannah"/>
    <s v="Georgia"/>
    <x v="78"/>
    <n v="126691"/>
    <s v="Export, Empty"/>
  </r>
  <r>
    <x v="1"/>
    <s v="Houston"/>
    <s v="Texas "/>
    <x v="78"/>
    <n v="48759"/>
    <s v="Export, Empty"/>
  </r>
  <r>
    <x v="2"/>
    <s v="Long Beach"/>
    <s v="California"/>
    <x v="78"/>
    <n v="371350"/>
    <s v="Export, Empty"/>
  </r>
  <r>
    <x v="3"/>
    <s v="Los Angeles"/>
    <s v="California"/>
    <x v="78"/>
    <n v="354099.5"/>
    <s v="Export, Empty"/>
  </r>
  <r>
    <x v="5"/>
    <s v="Oakland"/>
    <s v="California"/>
    <x v="78"/>
    <n v="33367"/>
    <s v="Export, Empty"/>
  </r>
  <r>
    <x v="4"/>
    <s v="Seattle"/>
    <s v="Washington"/>
    <x v="78"/>
    <n v="33913"/>
    <s v="Export, Empty"/>
  </r>
  <r>
    <x v="7"/>
    <s v="Norfolk"/>
    <s v="Virginia "/>
    <x v="78"/>
    <n v="47612"/>
    <s v="Export, Empty"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14879-9238-407F-8776-B9910CB8E07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:AE15" firstHeaderRow="1" firstDataRow="5" firstDataCol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Col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4">
    <field x="8"/>
    <field x="7"/>
    <field x="6"/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D37B-C09F-4FE1-9E5B-B1C979091515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AC17" firstHeaderRow="1" firstDataRow="5" firstDataCol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4">
    <field x="8"/>
    <field x="7"/>
    <field x="6"/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256D2-3ADD-4BCF-A240-EB511A4892E1}" name="Table2" displayName="Table2" ref="F1:I49" totalsRowShown="0" headerRowDxfId="9" dataDxfId="7" headerRowBorderDxfId="8" tableBorderDxfId="6">
  <sortState xmlns:xlrd2="http://schemas.microsoft.com/office/spreadsheetml/2017/richdata2" ref="F2:I40">
    <sortCondition ref="F2:F40"/>
  </sortState>
  <tableColumns count="4">
    <tableColumn id="1" xr3:uid="{2F175C26-FA2A-4996-84A5-1C852322A95B}" name="Port" dataDxfId="5"/>
    <tableColumn id="2" xr3:uid="{60801FFF-0ED6-42A8-A17A-253709A7E548}" name="Total Tonnage Rank" dataDxfId="4"/>
    <tableColumn id="3" xr3:uid="{1BEC491E-7C46-48F3-B823-2751824F0768}" name="Dry Bulk Rank" dataDxfId="3"/>
    <tableColumn id="4" xr3:uid="{9F80D4AB-18E4-4F93-BCAD-3566BE3A4184}" name="TEU Rank" dataDxfId="2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70A6BA-DA47-4699-B0A3-CDB179024898}">
  <we:reference id="df76232d-21a6-4463-9d19-0518ac5aab5d" version="1.1.0.0" store="EXCatalog" storeType="EXCatalog"/>
  <we:alternateReferences>
    <we:reference id="WA200000556" version="1.1.0.0" store="en-IE" storeType="OMEX"/>
  </we:alternateReferences>
  <we:properties>
    <we:property name="Office.AutoShowTaskpaneWithDocument" value="true"/>
    <we:property name="documentId" value="&quot;41fe17e2-61f9-4df5-aa81-e769ff9023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11FA-5328-41B2-8284-6E8907D1CDF0}">
  <sheetPr>
    <tabColor theme="9"/>
  </sheetPr>
  <dimension ref="A1:A15"/>
  <sheetViews>
    <sheetView tabSelected="1" workbookViewId="0">
      <selection activeCell="E19" sqref="E19"/>
    </sheetView>
  </sheetViews>
  <sheetFormatPr defaultRowHeight="14.75" x14ac:dyDescent="0.75"/>
  <cols>
    <col min="1" max="1" width="78" customWidth="1"/>
  </cols>
  <sheetData>
    <row r="1" spans="1:1" x14ac:dyDescent="0.75">
      <c r="A1" s="23" t="s">
        <v>0</v>
      </c>
    </row>
    <row r="2" spans="1:1" x14ac:dyDescent="0.75">
      <c r="A2" s="23" t="s">
        <v>1</v>
      </c>
    </row>
    <row r="3" spans="1:1" x14ac:dyDescent="0.75">
      <c r="A3" s="23" t="s">
        <v>2</v>
      </c>
    </row>
    <row r="4" spans="1:1" x14ac:dyDescent="0.75">
      <c r="A4" s="23" t="s">
        <v>3</v>
      </c>
    </row>
    <row r="5" spans="1:1" x14ac:dyDescent="0.75">
      <c r="A5" s="23" t="s">
        <v>4</v>
      </c>
    </row>
    <row r="6" spans="1:1" x14ac:dyDescent="0.75">
      <c r="A6" s="23" t="s">
        <v>5</v>
      </c>
    </row>
    <row r="7" spans="1:1" x14ac:dyDescent="0.75">
      <c r="A7" s="23"/>
    </row>
    <row r="8" spans="1:1" x14ac:dyDescent="0.75">
      <c r="A8" s="23" t="s">
        <v>6</v>
      </c>
    </row>
    <row r="9" spans="1:1" x14ac:dyDescent="0.75">
      <c r="A9" s="23" t="s">
        <v>7</v>
      </c>
    </row>
    <row r="10" spans="1:1" x14ac:dyDescent="0.75">
      <c r="A10" s="23" t="s">
        <v>8</v>
      </c>
    </row>
    <row r="11" spans="1:1" x14ac:dyDescent="0.75">
      <c r="A11" s="23" t="s">
        <v>9</v>
      </c>
    </row>
    <row r="12" spans="1:1" x14ac:dyDescent="0.75">
      <c r="A12" s="23" t="s">
        <v>10</v>
      </c>
    </row>
    <row r="13" spans="1:1" x14ac:dyDescent="0.75">
      <c r="A13" s="23" t="s">
        <v>11</v>
      </c>
    </row>
    <row r="14" spans="1:1" x14ac:dyDescent="0.75">
      <c r="A14" s="23" t="s">
        <v>12</v>
      </c>
    </row>
    <row r="15" spans="1:1" ht="29.5" x14ac:dyDescent="0.75">
      <c r="A15" s="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66FE-44FC-4ACA-A706-77799288F5C5}">
  <sheetPr>
    <tabColor rgb="FF00B050"/>
  </sheetPr>
  <dimension ref="A1:E27"/>
  <sheetViews>
    <sheetView workbookViewId="0">
      <selection activeCell="D15" sqref="D15"/>
    </sheetView>
  </sheetViews>
  <sheetFormatPr defaultRowHeight="14.75" x14ac:dyDescent="0.75"/>
  <cols>
    <col min="3" max="3" width="18" customWidth="1"/>
    <col min="4" max="4" width="31.40625" customWidth="1"/>
    <col min="5" max="5" width="22.1328125" customWidth="1"/>
  </cols>
  <sheetData>
    <row r="1" spans="1:5" x14ac:dyDescent="0.75">
      <c r="A1" s="19" t="e">
        <f>ToC!#REF!</f>
        <v>#REF!</v>
      </c>
    </row>
    <row r="2" spans="1:5" ht="27.25" x14ac:dyDescent="0.75">
      <c r="C2" s="35" t="s">
        <v>14</v>
      </c>
      <c r="D2" s="36" t="s">
        <v>15</v>
      </c>
      <c r="E2" s="37" t="s">
        <v>16</v>
      </c>
    </row>
    <row r="3" spans="1:5" x14ac:dyDescent="0.75">
      <c r="C3" s="38">
        <v>1</v>
      </c>
      <c r="D3" t="s">
        <v>17</v>
      </c>
      <c r="E3" s="39">
        <v>309531236</v>
      </c>
    </row>
    <row r="4" spans="1:5" x14ac:dyDescent="0.75">
      <c r="C4" s="34">
        <v>2</v>
      </c>
      <c r="D4" t="s">
        <v>18</v>
      </c>
      <c r="E4" s="39">
        <v>217531611</v>
      </c>
    </row>
    <row r="5" spans="1:5" x14ac:dyDescent="0.75">
      <c r="C5" s="34">
        <v>3</v>
      </c>
      <c r="D5" t="s">
        <v>19</v>
      </c>
      <c r="E5" s="39">
        <v>189775751</v>
      </c>
    </row>
    <row r="6" spans="1:5" x14ac:dyDescent="0.75">
      <c r="C6" s="34">
        <v>4</v>
      </c>
      <c r="D6" t="s">
        <v>20</v>
      </c>
      <c r="E6" s="39">
        <v>132289509</v>
      </c>
    </row>
    <row r="7" spans="1:5" x14ac:dyDescent="0.75">
      <c r="C7" s="34">
        <v>5</v>
      </c>
      <c r="D7" t="s">
        <v>21</v>
      </c>
      <c r="E7" s="39">
        <v>87879130</v>
      </c>
    </row>
    <row r="8" spans="1:5" x14ac:dyDescent="0.75">
      <c r="C8" s="34">
        <v>6</v>
      </c>
      <c r="D8" t="s">
        <v>22</v>
      </c>
      <c r="E8" s="39">
        <v>85260786</v>
      </c>
    </row>
    <row r="9" spans="1:5" x14ac:dyDescent="0.75">
      <c r="C9" s="34">
        <v>7</v>
      </c>
      <c r="D9" t="s">
        <v>23</v>
      </c>
      <c r="E9" s="39">
        <v>75385883</v>
      </c>
    </row>
    <row r="10" spans="1:5" x14ac:dyDescent="0.75">
      <c r="C10" s="34">
        <v>8</v>
      </c>
      <c r="D10" t="s">
        <v>24</v>
      </c>
      <c r="E10" s="39">
        <v>73041412</v>
      </c>
    </row>
    <row r="11" spans="1:5" x14ac:dyDescent="0.75">
      <c r="C11" s="34">
        <v>9</v>
      </c>
      <c r="D11" t="s">
        <v>25</v>
      </c>
      <c r="E11" s="39">
        <v>68766562</v>
      </c>
    </row>
    <row r="12" spans="1:5" x14ac:dyDescent="0.75">
      <c r="C12" s="34">
        <v>10</v>
      </c>
      <c r="D12" t="s">
        <v>26</v>
      </c>
      <c r="E12" s="39">
        <v>64163423</v>
      </c>
    </row>
    <row r="13" spans="1:5" x14ac:dyDescent="0.75">
      <c r="C13" s="34">
        <v>11</v>
      </c>
      <c r="D13" t="s">
        <v>27</v>
      </c>
      <c r="E13" s="39">
        <v>55378332</v>
      </c>
    </row>
    <row r="14" spans="1:5" x14ac:dyDescent="0.75">
      <c r="C14" s="34">
        <v>12</v>
      </c>
      <c r="D14" t="s">
        <v>28</v>
      </c>
      <c r="E14" s="39">
        <v>52180346</v>
      </c>
    </row>
    <row r="15" spans="1:5" x14ac:dyDescent="0.75">
      <c r="C15" s="34">
        <v>13</v>
      </c>
      <c r="D15" t="s">
        <v>29</v>
      </c>
      <c r="E15" s="39">
        <v>50511758</v>
      </c>
    </row>
    <row r="16" spans="1:5" x14ac:dyDescent="0.75">
      <c r="C16" s="34">
        <v>14</v>
      </c>
      <c r="D16" t="s">
        <v>30</v>
      </c>
      <c r="E16" s="39">
        <v>49875915</v>
      </c>
    </row>
    <row r="17" spans="3:5" x14ac:dyDescent="0.75">
      <c r="C17" s="34">
        <v>15</v>
      </c>
      <c r="D17" t="s">
        <v>31</v>
      </c>
      <c r="E17" s="39">
        <v>49238007</v>
      </c>
    </row>
    <row r="18" spans="3:5" x14ac:dyDescent="0.75">
      <c r="C18" s="34">
        <v>16</v>
      </c>
      <c r="D18" t="s">
        <v>32</v>
      </c>
      <c r="E18" s="39">
        <v>44195515</v>
      </c>
    </row>
    <row r="19" spans="3:5" x14ac:dyDescent="0.75">
      <c r="C19" s="34">
        <v>17</v>
      </c>
      <c r="D19" t="s">
        <v>33</v>
      </c>
      <c r="E19" s="39">
        <v>39538812</v>
      </c>
    </row>
    <row r="20" spans="3:5" x14ac:dyDescent="0.75">
      <c r="C20" s="34">
        <v>18</v>
      </c>
      <c r="D20" t="s">
        <v>34</v>
      </c>
      <c r="E20" s="39">
        <v>32018524</v>
      </c>
    </row>
    <row r="21" spans="3:5" x14ac:dyDescent="0.75">
      <c r="C21" s="34">
        <v>19</v>
      </c>
      <c r="D21" t="s">
        <v>35</v>
      </c>
      <c r="E21" s="39">
        <v>31131961</v>
      </c>
    </row>
    <row r="22" spans="3:5" x14ac:dyDescent="0.75">
      <c r="C22" s="34">
        <v>20</v>
      </c>
      <c r="D22" t="s">
        <v>36</v>
      </c>
      <c r="E22" s="39">
        <v>30476838</v>
      </c>
    </row>
    <row r="23" spans="3:5" x14ac:dyDescent="0.75">
      <c r="C23" s="34">
        <v>21</v>
      </c>
      <c r="D23" t="s">
        <v>37</v>
      </c>
      <c r="E23" s="39">
        <v>29912934</v>
      </c>
    </row>
    <row r="24" spans="3:5" x14ac:dyDescent="0.75">
      <c r="C24" s="34">
        <v>22</v>
      </c>
      <c r="D24" t="s">
        <v>38</v>
      </c>
      <c r="E24" s="39">
        <v>27117158</v>
      </c>
    </row>
    <row r="25" spans="3:5" x14ac:dyDescent="0.75">
      <c r="C25" s="34">
        <v>23</v>
      </c>
      <c r="D25" t="s">
        <v>39</v>
      </c>
      <c r="E25" s="39">
        <v>26769839</v>
      </c>
    </row>
    <row r="26" spans="3:5" x14ac:dyDescent="0.75">
      <c r="C26" s="34">
        <v>24</v>
      </c>
      <c r="D26" t="s">
        <v>40</v>
      </c>
      <c r="E26" s="39">
        <v>26403011</v>
      </c>
    </row>
    <row r="27" spans="3:5" x14ac:dyDescent="0.75">
      <c r="C27" s="34">
        <v>25</v>
      </c>
      <c r="D27" t="s">
        <v>41</v>
      </c>
      <c r="E27" s="39">
        <v>26141470</v>
      </c>
    </row>
  </sheetData>
  <phoneticPr fontId="1" type="noConversion"/>
  <conditionalFormatting sqref="C2:E3 D5 D27:E27">
    <cfRule type="expression" dxfId="1" priority="5">
      <formula>MOD(ROW(),2)=0</formula>
    </cfRule>
    <cfRule type="expression" priority="6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BB16-48EE-4F99-B2D6-959863801E10}">
  <sheetPr>
    <tabColor rgb="FF00B050"/>
  </sheetPr>
  <dimension ref="A1:E33"/>
  <sheetViews>
    <sheetView workbookViewId="0">
      <selection activeCell="D9" sqref="D9"/>
    </sheetView>
  </sheetViews>
  <sheetFormatPr defaultRowHeight="14.75" x14ac:dyDescent="0.75"/>
  <cols>
    <col min="1" max="1" width="30.54296875" bestFit="1" customWidth="1"/>
    <col min="4" max="4" width="28.40625" bestFit="1" customWidth="1"/>
    <col min="5" max="5" width="22" style="43" bestFit="1" customWidth="1"/>
  </cols>
  <sheetData>
    <row r="1" spans="1:5" x14ac:dyDescent="0.75">
      <c r="A1" s="3" t="e">
        <f>ToC!#REF!</f>
        <v>#REF!</v>
      </c>
    </row>
    <row r="2" spans="1:5" x14ac:dyDescent="0.75">
      <c r="A2" s="5"/>
    </row>
    <row r="3" spans="1:5" x14ac:dyDescent="0.75">
      <c r="A3" s="5"/>
    </row>
    <row r="4" spans="1:5" x14ac:dyDescent="0.75">
      <c r="A4" s="4"/>
    </row>
    <row r="5" spans="1:5" x14ac:dyDescent="0.75">
      <c r="A5" s="6"/>
    </row>
    <row r="6" spans="1:5" x14ac:dyDescent="0.75">
      <c r="A6" s="6"/>
    </row>
    <row r="7" spans="1:5" ht="36" customHeight="1" thickBot="1" x14ac:dyDescent="0.9"/>
    <row r="8" spans="1:5" ht="24.75" thickBot="1" x14ac:dyDescent="0.9">
      <c r="C8" s="40" t="s">
        <v>14</v>
      </c>
      <c r="D8" s="40" t="s">
        <v>15</v>
      </c>
      <c r="E8" s="44" t="s">
        <v>16</v>
      </c>
    </row>
    <row r="9" spans="1:5" ht="15.5" thickBot="1" x14ac:dyDescent="0.9">
      <c r="C9" s="41">
        <v>1</v>
      </c>
      <c r="D9" t="s">
        <v>18</v>
      </c>
      <c r="E9" s="42">
        <v>135777237</v>
      </c>
    </row>
    <row r="10" spans="1:5" ht="15.5" thickBot="1" x14ac:dyDescent="0.9">
      <c r="C10" s="41">
        <v>2</v>
      </c>
      <c r="D10" t="s">
        <v>29</v>
      </c>
      <c r="E10" s="39">
        <v>42571535</v>
      </c>
    </row>
    <row r="11" spans="1:5" ht="15.5" thickBot="1" x14ac:dyDescent="0.9">
      <c r="C11" s="41">
        <v>3</v>
      </c>
      <c r="D11" t="s">
        <v>25</v>
      </c>
      <c r="E11" s="39">
        <v>41875262</v>
      </c>
    </row>
    <row r="12" spans="1:5" ht="15.5" thickBot="1" x14ac:dyDescent="0.9">
      <c r="C12" s="41">
        <v>4</v>
      </c>
      <c r="D12" t="s">
        <v>23</v>
      </c>
      <c r="E12" s="39">
        <v>41780516</v>
      </c>
    </row>
    <row r="13" spans="1:5" ht="15.5" thickBot="1" x14ac:dyDescent="0.9">
      <c r="C13" s="41">
        <v>5</v>
      </c>
      <c r="D13" t="s">
        <v>30</v>
      </c>
      <c r="E13" s="39">
        <v>33778052</v>
      </c>
    </row>
    <row r="14" spans="1:5" ht="15.5" thickBot="1" x14ac:dyDescent="0.9">
      <c r="C14" s="41">
        <v>6</v>
      </c>
      <c r="D14" t="s">
        <v>24</v>
      </c>
      <c r="E14" s="39">
        <v>33407684</v>
      </c>
    </row>
    <row r="15" spans="1:5" ht="15.5" thickBot="1" x14ac:dyDescent="0.9">
      <c r="C15" s="41">
        <v>7</v>
      </c>
      <c r="D15" t="s">
        <v>36</v>
      </c>
      <c r="E15" s="39">
        <v>30127305</v>
      </c>
    </row>
    <row r="16" spans="1:5" ht="15.5" thickBot="1" x14ac:dyDescent="0.9">
      <c r="C16" s="41">
        <v>8</v>
      </c>
      <c r="D16" t="s">
        <v>28</v>
      </c>
      <c r="E16" s="39">
        <v>29604041</v>
      </c>
    </row>
    <row r="17" spans="3:5" ht="15.5" thickBot="1" x14ac:dyDescent="0.9">
      <c r="C17" s="41">
        <v>9</v>
      </c>
      <c r="D17" t="s">
        <v>41</v>
      </c>
      <c r="E17" s="39">
        <v>24281418</v>
      </c>
    </row>
    <row r="18" spans="3:5" ht="15.5" thickBot="1" x14ac:dyDescent="0.9">
      <c r="C18" s="41">
        <v>10</v>
      </c>
      <c r="D18" t="s">
        <v>39</v>
      </c>
      <c r="E18" s="39">
        <v>22623647</v>
      </c>
    </row>
    <row r="19" spans="3:5" ht="15.5" thickBot="1" x14ac:dyDescent="0.9">
      <c r="C19" s="41">
        <v>11</v>
      </c>
      <c r="D19" t="s">
        <v>17</v>
      </c>
      <c r="E19" s="39">
        <v>22365020</v>
      </c>
    </row>
    <row r="20" spans="3:5" ht="15.5" thickBot="1" x14ac:dyDescent="0.9">
      <c r="C20" s="41">
        <v>12</v>
      </c>
      <c r="D20" t="s">
        <v>42</v>
      </c>
      <c r="E20" s="39">
        <v>17061385</v>
      </c>
    </row>
    <row r="21" spans="3:5" ht="15.5" thickBot="1" x14ac:dyDescent="0.9">
      <c r="C21" s="41">
        <v>13</v>
      </c>
      <c r="D21" t="s">
        <v>43</v>
      </c>
      <c r="E21" s="39">
        <v>14529090</v>
      </c>
    </row>
    <row r="22" spans="3:5" ht="15.5" thickBot="1" x14ac:dyDescent="0.9">
      <c r="C22" s="41">
        <v>14</v>
      </c>
      <c r="D22" t="s">
        <v>44</v>
      </c>
      <c r="E22" s="39">
        <v>13702788</v>
      </c>
    </row>
    <row r="23" spans="3:5" ht="15.5" thickBot="1" x14ac:dyDescent="0.9">
      <c r="C23" s="41">
        <v>15</v>
      </c>
      <c r="D23" t="s">
        <v>45</v>
      </c>
      <c r="E23" s="39">
        <v>13622432</v>
      </c>
    </row>
    <row r="24" spans="3:5" ht="15.5" thickBot="1" x14ac:dyDescent="0.9">
      <c r="C24" s="41">
        <v>16</v>
      </c>
      <c r="D24" t="s">
        <v>46</v>
      </c>
      <c r="E24" s="39">
        <v>10829671</v>
      </c>
    </row>
    <row r="25" spans="3:5" ht="15.5" thickBot="1" x14ac:dyDescent="0.9">
      <c r="C25" s="41">
        <v>17</v>
      </c>
      <c r="D25" t="s">
        <v>47</v>
      </c>
      <c r="E25" s="39">
        <v>10780718</v>
      </c>
    </row>
    <row r="26" spans="3:5" ht="15.5" thickBot="1" x14ac:dyDescent="0.9">
      <c r="C26" s="41">
        <v>18</v>
      </c>
      <c r="D26" t="s">
        <v>48</v>
      </c>
      <c r="E26" s="39">
        <v>10677450</v>
      </c>
    </row>
    <row r="27" spans="3:5" ht="15.5" thickBot="1" x14ac:dyDescent="0.9">
      <c r="C27" s="41">
        <v>19</v>
      </c>
      <c r="D27" t="s">
        <v>20</v>
      </c>
      <c r="E27" s="39">
        <v>10445863</v>
      </c>
    </row>
    <row r="28" spans="3:5" ht="15.5" thickBot="1" x14ac:dyDescent="0.9">
      <c r="C28" s="41">
        <v>20</v>
      </c>
      <c r="D28" t="s">
        <v>34</v>
      </c>
      <c r="E28" s="39">
        <v>9916872</v>
      </c>
    </row>
    <row r="29" spans="3:5" ht="15.5" thickBot="1" x14ac:dyDescent="0.9">
      <c r="C29" s="41">
        <v>21</v>
      </c>
      <c r="D29" t="s">
        <v>49</v>
      </c>
      <c r="E29" s="39">
        <v>9909042</v>
      </c>
    </row>
    <row r="30" spans="3:5" ht="15.5" thickBot="1" x14ac:dyDescent="0.9">
      <c r="C30" s="41">
        <v>22</v>
      </c>
      <c r="D30" t="s">
        <v>19</v>
      </c>
      <c r="E30" s="39">
        <v>9779386</v>
      </c>
    </row>
    <row r="31" spans="3:5" ht="15.5" thickBot="1" x14ac:dyDescent="0.9">
      <c r="C31" s="41">
        <v>23</v>
      </c>
      <c r="D31" t="s">
        <v>22</v>
      </c>
      <c r="E31" s="39">
        <v>9699729</v>
      </c>
    </row>
    <row r="32" spans="3:5" ht="15.5" thickBot="1" x14ac:dyDescent="0.9">
      <c r="C32" s="41">
        <v>24</v>
      </c>
      <c r="D32" t="s">
        <v>50</v>
      </c>
      <c r="E32" s="39">
        <v>9418891</v>
      </c>
    </row>
    <row r="33" spans="3:5" ht="15.5" thickBot="1" x14ac:dyDescent="0.9">
      <c r="C33" s="41">
        <v>25</v>
      </c>
      <c r="D33" t="s">
        <v>51</v>
      </c>
      <c r="E33" s="39">
        <v>9351819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077F-68D8-46B8-8581-D9090EAE553E}">
  <sheetPr>
    <tabColor rgb="FF00B050"/>
  </sheetPr>
  <dimension ref="A1:F26"/>
  <sheetViews>
    <sheetView workbookViewId="0">
      <selection activeCell="C8" sqref="C8"/>
    </sheetView>
  </sheetViews>
  <sheetFormatPr defaultRowHeight="14.75" x14ac:dyDescent="0.75"/>
  <cols>
    <col min="5" max="5" width="26.1328125" bestFit="1" customWidth="1"/>
  </cols>
  <sheetData>
    <row r="1" spans="1:6" ht="80.45" customHeight="1" thickTop="1" thickBot="1" x14ac:dyDescent="0.9">
      <c r="A1" s="22" t="e">
        <f>ToC!#REF!</f>
        <v>#REF!</v>
      </c>
      <c r="D1" s="16" t="s">
        <v>52</v>
      </c>
      <c r="E1" s="17" t="s">
        <v>53</v>
      </c>
      <c r="F1" s="18" t="s">
        <v>54</v>
      </c>
    </row>
    <row r="2" spans="1:6" ht="16.25" thickTop="1" thickBot="1" x14ac:dyDescent="0.9">
      <c r="D2" s="75">
        <v>1</v>
      </c>
      <c r="E2" s="76" t="s">
        <v>27</v>
      </c>
      <c r="F2" s="77">
        <v>5726784</v>
      </c>
    </row>
    <row r="3" spans="1:6" ht="15.5" thickBot="1" x14ac:dyDescent="0.9">
      <c r="D3" s="41">
        <v>2</v>
      </c>
      <c r="E3" s="78" t="s">
        <v>20</v>
      </c>
      <c r="F3" s="77">
        <v>5397161</v>
      </c>
    </row>
    <row r="4" spans="1:6" ht="15.5" thickBot="1" x14ac:dyDescent="0.9">
      <c r="D4" s="41">
        <v>3</v>
      </c>
      <c r="E4" s="78" t="s">
        <v>22</v>
      </c>
      <c r="F4" s="77">
        <v>5089636</v>
      </c>
    </row>
    <row r="5" spans="1:6" ht="15.5" thickBot="1" x14ac:dyDescent="0.9">
      <c r="D5" s="41">
        <v>4</v>
      </c>
      <c r="E5" s="78" t="s">
        <v>31</v>
      </c>
      <c r="F5" s="77">
        <v>3774774</v>
      </c>
    </row>
    <row r="6" spans="1:6" ht="15.5" thickBot="1" x14ac:dyDescent="0.9">
      <c r="D6" s="41">
        <v>5</v>
      </c>
      <c r="E6" s="78" t="s">
        <v>17</v>
      </c>
      <c r="F6" s="77">
        <v>3209897</v>
      </c>
    </row>
    <row r="7" spans="1:6" ht="15.5" thickBot="1" x14ac:dyDescent="0.9">
      <c r="D7" s="41">
        <v>6</v>
      </c>
      <c r="E7" s="78" t="s">
        <v>25</v>
      </c>
      <c r="F7" s="77">
        <v>2561775</v>
      </c>
    </row>
    <row r="8" spans="1:6" ht="15.5" thickBot="1" x14ac:dyDescent="0.9">
      <c r="D8" s="41">
        <v>7</v>
      </c>
      <c r="E8" s="78" t="s">
        <v>40</v>
      </c>
      <c r="F8" s="77">
        <v>1917209</v>
      </c>
    </row>
    <row r="9" spans="1:6" ht="15.5" thickBot="1" x14ac:dyDescent="0.9">
      <c r="D9" s="41">
        <v>8</v>
      </c>
      <c r="E9" s="78" t="s">
        <v>55</v>
      </c>
      <c r="F9" s="77">
        <v>1534489</v>
      </c>
    </row>
    <row r="10" spans="1:6" ht="15.5" thickBot="1" x14ac:dyDescent="0.9">
      <c r="D10" s="41">
        <v>9</v>
      </c>
      <c r="E10" s="78" t="s">
        <v>56</v>
      </c>
      <c r="F10" s="77">
        <v>1509066</v>
      </c>
    </row>
    <row r="11" spans="1:6" ht="15.5" thickBot="1" x14ac:dyDescent="0.9">
      <c r="D11" s="41">
        <v>10</v>
      </c>
      <c r="E11" s="78" t="s">
        <v>57</v>
      </c>
      <c r="F11" s="77">
        <v>867401</v>
      </c>
    </row>
    <row r="12" spans="1:6" ht="15.5" thickBot="1" x14ac:dyDescent="0.9">
      <c r="D12" s="41">
        <v>11</v>
      </c>
      <c r="E12" s="78" t="s">
        <v>58</v>
      </c>
      <c r="F12" s="77">
        <v>824203</v>
      </c>
    </row>
    <row r="13" spans="1:6" ht="15.5" thickBot="1" x14ac:dyDescent="0.9">
      <c r="D13" s="41">
        <v>12</v>
      </c>
      <c r="E13" s="78" t="s">
        <v>59</v>
      </c>
      <c r="F13" s="77">
        <v>817811</v>
      </c>
    </row>
    <row r="14" spans="1:6" ht="15.5" thickBot="1" x14ac:dyDescent="0.9">
      <c r="D14" s="41">
        <v>13</v>
      </c>
      <c r="E14" s="78" t="s">
        <v>51</v>
      </c>
      <c r="F14" s="77">
        <v>809493</v>
      </c>
    </row>
    <row r="15" spans="1:6" ht="15.5" thickBot="1" x14ac:dyDescent="0.9">
      <c r="D15" s="41">
        <v>14</v>
      </c>
      <c r="E15" s="78" t="s">
        <v>30</v>
      </c>
      <c r="F15" s="77">
        <v>804527</v>
      </c>
    </row>
    <row r="16" spans="1:6" ht="15.5" thickBot="1" x14ac:dyDescent="0.9">
      <c r="D16" s="41">
        <v>15</v>
      </c>
      <c r="E16" s="78" t="s">
        <v>60</v>
      </c>
      <c r="F16" s="77">
        <v>724838</v>
      </c>
    </row>
    <row r="17" spans="4:6" ht="15.5" thickBot="1" x14ac:dyDescent="0.9">
      <c r="D17" s="41">
        <v>16</v>
      </c>
      <c r="E17" s="78" t="s">
        <v>35</v>
      </c>
      <c r="F17" s="77">
        <v>657649</v>
      </c>
    </row>
    <row r="18" spans="4:6" ht="15.5" thickBot="1" x14ac:dyDescent="0.9">
      <c r="D18" s="41">
        <v>17</v>
      </c>
      <c r="E18" s="78" t="s">
        <v>61</v>
      </c>
      <c r="F18" s="77">
        <v>612405</v>
      </c>
    </row>
    <row r="19" spans="4:6" ht="15.5" thickBot="1" x14ac:dyDescent="0.9">
      <c r="D19" s="41">
        <v>18</v>
      </c>
      <c r="E19" s="78" t="s">
        <v>28</v>
      </c>
      <c r="F19" s="77">
        <v>456715</v>
      </c>
    </row>
    <row r="20" spans="4:6" ht="15.5" thickBot="1" x14ac:dyDescent="0.9">
      <c r="D20" s="41">
        <v>19</v>
      </c>
      <c r="E20" s="78" t="s">
        <v>62</v>
      </c>
      <c r="F20" s="77">
        <v>423606</v>
      </c>
    </row>
    <row r="21" spans="4:6" ht="15.5" thickBot="1" x14ac:dyDescent="0.9">
      <c r="D21" s="41">
        <v>20</v>
      </c>
      <c r="E21" s="78" t="s">
        <v>23</v>
      </c>
      <c r="F21" s="77">
        <v>355173</v>
      </c>
    </row>
    <row r="22" spans="4:6" ht="15.5" thickBot="1" x14ac:dyDescent="0.9">
      <c r="D22" s="41">
        <v>21</v>
      </c>
      <c r="E22" s="78" t="s">
        <v>63</v>
      </c>
      <c r="F22" s="77">
        <v>232014</v>
      </c>
    </row>
    <row r="23" spans="4:6" ht="15.5" thickBot="1" x14ac:dyDescent="0.9">
      <c r="D23" s="41">
        <v>22</v>
      </c>
      <c r="E23" s="78" t="s">
        <v>64</v>
      </c>
      <c r="F23" s="77">
        <v>193938</v>
      </c>
    </row>
    <row r="24" spans="4:6" ht="15.5" thickBot="1" x14ac:dyDescent="0.9">
      <c r="D24" s="41">
        <v>23</v>
      </c>
      <c r="E24" s="78" t="s">
        <v>65</v>
      </c>
      <c r="F24" s="77">
        <v>188551</v>
      </c>
    </row>
    <row r="25" spans="4:6" ht="15.5" thickBot="1" x14ac:dyDescent="0.9">
      <c r="D25" s="41">
        <v>24</v>
      </c>
      <c r="E25" s="78" t="s">
        <v>66</v>
      </c>
      <c r="F25" s="77">
        <v>165010</v>
      </c>
    </row>
    <row r="26" spans="4:6" ht="15.5" thickBot="1" x14ac:dyDescent="0.9">
      <c r="D26" s="41">
        <v>25</v>
      </c>
      <c r="E26" s="78" t="s">
        <v>67</v>
      </c>
      <c r="F26" s="77">
        <v>148804</v>
      </c>
    </row>
  </sheetData>
  <conditionalFormatting sqref="D1:F1">
    <cfRule type="expression" dxfId="0" priority="1">
      <formula>MOD(ROW(),2)=0</formula>
    </cfRule>
    <cfRule type="expression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FF7-2FE3-463C-966E-3FBD51AB9069}">
  <sheetPr>
    <tabColor rgb="FF00B050"/>
  </sheetPr>
  <dimension ref="A1:L49"/>
  <sheetViews>
    <sheetView topLeftCell="A29" zoomScale="70" zoomScaleNormal="70" workbookViewId="0">
      <selection activeCell="L17" sqref="L17"/>
    </sheetView>
  </sheetViews>
  <sheetFormatPr defaultRowHeight="16" x14ac:dyDescent="0.8"/>
  <cols>
    <col min="3" max="3" width="9" customWidth="1"/>
    <col min="4" max="4" width="8.1328125" bestFit="1" customWidth="1"/>
    <col min="5" max="5" width="2.1328125" customWidth="1"/>
    <col min="6" max="6" width="29.86328125" style="33" customWidth="1"/>
    <col min="7" max="7" width="6.1328125" style="33" bestFit="1" customWidth="1"/>
    <col min="8" max="9" width="4.54296875" style="33" bestFit="1" customWidth="1"/>
    <col min="10" max="10" width="3.7265625" style="2" customWidth="1"/>
    <col min="11" max="11" width="8.54296875" style="2" bestFit="1" customWidth="1"/>
    <col min="12" max="12" width="8.86328125" style="2" bestFit="1" customWidth="1"/>
  </cols>
  <sheetData>
    <row r="1" spans="1:10" ht="125.45" customHeight="1" x14ac:dyDescent="0.75">
      <c r="A1" s="21" t="e">
        <f>ToC!#REF!</f>
        <v>#REF!</v>
      </c>
      <c r="F1" s="26" t="s">
        <v>15</v>
      </c>
      <c r="G1" s="27" t="s">
        <v>68</v>
      </c>
      <c r="H1" s="27" t="s">
        <v>69</v>
      </c>
      <c r="I1" s="28" t="s">
        <v>70</v>
      </c>
      <c r="J1" s="10"/>
    </row>
    <row r="2" spans="1:10" ht="16.149999999999999" customHeight="1" x14ac:dyDescent="0.8">
      <c r="F2" s="72" t="s">
        <v>30</v>
      </c>
      <c r="G2" s="29">
        <v>14</v>
      </c>
      <c r="H2" s="29">
        <v>5</v>
      </c>
      <c r="I2" s="30">
        <v>14</v>
      </c>
    </row>
    <row r="3" spans="1:10" x14ac:dyDescent="0.8">
      <c r="F3" s="72" t="s">
        <v>21</v>
      </c>
      <c r="G3" s="29">
        <v>5</v>
      </c>
      <c r="H3" s="31">
        <v>89</v>
      </c>
      <c r="I3" s="32">
        <v>104</v>
      </c>
    </row>
    <row r="4" spans="1:10" x14ac:dyDescent="0.8">
      <c r="F4" s="72" t="s">
        <v>19</v>
      </c>
      <c r="G4" s="31">
        <v>3</v>
      </c>
      <c r="H4" s="29">
        <v>22</v>
      </c>
      <c r="I4" s="32">
        <v>82</v>
      </c>
    </row>
    <row r="5" spans="1:10" x14ac:dyDescent="0.8">
      <c r="F5" s="72" t="s">
        <v>36</v>
      </c>
      <c r="G5" s="29">
        <v>20</v>
      </c>
      <c r="H5" s="29">
        <v>7</v>
      </c>
      <c r="I5" s="32">
        <v>68</v>
      </c>
    </row>
    <row r="6" spans="1:10" x14ac:dyDescent="0.8">
      <c r="F6" s="72" t="s">
        <v>60</v>
      </c>
      <c r="G6" s="29">
        <v>39</v>
      </c>
      <c r="H6" s="29">
        <v>26</v>
      </c>
      <c r="I6" s="32">
        <v>15</v>
      </c>
    </row>
    <row r="7" spans="1:10" x14ac:dyDescent="0.8">
      <c r="F7" s="72" t="s">
        <v>17</v>
      </c>
      <c r="G7" s="31">
        <v>1</v>
      </c>
      <c r="H7" s="29">
        <v>11</v>
      </c>
      <c r="I7" s="30">
        <v>5</v>
      </c>
    </row>
    <row r="8" spans="1:10" x14ac:dyDescent="0.8">
      <c r="F8" s="72" t="s">
        <v>57</v>
      </c>
      <c r="G8" s="29">
        <v>33</v>
      </c>
      <c r="H8" s="29">
        <v>48</v>
      </c>
      <c r="I8" s="30">
        <v>10</v>
      </c>
    </row>
    <row r="9" spans="1:10" x14ac:dyDescent="0.8">
      <c r="F9" s="72" t="s">
        <v>26</v>
      </c>
      <c r="G9" s="31">
        <v>10</v>
      </c>
      <c r="H9" s="31">
        <v>46</v>
      </c>
      <c r="I9" s="30" t="s">
        <v>71</v>
      </c>
    </row>
    <row r="10" spans="1:10" x14ac:dyDescent="0.8">
      <c r="F10" s="72" t="s">
        <v>28</v>
      </c>
      <c r="G10" s="29">
        <v>12</v>
      </c>
      <c r="H10" s="31">
        <v>8</v>
      </c>
      <c r="I10" s="32">
        <v>18</v>
      </c>
    </row>
    <row r="11" spans="1:10" x14ac:dyDescent="0.8">
      <c r="F11" s="72" t="s">
        <v>23</v>
      </c>
      <c r="G11" s="29">
        <v>7</v>
      </c>
      <c r="H11" s="29">
        <v>4</v>
      </c>
      <c r="I11" s="30">
        <v>20</v>
      </c>
    </row>
    <row r="12" spans="1:10" x14ac:dyDescent="0.8">
      <c r="F12" s="72" t="s">
        <v>20</v>
      </c>
      <c r="G12" s="29">
        <v>4</v>
      </c>
      <c r="H12" s="29">
        <v>19</v>
      </c>
      <c r="I12" s="30">
        <v>2</v>
      </c>
    </row>
    <row r="13" spans="1:10" x14ac:dyDescent="0.8">
      <c r="F13" s="72" t="s">
        <v>41</v>
      </c>
      <c r="G13" s="29">
        <v>25</v>
      </c>
      <c r="H13" s="31">
        <v>9</v>
      </c>
      <c r="I13" s="30" t="s">
        <v>71</v>
      </c>
    </row>
    <row r="14" spans="1:10" x14ac:dyDescent="0.8">
      <c r="F14" s="72" t="s">
        <v>66</v>
      </c>
      <c r="G14" s="29">
        <v>97</v>
      </c>
      <c r="H14" s="29" t="s">
        <v>71</v>
      </c>
      <c r="I14" s="32">
        <v>24</v>
      </c>
    </row>
    <row r="15" spans="1:10" x14ac:dyDescent="0.8">
      <c r="F15" s="72" t="s">
        <v>35</v>
      </c>
      <c r="G15" s="31">
        <v>19</v>
      </c>
      <c r="H15" s="31">
        <v>56</v>
      </c>
      <c r="I15" s="30">
        <v>16</v>
      </c>
    </row>
    <row r="16" spans="1:10" x14ac:dyDescent="0.8">
      <c r="F16" s="72" t="s">
        <v>29</v>
      </c>
      <c r="G16" s="29">
        <v>13</v>
      </c>
      <c r="H16" s="31">
        <v>2</v>
      </c>
      <c r="I16" s="30" t="s">
        <v>71</v>
      </c>
    </row>
    <row r="17" spans="6:9" x14ac:dyDescent="0.8">
      <c r="F17" s="72" t="s">
        <v>32</v>
      </c>
      <c r="G17" s="29">
        <v>16</v>
      </c>
      <c r="H17" s="29">
        <v>32</v>
      </c>
      <c r="I17" s="32">
        <v>80</v>
      </c>
    </row>
    <row r="18" spans="6:9" x14ac:dyDescent="0.8">
      <c r="F18" s="72" t="s">
        <v>61</v>
      </c>
      <c r="G18" s="29">
        <v>28</v>
      </c>
      <c r="H18" s="31">
        <v>93</v>
      </c>
      <c r="I18" s="32">
        <v>17</v>
      </c>
    </row>
    <row r="19" spans="6:9" x14ac:dyDescent="0.8">
      <c r="F19" s="72" t="s">
        <v>33</v>
      </c>
      <c r="G19" s="29">
        <v>17</v>
      </c>
      <c r="H19" s="31">
        <v>116</v>
      </c>
      <c r="I19" s="30">
        <v>38</v>
      </c>
    </row>
    <row r="20" spans="6:9" x14ac:dyDescent="0.8">
      <c r="F20" s="72" t="s">
        <v>62</v>
      </c>
      <c r="G20" s="29">
        <v>80</v>
      </c>
      <c r="H20" s="31">
        <v>179</v>
      </c>
      <c r="I20" s="32">
        <v>19</v>
      </c>
    </row>
    <row r="21" spans="6:9" x14ac:dyDescent="0.8">
      <c r="F21" s="72" t="s">
        <v>64</v>
      </c>
      <c r="G21" s="31">
        <v>63</v>
      </c>
      <c r="H21" s="31">
        <v>128</v>
      </c>
      <c r="I21" s="30">
        <v>22</v>
      </c>
    </row>
    <row r="22" spans="6:9" x14ac:dyDescent="0.8">
      <c r="F22" s="72" t="s">
        <v>40</v>
      </c>
      <c r="G22" s="29">
        <v>24</v>
      </c>
      <c r="H22" s="31">
        <v>62</v>
      </c>
      <c r="I22" s="30">
        <v>7</v>
      </c>
    </row>
    <row r="23" spans="6:9" x14ac:dyDescent="0.8">
      <c r="F23" s="72" t="s">
        <v>24</v>
      </c>
      <c r="G23" s="29">
        <v>8</v>
      </c>
      <c r="H23" s="29">
        <v>6</v>
      </c>
      <c r="I23" s="32">
        <v>109</v>
      </c>
    </row>
    <row r="24" spans="6:9" x14ac:dyDescent="0.8">
      <c r="F24" s="72" t="s">
        <v>22</v>
      </c>
      <c r="G24" s="31">
        <v>6</v>
      </c>
      <c r="H24" s="31">
        <v>23</v>
      </c>
      <c r="I24" s="30">
        <v>3</v>
      </c>
    </row>
    <row r="25" spans="6:9" x14ac:dyDescent="0.8">
      <c r="F25" s="72" t="s">
        <v>27</v>
      </c>
      <c r="G25" s="29">
        <v>11</v>
      </c>
      <c r="H25" s="29">
        <v>85</v>
      </c>
      <c r="I25" s="30">
        <v>1</v>
      </c>
    </row>
    <row r="26" spans="6:9" x14ac:dyDescent="0.8">
      <c r="F26" s="72" t="s">
        <v>55</v>
      </c>
      <c r="G26" s="29">
        <v>35</v>
      </c>
      <c r="H26" s="31">
        <v>133</v>
      </c>
      <c r="I26" s="30">
        <v>8</v>
      </c>
    </row>
    <row r="27" spans="6:9" x14ac:dyDescent="0.8">
      <c r="F27" s="72" t="s">
        <v>38</v>
      </c>
      <c r="G27" s="31">
        <v>22</v>
      </c>
      <c r="H27" s="31">
        <v>68</v>
      </c>
      <c r="I27" s="30">
        <v>84</v>
      </c>
    </row>
    <row r="28" spans="6:9" x14ac:dyDescent="0.8">
      <c r="F28" s="72" t="s">
        <v>31</v>
      </c>
      <c r="G28" s="29">
        <v>15</v>
      </c>
      <c r="H28" s="31">
        <v>37</v>
      </c>
      <c r="I28" s="30">
        <v>4</v>
      </c>
    </row>
    <row r="29" spans="6:9" x14ac:dyDescent="0.8">
      <c r="F29" s="72" t="s">
        <v>51</v>
      </c>
      <c r="G29" s="31">
        <v>34</v>
      </c>
      <c r="H29" s="31">
        <v>25</v>
      </c>
      <c r="I29" s="30">
        <v>13</v>
      </c>
    </row>
    <row r="30" spans="6:9" x14ac:dyDescent="0.8">
      <c r="F30" s="72" t="s">
        <v>58</v>
      </c>
      <c r="G30" s="31">
        <v>50</v>
      </c>
      <c r="H30" s="31">
        <v>245</v>
      </c>
      <c r="I30" s="30">
        <v>11</v>
      </c>
    </row>
    <row r="31" spans="6:9" x14ac:dyDescent="0.8">
      <c r="F31" s="72" t="s">
        <v>59</v>
      </c>
      <c r="G31" s="31">
        <v>46</v>
      </c>
      <c r="H31" s="29">
        <v>115</v>
      </c>
      <c r="I31" s="30">
        <v>12</v>
      </c>
    </row>
    <row r="32" spans="6:9" x14ac:dyDescent="0.8">
      <c r="F32" s="72" t="s">
        <v>67</v>
      </c>
      <c r="G32" s="31">
        <v>29</v>
      </c>
      <c r="H32" s="31">
        <v>59</v>
      </c>
      <c r="I32" s="30">
        <v>25</v>
      </c>
    </row>
    <row r="33" spans="6:9" x14ac:dyDescent="0.8">
      <c r="F33" s="72" t="s">
        <v>18</v>
      </c>
      <c r="G33" s="29">
        <v>2</v>
      </c>
      <c r="H33" s="29">
        <v>1</v>
      </c>
      <c r="I33" s="32">
        <v>63</v>
      </c>
    </row>
    <row r="34" spans="6:9" x14ac:dyDescent="0.8">
      <c r="F34" s="72" t="s">
        <v>39</v>
      </c>
      <c r="G34" s="29">
        <v>23</v>
      </c>
      <c r="H34" s="29">
        <v>10</v>
      </c>
      <c r="I34" s="32" t="s">
        <v>71</v>
      </c>
    </row>
    <row r="35" spans="6:9" x14ac:dyDescent="0.8">
      <c r="F35" s="72" t="s">
        <v>56</v>
      </c>
      <c r="G35" s="31">
        <v>30</v>
      </c>
      <c r="H35" s="31">
        <v>43</v>
      </c>
      <c r="I35" s="30">
        <v>9</v>
      </c>
    </row>
    <row r="36" spans="6:9" x14ac:dyDescent="0.8">
      <c r="F36" s="72" t="s">
        <v>34</v>
      </c>
      <c r="G36" s="29">
        <v>18</v>
      </c>
      <c r="H36" s="29">
        <v>20</v>
      </c>
      <c r="I36" s="32">
        <v>26</v>
      </c>
    </row>
    <row r="37" spans="6:9" x14ac:dyDescent="0.8">
      <c r="F37" s="72" t="s">
        <v>37</v>
      </c>
      <c r="G37" s="29">
        <v>21</v>
      </c>
      <c r="H37" s="31">
        <v>78</v>
      </c>
      <c r="I37" s="32">
        <v>58</v>
      </c>
    </row>
    <row r="38" spans="6:9" x14ac:dyDescent="0.8">
      <c r="F38" s="72" t="s">
        <v>25</v>
      </c>
      <c r="G38" s="29">
        <v>9</v>
      </c>
      <c r="H38" s="29">
        <v>3</v>
      </c>
      <c r="I38" s="30">
        <v>6</v>
      </c>
    </row>
    <row r="39" spans="6:9" x14ac:dyDescent="0.8">
      <c r="F39" s="72" t="s">
        <v>65</v>
      </c>
      <c r="G39" s="31">
        <v>61</v>
      </c>
      <c r="H39" s="31">
        <v>108</v>
      </c>
      <c r="I39" s="30">
        <v>23</v>
      </c>
    </row>
    <row r="40" spans="6:9" x14ac:dyDescent="0.8">
      <c r="F40" s="72" t="s">
        <v>63</v>
      </c>
      <c r="G40" s="31">
        <v>56</v>
      </c>
      <c r="H40" s="31">
        <v>57</v>
      </c>
      <c r="I40" s="30">
        <v>21</v>
      </c>
    </row>
    <row r="41" spans="6:9" x14ac:dyDescent="0.8">
      <c r="F41" s="72" t="s">
        <v>42</v>
      </c>
      <c r="G41" s="29">
        <v>31</v>
      </c>
      <c r="H41" s="73">
        <v>12</v>
      </c>
      <c r="I41" s="73" t="s">
        <v>71</v>
      </c>
    </row>
    <row r="42" spans="6:9" x14ac:dyDescent="0.8">
      <c r="F42" s="72" t="s">
        <v>43</v>
      </c>
      <c r="G42" s="29">
        <v>36</v>
      </c>
      <c r="H42" s="73">
        <v>13</v>
      </c>
      <c r="I42" s="73" t="s">
        <v>71</v>
      </c>
    </row>
    <row r="43" spans="6:9" x14ac:dyDescent="0.8">
      <c r="F43" s="72" t="s">
        <v>44</v>
      </c>
      <c r="G43" s="29">
        <v>37</v>
      </c>
      <c r="H43" s="73">
        <v>14</v>
      </c>
      <c r="I43" s="73" t="s">
        <v>71</v>
      </c>
    </row>
    <row r="44" spans="6:9" x14ac:dyDescent="0.8">
      <c r="F44" s="72" t="s">
        <v>45</v>
      </c>
      <c r="G44" s="29">
        <v>38</v>
      </c>
      <c r="H44" s="73">
        <v>15</v>
      </c>
      <c r="I44" s="73" t="s">
        <v>71</v>
      </c>
    </row>
    <row r="45" spans="6:9" x14ac:dyDescent="0.8">
      <c r="F45" s="72" t="s">
        <v>46</v>
      </c>
      <c r="G45" s="29">
        <v>44</v>
      </c>
      <c r="H45" s="73">
        <v>16</v>
      </c>
      <c r="I45" s="73" t="s">
        <v>71</v>
      </c>
    </row>
    <row r="46" spans="6:9" x14ac:dyDescent="0.8">
      <c r="F46" s="72" t="s">
        <v>47</v>
      </c>
      <c r="G46" s="29">
        <v>42</v>
      </c>
      <c r="H46" s="73">
        <v>17</v>
      </c>
      <c r="I46" s="73" t="s">
        <v>71</v>
      </c>
    </row>
    <row r="47" spans="6:9" x14ac:dyDescent="0.8">
      <c r="F47" s="72" t="s">
        <v>48</v>
      </c>
      <c r="G47" s="29">
        <v>43</v>
      </c>
      <c r="H47" s="73">
        <v>18</v>
      </c>
      <c r="I47" s="73" t="s">
        <v>71</v>
      </c>
    </row>
    <row r="48" spans="6:9" x14ac:dyDescent="0.8">
      <c r="F48" s="72" t="s">
        <v>49</v>
      </c>
      <c r="G48" s="29">
        <v>32</v>
      </c>
      <c r="H48" s="73">
        <v>21</v>
      </c>
      <c r="I48" s="73">
        <v>33</v>
      </c>
    </row>
    <row r="49" spans="6:9" x14ac:dyDescent="0.8">
      <c r="F49" s="72" t="s">
        <v>50</v>
      </c>
      <c r="G49" s="29">
        <v>47</v>
      </c>
      <c r="H49" s="73">
        <v>24</v>
      </c>
      <c r="I49" s="73" t="s">
        <v>71</v>
      </c>
    </row>
  </sheetData>
  <sortState xmlns:xlrd2="http://schemas.microsoft.com/office/spreadsheetml/2017/richdata2" ref="F2:I40">
    <sortCondition ref="F2:F40"/>
  </sortState>
  <phoneticPr fontId="1" type="noConversion"/>
  <conditionalFormatting sqref="J2:J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3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E49-92D0-4B44-ADCA-BA00BB47B23D}">
  <sheetPr>
    <tabColor rgb="FF00B050"/>
  </sheetPr>
  <dimension ref="A1:C7"/>
  <sheetViews>
    <sheetView workbookViewId="0">
      <selection activeCell="G21" sqref="G21"/>
    </sheetView>
  </sheetViews>
  <sheetFormatPr defaultRowHeight="14.75" x14ac:dyDescent="0.75"/>
  <cols>
    <col min="1" max="1" width="14.1328125" customWidth="1"/>
    <col min="3" max="3" width="15.86328125" bestFit="1" customWidth="1"/>
  </cols>
  <sheetData>
    <row r="1" spans="1:3" ht="108.75" x14ac:dyDescent="0.75">
      <c r="A1" s="20" t="str">
        <f>ToC!A1</f>
        <v>Figure 2. Percentage of Total Tonnage Handled by U.S. Ports by Coast, 2023</v>
      </c>
      <c r="B1" t="s">
        <v>72</v>
      </c>
      <c r="C1" t="s">
        <v>73</v>
      </c>
    </row>
    <row r="2" spans="1:3" x14ac:dyDescent="0.75">
      <c r="B2" t="s">
        <v>74</v>
      </c>
      <c r="C2">
        <v>494134567</v>
      </c>
    </row>
    <row r="3" spans="1:3" x14ac:dyDescent="0.75">
      <c r="B3" t="s">
        <v>75</v>
      </c>
      <c r="C3">
        <v>167533602</v>
      </c>
    </row>
    <row r="4" spans="1:3" x14ac:dyDescent="0.75">
      <c r="B4" t="s">
        <v>76</v>
      </c>
      <c r="C4">
        <v>1353625039</v>
      </c>
    </row>
    <row r="5" spans="1:3" x14ac:dyDescent="0.75">
      <c r="B5" t="s">
        <v>77</v>
      </c>
      <c r="C5">
        <v>203967095</v>
      </c>
    </row>
    <row r="6" spans="1:3" x14ac:dyDescent="0.75">
      <c r="B6" t="s">
        <v>78</v>
      </c>
      <c r="C6">
        <v>85090251</v>
      </c>
    </row>
    <row r="7" spans="1:3" x14ac:dyDescent="0.75">
      <c r="B7" t="s">
        <v>79</v>
      </c>
      <c r="C7">
        <v>297541903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24AF-7B90-4573-89C4-250DE17AFA95}">
  <sheetPr>
    <tabColor rgb="FF00B050"/>
  </sheetPr>
  <dimension ref="A1:C7"/>
  <sheetViews>
    <sheetView workbookViewId="0">
      <selection activeCell="C2" sqref="C2:C7"/>
    </sheetView>
  </sheetViews>
  <sheetFormatPr defaultRowHeight="14.75" x14ac:dyDescent="0.75"/>
  <cols>
    <col min="1" max="1" width="16.54296875" bestFit="1" customWidth="1"/>
    <col min="3" max="3" width="15.86328125" bestFit="1" customWidth="1"/>
  </cols>
  <sheetData>
    <row r="1" spans="1:3" ht="108.75" x14ac:dyDescent="0.75">
      <c r="A1" s="20" t="str">
        <f>ToC!A3</f>
        <v>Figure 4. Percentage of Dry Bulk Tonnage Handled by U.S. Ports by Coast, 2023</v>
      </c>
      <c r="B1" t="s">
        <v>72</v>
      </c>
      <c r="C1" t="s">
        <v>73</v>
      </c>
    </row>
    <row r="2" spans="1:3" x14ac:dyDescent="0.75">
      <c r="B2" t="s">
        <v>74</v>
      </c>
      <c r="C2">
        <v>115847711</v>
      </c>
    </row>
    <row r="3" spans="1:3" x14ac:dyDescent="0.75">
      <c r="B3" t="s">
        <v>75</v>
      </c>
      <c r="C3">
        <v>161416157</v>
      </c>
    </row>
    <row r="4" spans="1:3" x14ac:dyDescent="0.75">
      <c r="B4" t="s">
        <v>76</v>
      </c>
      <c r="C4">
        <v>363564349</v>
      </c>
    </row>
    <row r="5" spans="1:3" x14ac:dyDescent="0.75">
      <c r="B5" t="s">
        <v>77</v>
      </c>
      <c r="C5">
        <v>173478792</v>
      </c>
    </row>
    <row r="6" spans="1:3" x14ac:dyDescent="0.75">
      <c r="B6" t="s">
        <v>78</v>
      </c>
      <c r="C6">
        <v>19561830</v>
      </c>
    </row>
    <row r="7" spans="1:3" x14ac:dyDescent="0.75">
      <c r="B7" t="s">
        <v>79</v>
      </c>
      <c r="C7">
        <v>76953784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96E-566B-4EE6-890E-A94453965660}">
  <sheetPr>
    <tabColor rgb="FF00B050"/>
  </sheetPr>
  <dimension ref="A1:C7"/>
  <sheetViews>
    <sheetView workbookViewId="0">
      <selection activeCell="C6" sqref="C6:C7"/>
    </sheetView>
  </sheetViews>
  <sheetFormatPr defaultRowHeight="14.75" x14ac:dyDescent="0.75"/>
  <cols>
    <col min="1" max="1" width="16.54296875" bestFit="1" customWidth="1"/>
    <col min="3" max="3" width="15.86328125" bestFit="1" customWidth="1"/>
  </cols>
  <sheetData>
    <row r="1" spans="1:3" ht="77.75" x14ac:dyDescent="0.75">
      <c r="A1" s="20" t="str">
        <f>ToC!A5</f>
        <v>Figure 6. Percentage of TEUs Handled by U.S. Ports by Coast, 2023</v>
      </c>
      <c r="B1" t="s">
        <v>72</v>
      </c>
      <c r="C1" t="s">
        <v>73</v>
      </c>
    </row>
    <row r="2" spans="1:3" x14ac:dyDescent="0.75">
      <c r="B2" t="s">
        <v>74</v>
      </c>
      <c r="C2">
        <v>18325438</v>
      </c>
    </row>
    <row r="3" spans="1:3" x14ac:dyDescent="0.75">
      <c r="B3" t="s">
        <v>75</v>
      </c>
      <c r="C3">
        <v>1903</v>
      </c>
    </row>
    <row r="4" spans="1:3" x14ac:dyDescent="0.75">
      <c r="B4" t="s">
        <v>76</v>
      </c>
      <c r="C4">
        <v>4391731</v>
      </c>
    </row>
    <row r="5" spans="1:3" x14ac:dyDescent="0.75">
      <c r="B5" t="s">
        <v>77</v>
      </c>
      <c r="C5">
        <v>0</v>
      </c>
    </row>
    <row r="6" spans="1:3" x14ac:dyDescent="0.75">
      <c r="B6" t="s">
        <v>78</v>
      </c>
      <c r="C6">
        <v>2760283</v>
      </c>
    </row>
    <row r="7" spans="1:3" x14ac:dyDescent="0.75">
      <c r="B7" t="s">
        <v>79</v>
      </c>
      <c r="C7">
        <v>15132998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29B-0240-4000-9AAE-17660A985BE8}">
  <sheetPr>
    <tabColor rgb="FF00B050"/>
  </sheetPr>
  <dimension ref="A1:AE712"/>
  <sheetViews>
    <sheetView workbookViewId="0">
      <selection activeCell="E2" sqref="E2"/>
    </sheetView>
  </sheetViews>
  <sheetFormatPr defaultRowHeight="14.75" x14ac:dyDescent="0.75"/>
  <cols>
    <col min="1" max="1" width="14.1328125" customWidth="1"/>
    <col min="4" max="4" width="26.1328125" bestFit="1" customWidth="1"/>
    <col min="5" max="11" width="9.86328125" bestFit="1" customWidth="1"/>
    <col min="23" max="23" width="26.1328125" bestFit="1" customWidth="1"/>
    <col min="24" max="24" width="15" bestFit="1" customWidth="1"/>
    <col min="25" max="26" width="9.7265625" bestFit="1" customWidth="1"/>
    <col min="27" max="27" width="8.7265625" bestFit="1" customWidth="1"/>
    <col min="28" max="28" width="9.7265625" bestFit="1" customWidth="1"/>
    <col min="29" max="29" width="8.7265625" bestFit="1" customWidth="1"/>
    <col min="30" max="30" width="9.7265625" bestFit="1" customWidth="1"/>
    <col min="31" max="31" width="10.26953125" bestFit="1" customWidth="1"/>
    <col min="32" max="32" width="8.40625" bestFit="1" customWidth="1"/>
    <col min="33" max="35" width="9.40625" bestFit="1" customWidth="1"/>
    <col min="36" max="44" width="8.40625" bestFit="1" customWidth="1"/>
    <col min="45" max="47" width="9.40625" bestFit="1" customWidth="1"/>
    <col min="48" max="56" width="8.40625" bestFit="1" customWidth="1"/>
    <col min="57" max="59" width="9.40625" bestFit="1" customWidth="1"/>
    <col min="60" max="68" width="8.40625" bestFit="1" customWidth="1"/>
    <col min="69" max="71" width="9.40625" bestFit="1" customWidth="1"/>
    <col min="72" max="80" width="8.40625" bestFit="1" customWidth="1"/>
    <col min="81" max="83" width="9.40625" bestFit="1" customWidth="1"/>
    <col min="84" max="92" width="8.40625" bestFit="1" customWidth="1"/>
    <col min="93" max="95" width="9.40625" bestFit="1" customWidth="1"/>
    <col min="96" max="102" width="8.40625" bestFit="1" customWidth="1"/>
    <col min="103" max="103" width="10.26953125" bestFit="1" customWidth="1"/>
  </cols>
  <sheetData>
    <row r="1" spans="1:31" ht="36.75" x14ac:dyDescent="0.75">
      <c r="A1" s="24" t="str">
        <f>ToC!A8</f>
        <v>Figure 8. TEU Empty Imports by Port, 2022 - 2025</v>
      </c>
      <c r="O1" s="34" t="s">
        <v>15</v>
      </c>
      <c r="P1" s="34" t="s">
        <v>80</v>
      </c>
      <c r="Q1" s="34" t="s">
        <v>81</v>
      </c>
      <c r="R1" s="46" t="s">
        <v>82</v>
      </c>
      <c r="S1" s="47" t="s">
        <v>83</v>
      </c>
      <c r="T1" t="s">
        <v>84</v>
      </c>
      <c r="W1" s="7" t="s">
        <v>85</v>
      </c>
      <c r="X1" s="7" t="s">
        <v>86</v>
      </c>
    </row>
    <row r="2" spans="1:31" x14ac:dyDescent="0.75">
      <c r="D2" t="s">
        <v>87</v>
      </c>
      <c r="O2" t="s">
        <v>88</v>
      </c>
      <c r="P2" t="s">
        <v>89</v>
      </c>
      <c r="Q2" t="s">
        <v>90</v>
      </c>
      <c r="R2" s="48">
        <v>43466</v>
      </c>
      <c r="S2" s="49">
        <v>8120</v>
      </c>
      <c r="T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</row>
    <row r="3" spans="1:31" x14ac:dyDescent="0.75">
      <c r="D3" t="s">
        <v>100</v>
      </c>
      <c r="E3" s="45">
        <v>2019</v>
      </c>
      <c r="F3" s="45" t="s">
        <v>93</v>
      </c>
      <c r="G3" s="45" t="s">
        <v>94</v>
      </c>
      <c r="H3" s="45" t="s">
        <v>95</v>
      </c>
      <c r="I3" s="45" t="s">
        <v>96</v>
      </c>
      <c r="J3" s="45" t="s">
        <v>97</v>
      </c>
      <c r="K3" s="45" t="s">
        <v>101</v>
      </c>
      <c r="O3" t="s">
        <v>88</v>
      </c>
      <c r="P3" t="s">
        <v>89</v>
      </c>
      <c r="Q3" t="s">
        <v>90</v>
      </c>
      <c r="R3" s="48">
        <v>43497</v>
      </c>
      <c r="S3" s="49">
        <v>6510</v>
      </c>
      <c r="T3" t="s">
        <v>91</v>
      </c>
    </row>
    <row r="4" spans="1:31" x14ac:dyDescent="0.75">
      <c r="D4" t="s">
        <v>88</v>
      </c>
      <c r="E4" s="71">
        <v>80262</v>
      </c>
      <c r="F4" s="71">
        <v>59963</v>
      </c>
      <c r="G4" s="71">
        <v>68546</v>
      </c>
      <c r="H4" s="71">
        <v>24684</v>
      </c>
      <c r="I4" s="71">
        <v>27735</v>
      </c>
      <c r="J4" s="71">
        <v>24052</v>
      </c>
      <c r="K4" s="71">
        <v>16598</v>
      </c>
      <c r="O4" t="s">
        <v>88</v>
      </c>
      <c r="P4" t="s">
        <v>89</v>
      </c>
      <c r="Q4" t="s">
        <v>90</v>
      </c>
      <c r="R4" s="48">
        <v>43525</v>
      </c>
      <c r="S4" s="49">
        <v>6095</v>
      </c>
      <c r="T4" t="s">
        <v>91</v>
      </c>
    </row>
    <row r="5" spans="1:31" x14ac:dyDescent="0.75">
      <c r="D5" t="s">
        <v>102</v>
      </c>
      <c r="E5" s="71">
        <v>252542</v>
      </c>
      <c r="F5" s="71">
        <v>236203</v>
      </c>
      <c r="G5" s="71">
        <v>126051</v>
      </c>
      <c r="H5" s="71">
        <v>100805</v>
      </c>
      <c r="I5" s="71">
        <v>164727</v>
      </c>
      <c r="J5" s="71">
        <v>171784</v>
      </c>
      <c r="K5" s="71">
        <v>143215</v>
      </c>
      <c r="O5" t="s">
        <v>88</v>
      </c>
      <c r="P5" t="s">
        <v>89</v>
      </c>
      <c r="Q5" t="s">
        <v>90</v>
      </c>
      <c r="R5" s="48">
        <v>43556</v>
      </c>
      <c r="S5" s="49">
        <v>7682</v>
      </c>
      <c r="T5" t="s">
        <v>91</v>
      </c>
      <c r="W5" s="7" t="s">
        <v>100</v>
      </c>
    </row>
    <row r="6" spans="1:31" x14ac:dyDescent="0.75">
      <c r="D6" t="s">
        <v>103</v>
      </c>
      <c r="E6" s="71">
        <v>74707</v>
      </c>
      <c r="F6" s="71">
        <v>146371</v>
      </c>
      <c r="G6" s="71">
        <v>154290</v>
      </c>
      <c r="H6" s="71">
        <v>168209</v>
      </c>
      <c r="I6" s="71">
        <v>180946</v>
      </c>
      <c r="J6" s="71">
        <v>171094</v>
      </c>
      <c r="K6" s="71">
        <v>104199</v>
      </c>
      <c r="O6" t="s">
        <v>88</v>
      </c>
      <c r="P6" t="s">
        <v>89</v>
      </c>
      <c r="Q6" t="s">
        <v>90</v>
      </c>
      <c r="R6" s="48">
        <v>43586</v>
      </c>
      <c r="S6" s="49">
        <v>6175</v>
      </c>
      <c r="T6" t="s">
        <v>91</v>
      </c>
      <c r="W6" s="8" t="s">
        <v>88</v>
      </c>
      <c r="X6">
        <v>80262</v>
      </c>
      <c r="Y6">
        <v>59963</v>
      </c>
      <c r="Z6">
        <v>68546</v>
      </c>
      <c r="AA6">
        <v>24684</v>
      </c>
      <c r="AB6">
        <v>27735</v>
      </c>
      <c r="AC6">
        <v>24052</v>
      </c>
      <c r="AD6">
        <v>16598</v>
      </c>
      <c r="AE6">
        <v>301840</v>
      </c>
    </row>
    <row r="7" spans="1:31" x14ac:dyDescent="0.75">
      <c r="D7" t="s">
        <v>104</v>
      </c>
      <c r="E7" s="71">
        <v>149578.5</v>
      </c>
      <c r="F7" s="71">
        <v>49310.850000000006</v>
      </c>
      <c r="G7" s="71">
        <v>26706.650000000005</v>
      </c>
      <c r="H7" s="71">
        <v>39579.950000000004</v>
      </c>
      <c r="I7" s="71">
        <v>28733.300000000003</v>
      </c>
      <c r="J7" s="71">
        <v>7529.3000000000011</v>
      </c>
      <c r="K7" s="71">
        <v>2958</v>
      </c>
      <c r="O7" t="s">
        <v>88</v>
      </c>
      <c r="P7" t="s">
        <v>89</v>
      </c>
      <c r="Q7" t="s">
        <v>90</v>
      </c>
      <c r="R7" s="48">
        <v>43617</v>
      </c>
      <c r="S7" s="49">
        <v>8371</v>
      </c>
      <c r="T7" t="s">
        <v>91</v>
      </c>
      <c r="W7" s="8" t="s">
        <v>102</v>
      </c>
      <c r="X7">
        <v>252542</v>
      </c>
      <c r="Y7">
        <v>236203</v>
      </c>
      <c r="Z7">
        <v>126051</v>
      </c>
      <c r="AA7">
        <v>100805</v>
      </c>
      <c r="AB7">
        <v>164727</v>
      </c>
      <c r="AC7">
        <v>171784</v>
      </c>
      <c r="AD7">
        <v>143215</v>
      </c>
      <c r="AE7">
        <v>1195327</v>
      </c>
    </row>
    <row r="8" spans="1:31" x14ac:dyDescent="0.75">
      <c r="D8" t="s">
        <v>105</v>
      </c>
      <c r="E8" s="71">
        <v>157774</v>
      </c>
      <c r="F8" s="71">
        <v>105337</v>
      </c>
      <c r="G8" s="71">
        <v>90009</v>
      </c>
      <c r="H8" s="71">
        <v>71553</v>
      </c>
      <c r="I8" s="71">
        <v>76958</v>
      </c>
      <c r="J8" s="71">
        <v>72192</v>
      </c>
      <c r="K8" s="71">
        <v>48199</v>
      </c>
      <c r="O8" t="s">
        <v>88</v>
      </c>
      <c r="P8" t="s">
        <v>89</v>
      </c>
      <c r="Q8" t="s">
        <v>90</v>
      </c>
      <c r="R8" s="48">
        <v>43647</v>
      </c>
      <c r="S8" s="49">
        <v>7535</v>
      </c>
      <c r="T8" t="s">
        <v>91</v>
      </c>
      <c r="W8" s="8" t="s">
        <v>103</v>
      </c>
      <c r="X8">
        <v>74707</v>
      </c>
      <c r="Y8">
        <v>146371</v>
      </c>
      <c r="Z8">
        <v>154290</v>
      </c>
      <c r="AA8">
        <v>168209</v>
      </c>
      <c r="AB8">
        <v>180946</v>
      </c>
      <c r="AC8">
        <v>171094</v>
      </c>
      <c r="AD8">
        <v>104199</v>
      </c>
      <c r="AE8">
        <v>999816</v>
      </c>
    </row>
    <row r="9" spans="1:31" x14ac:dyDescent="0.75">
      <c r="D9" t="s">
        <v>106</v>
      </c>
      <c r="E9" s="71">
        <v>191257</v>
      </c>
      <c r="F9" s="71">
        <v>192249</v>
      </c>
      <c r="G9" s="71">
        <v>166852</v>
      </c>
      <c r="H9" s="71">
        <v>167198</v>
      </c>
      <c r="I9" s="71">
        <v>172390.25</v>
      </c>
      <c r="J9" s="71">
        <v>163380</v>
      </c>
      <c r="K9" s="71">
        <v>96245.25</v>
      </c>
      <c r="O9" t="s">
        <v>88</v>
      </c>
      <c r="P9" t="s">
        <v>89</v>
      </c>
      <c r="Q9" t="s">
        <v>90</v>
      </c>
      <c r="R9" s="48">
        <v>43678</v>
      </c>
      <c r="S9" s="49">
        <v>7599</v>
      </c>
      <c r="T9" t="s">
        <v>91</v>
      </c>
      <c r="W9" s="8" t="s">
        <v>104</v>
      </c>
      <c r="X9">
        <v>149578.5</v>
      </c>
      <c r="Y9">
        <v>49310.850000000006</v>
      </c>
      <c r="Z9">
        <v>26706.650000000005</v>
      </c>
      <c r="AA9">
        <v>39579.950000000004</v>
      </c>
      <c r="AB9">
        <v>28733.300000000003</v>
      </c>
      <c r="AC9">
        <v>7529.3000000000011</v>
      </c>
      <c r="AD9">
        <v>2958</v>
      </c>
      <c r="AE9">
        <v>304396.55</v>
      </c>
    </row>
    <row r="10" spans="1:31" x14ac:dyDescent="0.75">
      <c r="D10" t="s">
        <v>107</v>
      </c>
      <c r="E10" s="71">
        <v>17508</v>
      </c>
      <c r="F10" s="71">
        <v>25640</v>
      </c>
      <c r="G10" s="71">
        <v>26784</v>
      </c>
      <c r="H10" s="71">
        <v>20638</v>
      </c>
      <c r="I10" s="71">
        <v>22721</v>
      </c>
      <c r="J10" s="71">
        <v>23553</v>
      </c>
      <c r="K10" s="71">
        <v>10185</v>
      </c>
      <c r="O10" t="s">
        <v>88</v>
      </c>
      <c r="P10" t="s">
        <v>89</v>
      </c>
      <c r="Q10" t="s">
        <v>90</v>
      </c>
      <c r="R10" s="48">
        <v>43709</v>
      </c>
      <c r="S10" s="49">
        <v>3935</v>
      </c>
      <c r="T10" t="s">
        <v>91</v>
      </c>
      <c r="W10" s="8" t="s">
        <v>105</v>
      </c>
      <c r="X10">
        <v>157774</v>
      </c>
      <c r="Y10">
        <v>105337</v>
      </c>
      <c r="Z10">
        <v>90009</v>
      </c>
      <c r="AA10">
        <v>71553</v>
      </c>
      <c r="AB10">
        <v>76958</v>
      </c>
      <c r="AC10">
        <v>72192</v>
      </c>
      <c r="AD10">
        <v>48199</v>
      </c>
      <c r="AE10">
        <v>622022</v>
      </c>
    </row>
    <row r="11" spans="1:31" x14ac:dyDescent="0.75">
      <c r="D11" t="s">
        <v>108</v>
      </c>
      <c r="E11" s="71">
        <v>22677</v>
      </c>
      <c r="F11" s="71">
        <v>21538</v>
      </c>
      <c r="G11" s="71">
        <v>31365</v>
      </c>
      <c r="H11" s="71">
        <v>47273.75</v>
      </c>
      <c r="I11" s="71">
        <v>41185</v>
      </c>
      <c r="J11" s="71">
        <v>55786</v>
      </c>
      <c r="K11" s="71">
        <v>26593</v>
      </c>
      <c r="O11" t="s">
        <v>88</v>
      </c>
      <c r="P11" t="s">
        <v>89</v>
      </c>
      <c r="Q11" t="s">
        <v>90</v>
      </c>
      <c r="R11" s="48">
        <v>43739</v>
      </c>
      <c r="S11" s="49">
        <v>6914</v>
      </c>
      <c r="T11" t="s">
        <v>91</v>
      </c>
      <c r="W11" s="8" t="s">
        <v>106</v>
      </c>
      <c r="X11">
        <v>191257</v>
      </c>
      <c r="Y11">
        <v>192249</v>
      </c>
      <c r="Z11">
        <v>166852</v>
      </c>
      <c r="AA11">
        <v>167198</v>
      </c>
      <c r="AB11">
        <v>172390.25</v>
      </c>
      <c r="AC11">
        <v>163380</v>
      </c>
      <c r="AD11">
        <v>96245.25</v>
      </c>
      <c r="AE11">
        <v>1149571.5</v>
      </c>
    </row>
    <row r="12" spans="1:31" x14ac:dyDescent="0.75">
      <c r="D12" t="s">
        <v>109</v>
      </c>
      <c r="E12" s="71">
        <v>76202</v>
      </c>
      <c r="F12" s="71">
        <v>89983</v>
      </c>
      <c r="G12" s="71">
        <v>42705</v>
      </c>
      <c r="H12" s="71">
        <v>54291</v>
      </c>
      <c r="I12" s="71">
        <v>46311</v>
      </c>
      <c r="J12" s="71">
        <v>51503</v>
      </c>
      <c r="K12" s="71">
        <v>28706</v>
      </c>
      <c r="O12" t="s">
        <v>88</v>
      </c>
      <c r="P12" t="s">
        <v>89</v>
      </c>
      <c r="Q12" t="s">
        <v>90</v>
      </c>
      <c r="R12" s="48">
        <v>43770</v>
      </c>
      <c r="S12" s="49">
        <v>4955</v>
      </c>
      <c r="T12" t="s">
        <v>91</v>
      </c>
      <c r="W12" s="8" t="s">
        <v>107</v>
      </c>
      <c r="X12">
        <v>17508</v>
      </c>
      <c r="Y12">
        <v>25640</v>
      </c>
      <c r="Z12">
        <v>26784</v>
      </c>
      <c r="AA12">
        <v>20638</v>
      </c>
      <c r="AB12">
        <v>22721</v>
      </c>
      <c r="AC12">
        <v>23553</v>
      </c>
      <c r="AD12">
        <v>10185</v>
      </c>
      <c r="AE12">
        <v>147029</v>
      </c>
    </row>
    <row r="13" spans="1:31" x14ac:dyDescent="0.75">
      <c r="O13" t="s">
        <v>88</v>
      </c>
      <c r="P13" t="s">
        <v>89</v>
      </c>
      <c r="Q13" t="s">
        <v>90</v>
      </c>
      <c r="R13" s="48">
        <v>43800</v>
      </c>
      <c r="S13" s="49">
        <v>6371</v>
      </c>
      <c r="T13" t="s">
        <v>91</v>
      </c>
      <c r="W13" s="8" t="s">
        <v>108</v>
      </c>
      <c r="X13">
        <v>22677</v>
      </c>
      <c r="Y13">
        <v>21538</v>
      </c>
      <c r="Z13">
        <v>31365</v>
      </c>
      <c r="AA13">
        <v>47273.75</v>
      </c>
      <c r="AB13">
        <v>41185</v>
      </c>
      <c r="AC13">
        <v>55786</v>
      </c>
      <c r="AD13">
        <v>26593</v>
      </c>
      <c r="AE13">
        <v>246417.75</v>
      </c>
    </row>
    <row r="14" spans="1:31" x14ac:dyDescent="0.75">
      <c r="O14" t="s">
        <v>88</v>
      </c>
      <c r="P14" t="s">
        <v>89</v>
      </c>
      <c r="Q14" t="s">
        <v>90</v>
      </c>
      <c r="R14" s="48">
        <v>43831</v>
      </c>
      <c r="S14" s="49">
        <v>7098</v>
      </c>
      <c r="T14" t="s">
        <v>91</v>
      </c>
      <c r="W14" s="8" t="s">
        <v>109</v>
      </c>
      <c r="X14">
        <v>76202</v>
      </c>
      <c r="Y14">
        <v>89983</v>
      </c>
      <c r="Z14">
        <v>42705</v>
      </c>
      <c r="AA14">
        <v>54291</v>
      </c>
      <c r="AB14">
        <v>46311</v>
      </c>
      <c r="AC14">
        <v>51503</v>
      </c>
      <c r="AD14">
        <v>28706</v>
      </c>
      <c r="AE14">
        <v>389701</v>
      </c>
    </row>
    <row r="15" spans="1:31" x14ac:dyDescent="0.75">
      <c r="O15" t="s">
        <v>88</v>
      </c>
      <c r="P15" t="s">
        <v>89</v>
      </c>
      <c r="Q15" t="s">
        <v>90</v>
      </c>
      <c r="R15" s="48">
        <v>43862</v>
      </c>
      <c r="S15" s="49">
        <v>5684</v>
      </c>
      <c r="T15" t="s">
        <v>91</v>
      </c>
      <c r="W15" s="8" t="s">
        <v>99</v>
      </c>
      <c r="X15">
        <v>1022507.5</v>
      </c>
      <c r="Y15">
        <v>926594.85</v>
      </c>
      <c r="Z15">
        <v>733308.65</v>
      </c>
      <c r="AA15">
        <v>694231.7</v>
      </c>
      <c r="AB15">
        <v>761706.55</v>
      </c>
      <c r="AC15">
        <v>740873.3</v>
      </c>
      <c r="AD15">
        <v>476898.25</v>
      </c>
      <c r="AE15">
        <v>5356120.8</v>
      </c>
    </row>
    <row r="16" spans="1:31" x14ac:dyDescent="0.75">
      <c r="O16" t="s">
        <v>88</v>
      </c>
      <c r="P16" t="s">
        <v>89</v>
      </c>
      <c r="Q16" t="s">
        <v>90</v>
      </c>
      <c r="R16" s="48">
        <v>43891</v>
      </c>
      <c r="S16" s="49">
        <v>7625</v>
      </c>
      <c r="T16" t="s">
        <v>91</v>
      </c>
    </row>
    <row r="17" spans="12:25" x14ac:dyDescent="0.75">
      <c r="O17" t="s">
        <v>88</v>
      </c>
      <c r="P17" t="s">
        <v>89</v>
      </c>
      <c r="Q17" t="s">
        <v>90</v>
      </c>
      <c r="R17" s="48">
        <v>43922</v>
      </c>
      <c r="S17" s="49">
        <v>5178</v>
      </c>
      <c r="T17" t="s">
        <v>91</v>
      </c>
    </row>
    <row r="18" spans="12:25" x14ac:dyDescent="0.75">
      <c r="O18" t="s">
        <v>88</v>
      </c>
      <c r="P18" t="s">
        <v>89</v>
      </c>
      <c r="Q18" t="s">
        <v>90</v>
      </c>
      <c r="R18" s="48">
        <v>43952</v>
      </c>
      <c r="S18" s="49">
        <v>5262</v>
      </c>
      <c r="T18" t="s">
        <v>91</v>
      </c>
    </row>
    <row r="19" spans="12:25" x14ac:dyDescent="0.75">
      <c r="O19" t="s">
        <v>88</v>
      </c>
      <c r="P19" t="s">
        <v>89</v>
      </c>
      <c r="Q19" t="s">
        <v>90</v>
      </c>
      <c r="R19" s="48">
        <v>43983</v>
      </c>
      <c r="S19" s="49">
        <v>3762</v>
      </c>
      <c r="T19" t="s">
        <v>91</v>
      </c>
    </row>
    <row r="20" spans="12:25" x14ac:dyDescent="0.75">
      <c r="O20" t="s">
        <v>88</v>
      </c>
      <c r="P20" t="s">
        <v>89</v>
      </c>
      <c r="Q20" t="s">
        <v>90</v>
      </c>
      <c r="R20" s="48">
        <v>44013</v>
      </c>
      <c r="S20" s="49">
        <v>2676</v>
      </c>
      <c r="T20" t="s">
        <v>91</v>
      </c>
    </row>
    <row r="21" spans="12:25" x14ac:dyDescent="0.75">
      <c r="O21" t="s">
        <v>88</v>
      </c>
      <c r="P21" t="s">
        <v>89</v>
      </c>
      <c r="Q21" t="s">
        <v>90</v>
      </c>
      <c r="R21" s="48">
        <v>44044</v>
      </c>
      <c r="S21" s="49">
        <v>2230</v>
      </c>
      <c r="T21" t="s">
        <v>91</v>
      </c>
    </row>
    <row r="22" spans="12:25" x14ac:dyDescent="0.75">
      <c r="O22" t="s">
        <v>88</v>
      </c>
      <c r="P22" t="s">
        <v>89</v>
      </c>
      <c r="Q22" t="s">
        <v>90</v>
      </c>
      <c r="R22" s="48">
        <v>44075</v>
      </c>
      <c r="S22" s="49">
        <v>5653</v>
      </c>
      <c r="T22" t="s">
        <v>91</v>
      </c>
    </row>
    <row r="23" spans="12:25" x14ac:dyDescent="0.75">
      <c r="O23" t="s">
        <v>88</v>
      </c>
      <c r="P23" t="s">
        <v>89</v>
      </c>
      <c r="Q23" t="s">
        <v>90</v>
      </c>
      <c r="R23" s="48">
        <v>44105</v>
      </c>
      <c r="S23" s="49">
        <v>5824</v>
      </c>
      <c r="T23" t="s">
        <v>91</v>
      </c>
    </row>
    <row r="24" spans="12:25" x14ac:dyDescent="0.75">
      <c r="O24" t="s">
        <v>88</v>
      </c>
      <c r="P24" t="s">
        <v>89</v>
      </c>
      <c r="Q24" t="s">
        <v>90</v>
      </c>
      <c r="R24" s="48">
        <v>44136</v>
      </c>
      <c r="S24" s="49">
        <v>4161</v>
      </c>
      <c r="T24" t="s">
        <v>91</v>
      </c>
    </row>
    <row r="25" spans="12:25" x14ac:dyDescent="0.75">
      <c r="O25" t="s">
        <v>88</v>
      </c>
      <c r="P25" t="s">
        <v>89</v>
      </c>
      <c r="Q25" t="s">
        <v>90</v>
      </c>
      <c r="R25" s="48">
        <v>44166</v>
      </c>
      <c r="S25" s="49">
        <v>4810</v>
      </c>
      <c r="T25" t="s">
        <v>91</v>
      </c>
    </row>
    <row r="26" spans="12:25" x14ac:dyDescent="0.75">
      <c r="O26" t="s">
        <v>88</v>
      </c>
      <c r="P26" t="s">
        <v>89</v>
      </c>
      <c r="Q26" t="s">
        <v>90</v>
      </c>
      <c r="R26" s="48">
        <v>44197</v>
      </c>
      <c r="S26" s="49">
        <v>4626</v>
      </c>
      <c r="T26" t="s">
        <v>91</v>
      </c>
    </row>
    <row r="27" spans="12:25" x14ac:dyDescent="0.75">
      <c r="O27" t="s">
        <v>88</v>
      </c>
      <c r="P27" t="s">
        <v>89</v>
      </c>
      <c r="Q27" t="s">
        <v>90</v>
      </c>
      <c r="R27" s="48">
        <v>44228</v>
      </c>
      <c r="S27" s="49">
        <v>3666</v>
      </c>
      <c r="T27" t="s">
        <v>91</v>
      </c>
    </row>
    <row r="28" spans="12:25" x14ac:dyDescent="0.75">
      <c r="L28" s="1"/>
      <c r="M28" s="1"/>
      <c r="N28" s="1"/>
      <c r="O28" t="s">
        <v>88</v>
      </c>
      <c r="P28" t="s">
        <v>89</v>
      </c>
      <c r="Q28" t="s">
        <v>90</v>
      </c>
      <c r="R28" s="48">
        <v>44256</v>
      </c>
      <c r="S28" s="49">
        <v>8981</v>
      </c>
      <c r="T28" t="s">
        <v>91</v>
      </c>
      <c r="U28" s="1"/>
      <c r="V28" s="1"/>
      <c r="W28" s="1"/>
      <c r="X28" s="1"/>
      <c r="Y28" s="1"/>
    </row>
    <row r="29" spans="12:25" x14ac:dyDescent="0.75">
      <c r="O29" t="s">
        <v>88</v>
      </c>
      <c r="P29" t="s">
        <v>89</v>
      </c>
      <c r="Q29" t="s">
        <v>90</v>
      </c>
      <c r="R29" s="48">
        <v>44287</v>
      </c>
      <c r="S29" s="49">
        <v>4497</v>
      </c>
      <c r="T29" t="s">
        <v>91</v>
      </c>
    </row>
    <row r="30" spans="12:25" x14ac:dyDescent="0.75">
      <c r="O30" t="s">
        <v>88</v>
      </c>
      <c r="P30" t="s">
        <v>89</v>
      </c>
      <c r="Q30" t="s">
        <v>90</v>
      </c>
      <c r="R30" s="48">
        <v>44317</v>
      </c>
      <c r="S30" s="49">
        <v>6095</v>
      </c>
      <c r="T30" t="s">
        <v>91</v>
      </c>
    </row>
    <row r="31" spans="12:25" x14ac:dyDescent="0.75">
      <c r="O31" t="s">
        <v>88</v>
      </c>
      <c r="P31" t="s">
        <v>89</v>
      </c>
      <c r="Q31" t="s">
        <v>90</v>
      </c>
      <c r="R31" s="48">
        <v>44348</v>
      </c>
      <c r="S31" s="49">
        <v>9064</v>
      </c>
      <c r="T31" t="s">
        <v>91</v>
      </c>
    </row>
    <row r="32" spans="12:25" x14ac:dyDescent="0.75">
      <c r="O32" t="s">
        <v>88</v>
      </c>
      <c r="P32" t="s">
        <v>89</v>
      </c>
      <c r="Q32" t="s">
        <v>90</v>
      </c>
      <c r="R32" s="48">
        <v>44378</v>
      </c>
      <c r="S32" s="49">
        <v>5534</v>
      </c>
      <c r="T32" t="s">
        <v>91</v>
      </c>
    </row>
    <row r="33" spans="15:20" x14ac:dyDescent="0.75">
      <c r="O33" t="s">
        <v>88</v>
      </c>
      <c r="P33" t="s">
        <v>89</v>
      </c>
      <c r="Q33" t="s">
        <v>90</v>
      </c>
      <c r="R33" s="48">
        <v>44409</v>
      </c>
      <c r="S33" s="49">
        <v>3727</v>
      </c>
      <c r="T33" t="s">
        <v>91</v>
      </c>
    </row>
    <row r="34" spans="15:20" x14ac:dyDescent="0.75">
      <c r="O34" t="s">
        <v>88</v>
      </c>
      <c r="P34" t="s">
        <v>89</v>
      </c>
      <c r="Q34" t="s">
        <v>90</v>
      </c>
      <c r="R34" s="48">
        <v>44440</v>
      </c>
      <c r="S34" s="49">
        <v>2943</v>
      </c>
      <c r="T34" t="s">
        <v>91</v>
      </c>
    </row>
    <row r="35" spans="15:20" x14ac:dyDescent="0.75">
      <c r="O35" t="s">
        <v>88</v>
      </c>
      <c r="P35" t="s">
        <v>89</v>
      </c>
      <c r="Q35" t="s">
        <v>90</v>
      </c>
      <c r="R35" s="48">
        <v>44470</v>
      </c>
      <c r="S35" s="49">
        <v>5943</v>
      </c>
      <c r="T35" t="s">
        <v>91</v>
      </c>
    </row>
    <row r="36" spans="15:20" x14ac:dyDescent="0.75">
      <c r="O36" t="s">
        <v>88</v>
      </c>
      <c r="P36" t="s">
        <v>89</v>
      </c>
      <c r="Q36" t="s">
        <v>90</v>
      </c>
      <c r="R36" s="48">
        <v>44501</v>
      </c>
      <c r="S36" s="49">
        <v>7172</v>
      </c>
      <c r="T36" t="s">
        <v>91</v>
      </c>
    </row>
    <row r="37" spans="15:20" x14ac:dyDescent="0.75">
      <c r="O37" t="s">
        <v>88</v>
      </c>
      <c r="P37" t="s">
        <v>89</v>
      </c>
      <c r="Q37" t="s">
        <v>90</v>
      </c>
      <c r="R37" s="48">
        <v>44531</v>
      </c>
      <c r="S37" s="49">
        <v>6298</v>
      </c>
      <c r="T37" t="s">
        <v>91</v>
      </c>
    </row>
    <row r="38" spans="15:20" x14ac:dyDescent="0.75">
      <c r="O38" t="s">
        <v>88</v>
      </c>
      <c r="P38" t="s">
        <v>89</v>
      </c>
      <c r="Q38" t="s">
        <v>90</v>
      </c>
      <c r="R38" s="48">
        <v>44562</v>
      </c>
      <c r="S38" s="49">
        <v>2976</v>
      </c>
      <c r="T38" t="s">
        <v>91</v>
      </c>
    </row>
    <row r="39" spans="15:20" x14ac:dyDescent="0.75">
      <c r="O39" t="s">
        <v>88</v>
      </c>
      <c r="P39" t="s">
        <v>89</v>
      </c>
      <c r="Q39" t="s">
        <v>90</v>
      </c>
      <c r="R39" s="48">
        <v>44593</v>
      </c>
      <c r="S39" s="49">
        <v>1942</v>
      </c>
      <c r="T39" t="s">
        <v>91</v>
      </c>
    </row>
    <row r="40" spans="15:20" x14ac:dyDescent="0.75">
      <c r="O40" t="s">
        <v>88</v>
      </c>
      <c r="P40" t="s">
        <v>89</v>
      </c>
      <c r="Q40" t="s">
        <v>90</v>
      </c>
      <c r="R40" s="48">
        <v>44621</v>
      </c>
      <c r="S40" s="49">
        <v>2021</v>
      </c>
      <c r="T40" t="s">
        <v>91</v>
      </c>
    </row>
    <row r="41" spans="15:20" x14ac:dyDescent="0.75">
      <c r="O41" t="s">
        <v>88</v>
      </c>
      <c r="P41" t="s">
        <v>89</v>
      </c>
      <c r="Q41" t="s">
        <v>90</v>
      </c>
      <c r="R41" s="48">
        <v>44652</v>
      </c>
      <c r="S41" s="49">
        <v>1392</v>
      </c>
      <c r="T41" t="s">
        <v>91</v>
      </c>
    </row>
    <row r="42" spans="15:20" x14ac:dyDescent="0.75">
      <c r="O42" t="s">
        <v>88</v>
      </c>
      <c r="P42" t="s">
        <v>89</v>
      </c>
      <c r="Q42" t="s">
        <v>90</v>
      </c>
      <c r="R42" s="48">
        <v>44682</v>
      </c>
      <c r="S42" s="49">
        <v>1835</v>
      </c>
      <c r="T42" t="s">
        <v>91</v>
      </c>
    </row>
    <row r="43" spans="15:20" x14ac:dyDescent="0.75">
      <c r="O43" t="s">
        <v>88</v>
      </c>
      <c r="P43" t="s">
        <v>89</v>
      </c>
      <c r="Q43" t="s">
        <v>90</v>
      </c>
      <c r="R43" s="48">
        <v>44713</v>
      </c>
      <c r="S43" s="49">
        <v>1653</v>
      </c>
      <c r="T43" t="s">
        <v>91</v>
      </c>
    </row>
    <row r="44" spans="15:20" x14ac:dyDescent="0.75">
      <c r="O44" t="s">
        <v>88</v>
      </c>
      <c r="P44" t="s">
        <v>89</v>
      </c>
      <c r="Q44" t="s">
        <v>90</v>
      </c>
      <c r="R44" s="48">
        <v>44743</v>
      </c>
      <c r="S44" s="49">
        <v>1923</v>
      </c>
      <c r="T44" t="s">
        <v>91</v>
      </c>
    </row>
    <row r="45" spans="15:20" x14ac:dyDescent="0.75">
      <c r="O45" t="s">
        <v>88</v>
      </c>
      <c r="P45" t="s">
        <v>89</v>
      </c>
      <c r="Q45" t="s">
        <v>90</v>
      </c>
      <c r="R45" s="48">
        <v>44774</v>
      </c>
      <c r="S45" s="49">
        <v>2034</v>
      </c>
      <c r="T45" t="s">
        <v>91</v>
      </c>
    </row>
    <row r="46" spans="15:20" x14ac:dyDescent="0.75">
      <c r="O46" t="s">
        <v>88</v>
      </c>
      <c r="P46" t="s">
        <v>89</v>
      </c>
      <c r="Q46" t="s">
        <v>90</v>
      </c>
      <c r="R46" s="48">
        <v>44805</v>
      </c>
      <c r="S46" s="49">
        <v>2571</v>
      </c>
      <c r="T46" t="s">
        <v>91</v>
      </c>
    </row>
    <row r="47" spans="15:20" x14ac:dyDescent="0.75">
      <c r="O47" t="s">
        <v>88</v>
      </c>
      <c r="P47" t="s">
        <v>89</v>
      </c>
      <c r="Q47" t="s">
        <v>90</v>
      </c>
      <c r="R47" s="48">
        <v>44835</v>
      </c>
      <c r="S47" s="49">
        <v>2934</v>
      </c>
      <c r="T47" t="s">
        <v>91</v>
      </c>
    </row>
    <row r="48" spans="15:20" x14ac:dyDescent="0.75">
      <c r="O48" t="s">
        <v>88</v>
      </c>
      <c r="P48" t="s">
        <v>89</v>
      </c>
      <c r="Q48" t="s">
        <v>90</v>
      </c>
      <c r="R48" s="48">
        <v>44866</v>
      </c>
      <c r="S48" s="49">
        <v>2098</v>
      </c>
      <c r="T48" t="s">
        <v>91</v>
      </c>
    </row>
    <row r="49" spans="15:20" x14ac:dyDescent="0.75">
      <c r="O49" t="s">
        <v>88</v>
      </c>
      <c r="P49" t="s">
        <v>89</v>
      </c>
      <c r="Q49" t="s">
        <v>90</v>
      </c>
      <c r="R49" s="48">
        <v>44896</v>
      </c>
      <c r="S49" s="49">
        <v>1305</v>
      </c>
      <c r="T49" t="s">
        <v>91</v>
      </c>
    </row>
    <row r="50" spans="15:20" x14ac:dyDescent="0.75">
      <c r="O50" t="s">
        <v>88</v>
      </c>
      <c r="P50" t="s">
        <v>89</v>
      </c>
      <c r="Q50" t="s">
        <v>90</v>
      </c>
      <c r="R50" s="48">
        <v>44927</v>
      </c>
      <c r="S50" s="49">
        <v>1542</v>
      </c>
      <c r="T50" t="s">
        <v>91</v>
      </c>
    </row>
    <row r="51" spans="15:20" x14ac:dyDescent="0.75">
      <c r="O51" t="s">
        <v>88</v>
      </c>
      <c r="P51" t="s">
        <v>89</v>
      </c>
      <c r="Q51" t="s">
        <v>90</v>
      </c>
      <c r="R51" s="48">
        <v>44958</v>
      </c>
      <c r="S51" s="49">
        <v>3655</v>
      </c>
      <c r="T51" t="s">
        <v>91</v>
      </c>
    </row>
    <row r="52" spans="15:20" x14ac:dyDescent="0.75">
      <c r="O52" t="s">
        <v>88</v>
      </c>
      <c r="P52" t="s">
        <v>89</v>
      </c>
      <c r="Q52" t="s">
        <v>90</v>
      </c>
      <c r="R52" s="48">
        <v>44986</v>
      </c>
      <c r="S52" s="50">
        <v>2372</v>
      </c>
      <c r="T52" t="s">
        <v>91</v>
      </c>
    </row>
    <row r="53" spans="15:20" x14ac:dyDescent="0.75">
      <c r="O53" t="s">
        <v>88</v>
      </c>
      <c r="P53" t="s">
        <v>89</v>
      </c>
      <c r="Q53" t="s">
        <v>90</v>
      </c>
      <c r="R53" s="48">
        <v>45017</v>
      </c>
      <c r="S53" s="51">
        <v>2843</v>
      </c>
      <c r="T53" t="s">
        <v>91</v>
      </c>
    </row>
    <row r="54" spans="15:20" x14ac:dyDescent="0.75">
      <c r="O54" t="s">
        <v>88</v>
      </c>
      <c r="P54" t="s">
        <v>89</v>
      </c>
      <c r="Q54" t="s">
        <v>90</v>
      </c>
      <c r="R54" s="48">
        <v>45047</v>
      </c>
      <c r="S54" s="51">
        <v>3308</v>
      </c>
      <c r="T54" t="s">
        <v>91</v>
      </c>
    </row>
    <row r="55" spans="15:20" x14ac:dyDescent="0.75">
      <c r="O55" t="s">
        <v>88</v>
      </c>
      <c r="P55" t="s">
        <v>89</v>
      </c>
      <c r="Q55" t="s">
        <v>90</v>
      </c>
      <c r="R55" s="48">
        <v>45078</v>
      </c>
      <c r="S55" s="51">
        <v>2982</v>
      </c>
      <c r="T55" t="s">
        <v>91</v>
      </c>
    </row>
    <row r="56" spans="15:20" x14ac:dyDescent="0.75">
      <c r="O56" t="s">
        <v>88</v>
      </c>
      <c r="P56" t="s">
        <v>89</v>
      </c>
      <c r="Q56" t="s">
        <v>90</v>
      </c>
      <c r="R56" s="48">
        <v>45108</v>
      </c>
      <c r="S56" s="51">
        <v>1258</v>
      </c>
      <c r="T56" t="s">
        <v>91</v>
      </c>
    </row>
    <row r="57" spans="15:20" x14ac:dyDescent="0.75">
      <c r="O57" t="s">
        <v>88</v>
      </c>
      <c r="P57" t="s">
        <v>89</v>
      </c>
      <c r="Q57" t="s">
        <v>90</v>
      </c>
      <c r="R57" s="48">
        <v>45139</v>
      </c>
      <c r="S57" s="51">
        <v>1388</v>
      </c>
      <c r="T57" t="s">
        <v>91</v>
      </c>
    </row>
    <row r="58" spans="15:20" x14ac:dyDescent="0.75">
      <c r="O58" t="s">
        <v>88</v>
      </c>
      <c r="P58" t="s">
        <v>89</v>
      </c>
      <c r="Q58" t="s">
        <v>90</v>
      </c>
      <c r="R58" s="48">
        <v>45170</v>
      </c>
      <c r="S58" s="51">
        <v>1777</v>
      </c>
      <c r="T58" t="s">
        <v>91</v>
      </c>
    </row>
    <row r="59" spans="15:20" x14ac:dyDescent="0.75">
      <c r="O59" t="s">
        <v>88</v>
      </c>
      <c r="P59" t="s">
        <v>89</v>
      </c>
      <c r="Q59" t="s">
        <v>90</v>
      </c>
      <c r="R59" s="48">
        <v>45200</v>
      </c>
      <c r="S59" s="52">
        <v>2489</v>
      </c>
      <c r="T59" t="s">
        <v>91</v>
      </c>
    </row>
    <row r="60" spans="15:20" x14ac:dyDescent="0.75">
      <c r="O60" t="s">
        <v>88</v>
      </c>
      <c r="P60" t="s">
        <v>89</v>
      </c>
      <c r="Q60" t="s">
        <v>90</v>
      </c>
      <c r="R60" s="48">
        <v>45231</v>
      </c>
      <c r="S60" s="52">
        <v>2478</v>
      </c>
      <c r="T60" t="s">
        <v>91</v>
      </c>
    </row>
    <row r="61" spans="15:20" x14ac:dyDescent="0.75">
      <c r="O61" t="s">
        <v>88</v>
      </c>
      <c r="P61" t="s">
        <v>89</v>
      </c>
      <c r="Q61" t="s">
        <v>90</v>
      </c>
      <c r="R61" s="48">
        <v>45261</v>
      </c>
      <c r="S61" s="51">
        <v>1643</v>
      </c>
      <c r="T61" t="s">
        <v>91</v>
      </c>
    </row>
    <row r="62" spans="15:20" x14ac:dyDescent="0.75">
      <c r="O62" t="s">
        <v>88</v>
      </c>
      <c r="P62" t="s">
        <v>89</v>
      </c>
      <c r="Q62" t="s">
        <v>90</v>
      </c>
      <c r="R62" s="48">
        <v>45292</v>
      </c>
      <c r="S62" s="51">
        <v>3255</v>
      </c>
      <c r="T62" t="s">
        <v>91</v>
      </c>
    </row>
    <row r="63" spans="15:20" x14ac:dyDescent="0.75">
      <c r="O63" t="s">
        <v>88</v>
      </c>
      <c r="P63" t="s">
        <v>89</v>
      </c>
      <c r="Q63" t="s">
        <v>90</v>
      </c>
      <c r="R63" s="48">
        <v>45323</v>
      </c>
      <c r="S63" s="51">
        <v>1394</v>
      </c>
      <c r="T63" t="s">
        <v>91</v>
      </c>
    </row>
    <row r="64" spans="15:20" x14ac:dyDescent="0.75">
      <c r="O64" t="s">
        <v>88</v>
      </c>
      <c r="P64" t="s">
        <v>89</v>
      </c>
      <c r="Q64" t="s">
        <v>90</v>
      </c>
      <c r="R64" s="48">
        <v>45352</v>
      </c>
      <c r="S64" s="51">
        <v>1343</v>
      </c>
      <c r="T64" t="s">
        <v>91</v>
      </c>
    </row>
    <row r="65" spans="15:20" x14ac:dyDescent="0.75">
      <c r="O65" t="s">
        <v>88</v>
      </c>
      <c r="P65" t="s">
        <v>89</v>
      </c>
      <c r="Q65" t="s">
        <v>90</v>
      </c>
      <c r="R65" s="48">
        <v>45383</v>
      </c>
      <c r="S65" s="51">
        <v>1538</v>
      </c>
      <c r="T65" t="s">
        <v>91</v>
      </c>
    </row>
    <row r="66" spans="15:20" x14ac:dyDescent="0.75">
      <c r="O66" t="s">
        <v>88</v>
      </c>
      <c r="P66" t="s">
        <v>89</v>
      </c>
      <c r="Q66" t="s">
        <v>90</v>
      </c>
      <c r="R66" s="48">
        <v>45413</v>
      </c>
      <c r="S66" s="51">
        <v>2575</v>
      </c>
      <c r="T66" t="s">
        <v>91</v>
      </c>
    </row>
    <row r="67" spans="15:20" x14ac:dyDescent="0.75">
      <c r="O67" t="s">
        <v>88</v>
      </c>
      <c r="P67" t="s">
        <v>89</v>
      </c>
      <c r="Q67" t="s">
        <v>90</v>
      </c>
      <c r="R67" s="48">
        <v>45444</v>
      </c>
      <c r="S67" s="51">
        <v>1839</v>
      </c>
      <c r="T67" t="s">
        <v>91</v>
      </c>
    </row>
    <row r="68" spans="15:20" x14ac:dyDescent="0.75">
      <c r="O68" t="s">
        <v>88</v>
      </c>
      <c r="P68" t="s">
        <v>89</v>
      </c>
      <c r="Q68" t="s">
        <v>90</v>
      </c>
      <c r="R68" s="48">
        <v>45474</v>
      </c>
      <c r="S68" s="51">
        <v>1733</v>
      </c>
      <c r="T68" t="s">
        <v>91</v>
      </c>
    </row>
    <row r="69" spans="15:20" x14ac:dyDescent="0.75">
      <c r="O69" t="s">
        <v>88</v>
      </c>
      <c r="P69" t="s">
        <v>89</v>
      </c>
      <c r="Q69" t="s">
        <v>90</v>
      </c>
      <c r="R69" s="48">
        <v>45505</v>
      </c>
      <c r="S69" s="51">
        <v>1015</v>
      </c>
      <c r="T69" t="s">
        <v>91</v>
      </c>
    </row>
    <row r="70" spans="15:20" x14ac:dyDescent="0.75">
      <c r="O70" t="s">
        <v>88</v>
      </c>
      <c r="P70" t="s">
        <v>89</v>
      </c>
      <c r="Q70" t="s">
        <v>90</v>
      </c>
      <c r="R70" s="48">
        <v>45536</v>
      </c>
      <c r="S70" s="51">
        <v>3139</v>
      </c>
      <c r="T70" t="s">
        <v>91</v>
      </c>
    </row>
    <row r="71" spans="15:20" x14ac:dyDescent="0.75">
      <c r="O71" t="s">
        <v>88</v>
      </c>
      <c r="P71" t="s">
        <v>89</v>
      </c>
      <c r="Q71" t="s">
        <v>90</v>
      </c>
      <c r="R71" s="48">
        <v>45566</v>
      </c>
      <c r="S71" s="51">
        <v>794</v>
      </c>
      <c r="T71" t="s">
        <v>91</v>
      </c>
    </row>
    <row r="72" spans="15:20" x14ac:dyDescent="0.75">
      <c r="O72" t="s">
        <v>88</v>
      </c>
      <c r="P72" t="s">
        <v>89</v>
      </c>
      <c r="Q72" t="s">
        <v>90</v>
      </c>
      <c r="R72" s="48">
        <v>45597</v>
      </c>
      <c r="S72" s="51">
        <v>3400</v>
      </c>
      <c r="T72" t="s">
        <v>91</v>
      </c>
    </row>
    <row r="73" spans="15:20" x14ac:dyDescent="0.75">
      <c r="O73" t="s">
        <v>88</v>
      </c>
      <c r="P73" t="s">
        <v>89</v>
      </c>
      <c r="Q73" t="s">
        <v>90</v>
      </c>
      <c r="R73" s="48">
        <v>45627</v>
      </c>
      <c r="S73" s="51">
        <v>2027</v>
      </c>
      <c r="T73" t="s">
        <v>91</v>
      </c>
    </row>
    <row r="74" spans="15:20" x14ac:dyDescent="0.75">
      <c r="O74" t="s">
        <v>88</v>
      </c>
      <c r="P74" t="s">
        <v>89</v>
      </c>
      <c r="Q74" t="s">
        <v>90</v>
      </c>
      <c r="R74" s="48">
        <v>45658</v>
      </c>
      <c r="S74" s="51">
        <v>4474</v>
      </c>
      <c r="T74" t="s">
        <v>91</v>
      </c>
    </row>
    <row r="75" spans="15:20" x14ac:dyDescent="0.75">
      <c r="O75" t="s">
        <v>88</v>
      </c>
      <c r="P75" t="s">
        <v>89</v>
      </c>
      <c r="Q75" t="s">
        <v>90</v>
      </c>
      <c r="R75" s="48">
        <v>45689</v>
      </c>
      <c r="S75" s="51">
        <v>2958</v>
      </c>
      <c r="T75" t="s">
        <v>91</v>
      </c>
    </row>
    <row r="76" spans="15:20" x14ac:dyDescent="0.75">
      <c r="O76" t="s">
        <v>88</v>
      </c>
      <c r="P76" t="s">
        <v>89</v>
      </c>
      <c r="Q76" t="s">
        <v>90</v>
      </c>
      <c r="R76" s="48">
        <v>45717</v>
      </c>
      <c r="S76" s="51">
        <v>2742</v>
      </c>
      <c r="T76" t="s">
        <v>91</v>
      </c>
    </row>
    <row r="77" spans="15:20" x14ac:dyDescent="0.75">
      <c r="O77" t="s">
        <v>88</v>
      </c>
      <c r="P77" t="s">
        <v>89</v>
      </c>
      <c r="Q77" t="s">
        <v>90</v>
      </c>
      <c r="R77" s="48">
        <v>45748</v>
      </c>
      <c r="S77" s="52">
        <v>2155</v>
      </c>
      <c r="T77" t="s">
        <v>91</v>
      </c>
    </row>
    <row r="78" spans="15:20" x14ac:dyDescent="0.75">
      <c r="O78" t="s">
        <v>88</v>
      </c>
      <c r="P78" t="s">
        <v>89</v>
      </c>
      <c r="Q78" t="s">
        <v>90</v>
      </c>
      <c r="R78" s="48">
        <v>45778</v>
      </c>
      <c r="S78" s="51">
        <v>1824</v>
      </c>
      <c r="T78" t="s">
        <v>91</v>
      </c>
    </row>
    <row r="79" spans="15:20" x14ac:dyDescent="0.75">
      <c r="O79" t="s">
        <v>102</v>
      </c>
      <c r="P79" t="s">
        <v>110</v>
      </c>
      <c r="Q79" t="s">
        <v>111</v>
      </c>
      <c r="R79" s="48">
        <v>43466</v>
      </c>
      <c r="S79" s="49">
        <v>10975</v>
      </c>
      <c r="T79" t="s">
        <v>91</v>
      </c>
    </row>
    <row r="80" spans="15:20" x14ac:dyDescent="0.75">
      <c r="O80" t="s">
        <v>102</v>
      </c>
      <c r="P80" t="s">
        <v>110</v>
      </c>
      <c r="Q80" t="s">
        <v>111</v>
      </c>
      <c r="R80" s="48">
        <v>43497</v>
      </c>
      <c r="S80" s="49">
        <v>9759</v>
      </c>
      <c r="T80" t="s">
        <v>91</v>
      </c>
    </row>
    <row r="81" spans="15:20" x14ac:dyDescent="0.75">
      <c r="O81" t="s">
        <v>102</v>
      </c>
      <c r="P81" t="s">
        <v>110</v>
      </c>
      <c r="Q81" t="s">
        <v>111</v>
      </c>
      <c r="R81" s="48">
        <v>43525</v>
      </c>
      <c r="S81" s="49">
        <v>35333</v>
      </c>
      <c r="T81" t="s">
        <v>91</v>
      </c>
    </row>
    <row r="82" spans="15:20" x14ac:dyDescent="0.75">
      <c r="O82" t="s">
        <v>102</v>
      </c>
      <c r="P82" t="s">
        <v>110</v>
      </c>
      <c r="Q82" t="s">
        <v>111</v>
      </c>
      <c r="R82" s="48">
        <v>43556</v>
      </c>
      <c r="S82" s="49">
        <v>27182</v>
      </c>
      <c r="T82" t="s">
        <v>91</v>
      </c>
    </row>
    <row r="83" spans="15:20" x14ac:dyDescent="0.75">
      <c r="O83" t="s">
        <v>102</v>
      </c>
      <c r="P83" t="s">
        <v>110</v>
      </c>
      <c r="Q83" t="s">
        <v>111</v>
      </c>
      <c r="R83" s="48">
        <v>43586</v>
      </c>
      <c r="S83" s="49">
        <v>21289</v>
      </c>
      <c r="T83" t="s">
        <v>91</v>
      </c>
    </row>
    <row r="84" spans="15:20" x14ac:dyDescent="0.75">
      <c r="O84" t="s">
        <v>102</v>
      </c>
      <c r="P84" t="s">
        <v>110</v>
      </c>
      <c r="Q84" t="s">
        <v>111</v>
      </c>
      <c r="R84" s="48">
        <v>43617</v>
      </c>
      <c r="S84" s="49">
        <v>20003</v>
      </c>
      <c r="T84" t="s">
        <v>91</v>
      </c>
    </row>
    <row r="85" spans="15:20" x14ac:dyDescent="0.75">
      <c r="O85" t="s">
        <v>102</v>
      </c>
      <c r="P85" t="s">
        <v>110</v>
      </c>
      <c r="Q85" t="s">
        <v>111</v>
      </c>
      <c r="R85" s="48">
        <v>43647</v>
      </c>
      <c r="S85" s="49">
        <v>20426</v>
      </c>
      <c r="T85" t="s">
        <v>91</v>
      </c>
    </row>
    <row r="86" spans="15:20" x14ac:dyDescent="0.75">
      <c r="O86" t="s">
        <v>102</v>
      </c>
      <c r="P86" t="s">
        <v>110</v>
      </c>
      <c r="Q86" t="s">
        <v>111</v>
      </c>
      <c r="R86" s="48">
        <v>43678</v>
      </c>
      <c r="S86" s="49">
        <v>16986</v>
      </c>
      <c r="T86" t="s">
        <v>91</v>
      </c>
    </row>
    <row r="87" spans="15:20" x14ac:dyDescent="0.75">
      <c r="O87" t="s">
        <v>102</v>
      </c>
      <c r="P87" t="s">
        <v>110</v>
      </c>
      <c r="Q87" t="s">
        <v>111</v>
      </c>
      <c r="R87" s="48">
        <v>43709</v>
      </c>
      <c r="S87" s="49">
        <v>22168</v>
      </c>
      <c r="T87" t="s">
        <v>91</v>
      </c>
    </row>
    <row r="88" spans="15:20" x14ac:dyDescent="0.75">
      <c r="O88" t="s">
        <v>102</v>
      </c>
      <c r="P88" t="s">
        <v>110</v>
      </c>
      <c r="Q88" t="s">
        <v>111</v>
      </c>
      <c r="R88" s="48">
        <v>43739</v>
      </c>
      <c r="S88" s="49">
        <v>17720</v>
      </c>
      <c r="T88" t="s">
        <v>91</v>
      </c>
    </row>
    <row r="89" spans="15:20" x14ac:dyDescent="0.75">
      <c r="O89" t="s">
        <v>102</v>
      </c>
      <c r="P89" t="s">
        <v>110</v>
      </c>
      <c r="Q89" t="s">
        <v>111</v>
      </c>
      <c r="R89" s="48">
        <v>43770</v>
      </c>
      <c r="S89" s="49">
        <v>22188</v>
      </c>
      <c r="T89" t="s">
        <v>91</v>
      </c>
    </row>
    <row r="90" spans="15:20" x14ac:dyDescent="0.75">
      <c r="O90" t="s">
        <v>102</v>
      </c>
      <c r="P90" t="s">
        <v>110</v>
      </c>
      <c r="Q90" t="s">
        <v>111</v>
      </c>
      <c r="R90" s="48">
        <v>43800</v>
      </c>
      <c r="S90" s="49">
        <v>28513</v>
      </c>
      <c r="T90" t="s">
        <v>91</v>
      </c>
    </row>
    <row r="91" spans="15:20" x14ac:dyDescent="0.75">
      <c r="O91" t="s">
        <v>102</v>
      </c>
      <c r="P91" t="s">
        <v>110</v>
      </c>
      <c r="Q91" t="s">
        <v>111</v>
      </c>
      <c r="R91" s="48">
        <v>43831</v>
      </c>
      <c r="S91" s="49">
        <v>30252</v>
      </c>
      <c r="T91" t="s">
        <v>91</v>
      </c>
    </row>
    <row r="92" spans="15:20" x14ac:dyDescent="0.75">
      <c r="O92" t="s">
        <v>102</v>
      </c>
      <c r="P92" t="s">
        <v>110</v>
      </c>
      <c r="Q92" t="s">
        <v>111</v>
      </c>
      <c r="R92" s="48">
        <v>43862</v>
      </c>
      <c r="S92" s="49">
        <v>44560</v>
      </c>
      <c r="T92" t="s">
        <v>91</v>
      </c>
    </row>
    <row r="93" spans="15:20" x14ac:dyDescent="0.75">
      <c r="O93" t="s">
        <v>102</v>
      </c>
      <c r="P93" t="s">
        <v>110</v>
      </c>
      <c r="Q93" t="s">
        <v>111</v>
      </c>
      <c r="R93" s="48">
        <v>43891</v>
      </c>
      <c r="S93" s="49">
        <v>37448</v>
      </c>
      <c r="T93" t="s">
        <v>91</v>
      </c>
    </row>
    <row r="94" spans="15:20" x14ac:dyDescent="0.75">
      <c r="O94" t="s">
        <v>102</v>
      </c>
      <c r="P94" t="s">
        <v>110</v>
      </c>
      <c r="Q94" t="s">
        <v>111</v>
      </c>
      <c r="R94" s="48">
        <v>43922</v>
      </c>
      <c r="S94" s="49">
        <v>18422</v>
      </c>
      <c r="T94" t="s">
        <v>91</v>
      </c>
    </row>
    <row r="95" spans="15:20" x14ac:dyDescent="0.75">
      <c r="O95" t="s">
        <v>102</v>
      </c>
      <c r="P95" t="s">
        <v>110</v>
      </c>
      <c r="Q95" t="s">
        <v>111</v>
      </c>
      <c r="R95" s="48">
        <v>43952</v>
      </c>
      <c r="S95" s="49">
        <v>8959</v>
      </c>
      <c r="T95" t="s">
        <v>91</v>
      </c>
    </row>
    <row r="96" spans="15:20" x14ac:dyDescent="0.75">
      <c r="O96" t="s">
        <v>102</v>
      </c>
      <c r="P96" t="s">
        <v>110</v>
      </c>
      <c r="Q96" t="s">
        <v>111</v>
      </c>
      <c r="R96" s="48">
        <v>43983</v>
      </c>
      <c r="S96" s="49">
        <v>17002</v>
      </c>
      <c r="T96" t="s">
        <v>91</v>
      </c>
    </row>
    <row r="97" spans="15:20" x14ac:dyDescent="0.75">
      <c r="O97" t="s">
        <v>102</v>
      </c>
      <c r="P97" t="s">
        <v>110</v>
      </c>
      <c r="Q97" t="s">
        <v>111</v>
      </c>
      <c r="R97" s="48">
        <v>44013</v>
      </c>
      <c r="S97" s="49">
        <v>21677</v>
      </c>
      <c r="T97" t="s">
        <v>91</v>
      </c>
    </row>
    <row r="98" spans="15:20" x14ac:dyDescent="0.75">
      <c r="O98" t="s">
        <v>102</v>
      </c>
      <c r="P98" t="s">
        <v>110</v>
      </c>
      <c r="Q98" t="s">
        <v>111</v>
      </c>
      <c r="R98" s="48">
        <v>44044</v>
      </c>
      <c r="S98" s="49">
        <v>11970</v>
      </c>
      <c r="T98" t="s">
        <v>91</v>
      </c>
    </row>
    <row r="99" spans="15:20" x14ac:dyDescent="0.75">
      <c r="O99" t="s">
        <v>102</v>
      </c>
      <c r="P99" t="s">
        <v>110</v>
      </c>
      <c r="Q99" t="s">
        <v>111</v>
      </c>
      <c r="R99" s="48">
        <v>44075</v>
      </c>
      <c r="S99" s="49">
        <v>10701</v>
      </c>
      <c r="T99" t="s">
        <v>91</v>
      </c>
    </row>
    <row r="100" spans="15:20" x14ac:dyDescent="0.75">
      <c r="O100" t="s">
        <v>102</v>
      </c>
      <c r="P100" t="s">
        <v>110</v>
      </c>
      <c r="Q100" t="s">
        <v>111</v>
      </c>
      <c r="R100" s="48">
        <v>44105</v>
      </c>
      <c r="S100" s="49">
        <v>12871</v>
      </c>
      <c r="T100" t="s">
        <v>91</v>
      </c>
    </row>
    <row r="101" spans="15:20" x14ac:dyDescent="0.75">
      <c r="O101" t="s">
        <v>102</v>
      </c>
      <c r="P101" t="s">
        <v>110</v>
      </c>
      <c r="Q101" t="s">
        <v>111</v>
      </c>
      <c r="R101" s="48">
        <v>44136</v>
      </c>
      <c r="S101" s="49">
        <v>8018</v>
      </c>
      <c r="T101" t="s">
        <v>91</v>
      </c>
    </row>
    <row r="102" spans="15:20" x14ac:dyDescent="0.75">
      <c r="O102" t="s">
        <v>102</v>
      </c>
      <c r="P102" t="s">
        <v>110</v>
      </c>
      <c r="Q102" t="s">
        <v>111</v>
      </c>
      <c r="R102" s="48">
        <v>44166</v>
      </c>
      <c r="S102" s="49">
        <v>14323</v>
      </c>
      <c r="T102" t="s">
        <v>91</v>
      </c>
    </row>
    <row r="103" spans="15:20" x14ac:dyDescent="0.75">
      <c r="O103" t="s">
        <v>102</v>
      </c>
      <c r="P103" t="s">
        <v>110</v>
      </c>
      <c r="Q103" t="s">
        <v>111</v>
      </c>
      <c r="R103" s="48">
        <v>44197</v>
      </c>
      <c r="S103" s="49">
        <v>10264</v>
      </c>
      <c r="T103" t="s">
        <v>91</v>
      </c>
    </row>
    <row r="104" spans="15:20" x14ac:dyDescent="0.75">
      <c r="O104" t="s">
        <v>102</v>
      </c>
      <c r="P104" t="s">
        <v>110</v>
      </c>
      <c r="Q104" t="s">
        <v>111</v>
      </c>
      <c r="R104" s="48">
        <v>44228</v>
      </c>
      <c r="S104" s="49">
        <v>9262</v>
      </c>
      <c r="T104" t="s">
        <v>91</v>
      </c>
    </row>
    <row r="105" spans="15:20" x14ac:dyDescent="0.75">
      <c r="O105" t="s">
        <v>102</v>
      </c>
      <c r="P105" t="s">
        <v>110</v>
      </c>
      <c r="Q105" t="s">
        <v>111</v>
      </c>
      <c r="R105" s="48">
        <v>44256</v>
      </c>
      <c r="S105" s="49">
        <v>18524</v>
      </c>
      <c r="T105" t="s">
        <v>91</v>
      </c>
    </row>
    <row r="106" spans="15:20" x14ac:dyDescent="0.75">
      <c r="O106" t="s">
        <v>102</v>
      </c>
      <c r="P106" t="s">
        <v>110</v>
      </c>
      <c r="Q106" t="s">
        <v>111</v>
      </c>
      <c r="R106" s="48">
        <v>44287</v>
      </c>
      <c r="S106" s="49">
        <v>14431</v>
      </c>
      <c r="T106" t="s">
        <v>91</v>
      </c>
    </row>
    <row r="107" spans="15:20" x14ac:dyDescent="0.75">
      <c r="O107" t="s">
        <v>102</v>
      </c>
      <c r="P107" t="s">
        <v>110</v>
      </c>
      <c r="Q107" t="s">
        <v>111</v>
      </c>
      <c r="R107" s="48">
        <v>44317</v>
      </c>
      <c r="S107" s="49">
        <v>8633</v>
      </c>
      <c r="T107" t="s">
        <v>91</v>
      </c>
    </row>
    <row r="108" spans="15:20" x14ac:dyDescent="0.75">
      <c r="O108" t="s">
        <v>102</v>
      </c>
      <c r="P108" t="s">
        <v>110</v>
      </c>
      <c r="Q108" t="s">
        <v>111</v>
      </c>
      <c r="R108" s="48">
        <v>44348</v>
      </c>
      <c r="S108" s="49">
        <v>12188</v>
      </c>
      <c r="T108" t="s">
        <v>91</v>
      </c>
    </row>
    <row r="109" spans="15:20" x14ac:dyDescent="0.75">
      <c r="O109" t="s">
        <v>102</v>
      </c>
      <c r="P109" t="s">
        <v>110</v>
      </c>
      <c r="Q109" t="s">
        <v>111</v>
      </c>
      <c r="R109" s="48">
        <v>44378</v>
      </c>
      <c r="S109" s="49">
        <v>9003</v>
      </c>
      <c r="T109" t="s">
        <v>91</v>
      </c>
    </row>
    <row r="110" spans="15:20" x14ac:dyDescent="0.75">
      <c r="O110" t="s">
        <v>102</v>
      </c>
      <c r="P110" t="s">
        <v>110</v>
      </c>
      <c r="Q110" t="s">
        <v>111</v>
      </c>
      <c r="R110" s="48">
        <v>44409</v>
      </c>
      <c r="S110" s="49">
        <v>8652</v>
      </c>
      <c r="T110" t="s">
        <v>91</v>
      </c>
    </row>
    <row r="111" spans="15:20" x14ac:dyDescent="0.75">
      <c r="O111" t="s">
        <v>102</v>
      </c>
      <c r="P111" t="s">
        <v>110</v>
      </c>
      <c r="Q111" t="s">
        <v>111</v>
      </c>
      <c r="R111" s="48">
        <v>44440</v>
      </c>
      <c r="S111" s="49">
        <v>10114</v>
      </c>
      <c r="T111" t="s">
        <v>91</v>
      </c>
    </row>
    <row r="112" spans="15:20" x14ac:dyDescent="0.75">
      <c r="O112" t="s">
        <v>102</v>
      </c>
      <c r="P112" t="s">
        <v>110</v>
      </c>
      <c r="Q112" t="s">
        <v>111</v>
      </c>
      <c r="R112" s="48">
        <v>44470</v>
      </c>
      <c r="S112" s="49">
        <v>12525</v>
      </c>
      <c r="T112" t="s">
        <v>91</v>
      </c>
    </row>
    <row r="113" spans="15:20" x14ac:dyDescent="0.75">
      <c r="O113" t="s">
        <v>102</v>
      </c>
      <c r="P113" t="s">
        <v>110</v>
      </c>
      <c r="Q113" t="s">
        <v>111</v>
      </c>
      <c r="R113" s="48">
        <v>44501</v>
      </c>
      <c r="S113" s="49">
        <v>9004</v>
      </c>
      <c r="T113" t="s">
        <v>91</v>
      </c>
    </row>
    <row r="114" spans="15:20" x14ac:dyDescent="0.75">
      <c r="O114" t="s">
        <v>102</v>
      </c>
      <c r="P114" t="s">
        <v>110</v>
      </c>
      <c r="Q114" t="s">
        <v>111</v>
      </c>
      <c r="R114" s="48">
        <v>44531</v>
      </c>
      <c r="S114" s="49">
        <v>3451</v>
      </c>
      <c r="T114" t="s">
        <v>91</v>
      </c>
    </row>
    <row r="115" spans="15:20" x14ac:dyDescent="0.75">
      <c r="O115" t="s">
        <v>102</v>
      </c>
      <c r="P115" t="s">
        <v>110</v>
      </c>
      <c r="Q115" t="s">
        <v>111</v>
      </c>
      <c r="R115" s="48">
        <v>44562</v>
      </c>
      <c r="S115" s="49">
        <v>4737</v>
      </c>
      <c r="T115" t="s">
        <v>91</v>
      </c>
    </row>
    <row r="116" spans="15:20" x14ac:dyDescent="0.75">
      <c r="O116" t="s">
        <v>102</v>
      </c>
      <c r="P116" t="s">
        <v>110</v>
      </c>
      <c r="Q116" t="s">
        <v>111</v>
      </c>
      <c r="R116" s="48">
        <v>44593</v>
      </c>
      <c r="S116" s="49">
        <v>7125</v>
      </c>
      <c r="T116" t="s">
        <v>91</v>
      </c>
    </row>
    <row r="117" spans="15:20" x14ac:dyDescent="0.75">
      <c r="O117" t="s">
        <v>102</v>
      </c>
      <c r="P117" t="s">
        <v>110</v>
      </c>
      <c r="Q117" t="s">
        <v>111</v>
      </c>
      <c r="R117" s="48">
        <v>44621</v>
      </c>
      <c r="S117" s="49">
        <v>4723</v>
      </c>
      <c r="T117" t="s">
        <v>91</v>
      </c>
    </row>
    <row r="118" spans="15:20" x14ac:dyDescent="0.75">
      <c r="O118" t="s">
        <v>102</v>
      </c>
      <c r="P118" t="s">
        <v>110</v>
      </c>
      <c r="Q118" t="s">
        <v>111</v>
      </c>
      <c r="R118" s="48">
        <v>44652</v>
      </c>
      <c r="S118" s="49">
        <v>13513</v>
      </c>
      <c r="T118" t="s">
        <v>91</v>
      </c>
    </row>
    <row r="119" spans="15:20" x14ac:dyDescent="0.75">
      <c r="O119" t="s">
        <v>102</v>
      </c>
      <c r="P119" t="s">
        <v>110</v>
      </c>
      <c r="Q119" t="s">
        <v>111</v>
      </c>
      <c r="R119" s="48">
        <v>44682</v>
      </c>
      <c r="S119" s="49">
        <v>13469</v>
      </c>
      <c r="T119" t="s">
        <v>91</v>
      </c>
    </row>
    <row r="120" spans="15:20" x14ac:dyDescent="0.75">
      <c r="O120" t="s">
        <v>102</v>
      </c>
      <c r="P120" t="s">
        <v>110</v>
      </c>
      <c r="Q120" t="s">
        <v>111</v>
      </c>
      <c r="R120" s="48">
        <v>44713</v>
      </c>
      <c r="S120" s="49">
        <v>9764</v>
      </c>
      <c r="T120" t="s">
        <v>91</v>
      </c>
    </row>
    <row r="121" spans="15:20" x14ac:dyDescent="0.75">
      <c r="O121" t="s">
        <v>102</v>
      </c>
      <c r="P121" t="s">
        <v>110</v>
      </c>
      <c r="Q121" t="s">
        <v>111</v>
      </c>
      <c r="R121" s="48">
        <v>44743</v>
      </c>
      <c r="S121" s="49">
        <v>8310</v>
      </c>
      <c r="T121" t="s">
        <v>91</v>
      </c>
    </row>
    <row r="122" spans="15:20" x14ac:dyDescent="0.75">
      <c r="O122" t="s">
        <v>102</v>
      </c>
      <c r="P122" t="s">
        <v>110</v>
      </c>
      <c r="Q122" t="s">
        <v>111</v>
      </c>
      <c r="R122" s="48">
        <v>44774</v>
      </c>
      <c r="S122" s="49">
        <v>7775</v>
      </c>
      <c r="T122" t="s">
        <v>91</v>
      </c>
    </row>
    <row r="123" spans="15:20" x14ac:dyDescent="0.75">
      <c r="O123" t="s">
        <v>102</v>
      </c>
      <c r="P123" t="s">
        <v>110</v>
      </c>
      <c r="Q123" t="s">
        <v>111</v>
      </c>
      <c r="R123" s="48">
        <v>44805</v>
      </c>
      <c r="S123" s="49">
        <v>9964</v>
      </c>
      <c r="T123" t="s">
        <v>91</v>
      </c>
    </row>
    <row r="124" spans="15:20" x14ac:dyDescent="0.75">
      <c r="O124" t="s">
        <v>102</v>
      </c>
      <c r="P124" t="s">
        <v>110</v>
      </c>
      <c r="Q124" t="s">
        <v>111</v>
      </c>
      <c r="R124" s="48">
        <v>44835</v>
      </c>
      <c r="S124" s="49">
        <v>8098</v>
      </c>
      <c r="T124" t="s">
        <v>91</v>
      </c>
    </row>
    <row r="125" spans="15:20" x14ac:dyDescent="0.75">
      <c r="O125" t="s">
        <v>102</v>
      </c>
      <c r="P125" t="s">
        <v>110</v>
      </c>
      <c r="Q125" t="s">
        <v>111</v>
      </c>
      <c r="R125" s="48">
        <v>44866</v>
      </c>
      <c r="S125" s="49">
        <v>6708</v>
      </c>
      <c r="T125" t="s">
        <v>91</v>
      </c>
    </row>
    <row r="126" spans="15:20" x14ac:dyDescent="0.75">
      <c r="O126" t="s">
        <v>102</v>
      </c>
      <c r="P126" t="s">
        <v>110</v>
      </c>
      <c r="Q126" t="s">
        <v>111</v>
      </c>
      <c r="R126" s="48">
        <v>44896</v>
      </c>
      <c r="S126" s="49">
        <v>6619</v>
      </c>
      <c r="T126" t="s">
        <v>91</v>
      </c>
    </row>
    <row r="127" spans="15:20" x14ac:dyDescent="0.75">
      <c r="O127" t="s">
        <v>102</v>
      </c>
      <c r="P127" t="s">
        <v>110</v>
      </c>
      <c r="Q127" t="s">
        <v>111</v>
      </c>
      <c r="R127" s="48">
        <v>44927</v>
      </c>
      <c r="S127" s="52">
        <v>21648</v>
      </c>
      <c r="T127" t="s">
        <v>91</v>
      </c>
    </row>
    <row r="128" spans="15:20" x14ac:dyDescent="0.75">
      <c r="O128" t="s">
        <v>102</v>
      </c>
      <c r="P128" t="s">
        <v>110</v>
      </c>
      <c r="Q128" t="s">
        <v>111</v>
      </c>
      <c r="R128" s="48">
        <v>44958</v>
      </c>
      <c r="S128" s="52">
        <v>17841</v>
      </c>
      <c r="T128" t="s">
        <v>91</v>
      </c>
    </row>
    <row r="129" spans="15:20" x14ac:dyDescent="0.75">
      <c r="O129" t="s">
        <v>102</v>
      </c>
      <c r="P129" t="s">
        <v>110</v>
      </c>
      <c r="Q129" t="s">
        <v>111</v>
      </c>
      <c r="R129" s="48">
        <v>44986</v>
      </c>
      <c r="S129" s="51">
        <v>9948</v>
      </c>
      <c r="T129" t="s">
        <v>91</v>
      </c>
    </row>
    <row r="130" spans="15:20" x14ac:dyDescent="0.75">
      <c r="O130" t="s">
        <v>102</v>
      </c>
      <c r="P130" t="s">
        <v>110</v>
      </c>
      <c r="Q130" t="s">
        <v>111</v>
      </c>
      <c r="R130" s="48">
        <v>45017</v>
      </c>
      <c r="S130" s="51">
        <v>14408</v>
      </c>
      <c r="T130" t="s">
        <v>91</v>
      </c>
    </row>
    <row r="131" spans="15:20" x14ac:dyDescent="0.75">
      <c r="O131" t="s">
        <v>102</v>
      </c>
      <c r="P131" t="s">
        <v>110</v>
      </c>
      <c r="Q131" t="s">
        <v>111</v>
      </c>
      <c r="R131" s="48">
        <v>45047</v>
      </c>
      <c r="S131" s="51">
        <v>12087</v>
      </c>
      <c r="T131" t="s">
        <v>91</v>
      </c>
    </row>
    <row r="132" spans="15:20" x14ac:dyDescent="0.75">
      <c r="O132" t="s">
        <v>102</v>
      </c>
      <c r="P132" t="s">
        <v>110</v>
      </c>
      <c r="Q132" t="s">
        <v>111</v>
      </c>
      <c r="R132" s="48">
        <v>45078</v>
      </c>
      <c r="S132" s="51">
        <v>18660</v>
      </c>
      <c r="T132" t="s">
        <v>91</v>
      </c>
    </row>
    <row r="133" spans="15:20" x14ac:dyDescent="0.75">
      <c r="O133" t="s">
        <v>102</v>
      </c>
      <c r="P133" t="s">
        <v>110</v>
      </c>
      <c r="Q133" t="s">
        <v>111</v>
      </c>
      <c r="R133" s="48">
        <v>45108</v>
      </c>
      <c r="S133" s="51">
        <v>10878</v>
      </c>
      <c r="T133" t="s">
        <v>91</v>
      </c>
    </row>
    <row r="134" spans="15:20" x14ac:dyDescent="0.75">
      <c r="O134" t="s">
        <v>102</v>
      </c>
      <c r="P134" t="s">
        <v>110</v>
      </c>
      <c r="Q134" t="s">
        <v>111</v>
      </c>
      <c r="R134" s="48">
        <v>45139</v>
      </c>
      <c r="S134" s="51">
        <v>7558</v>
      </c>
      <c r="T134" t="s">
        <v>91</v>
      </c>
    </row>
    <row r="135" spans="15:20" x14ac:dyDescent="0.75">
      <c r="O135" t="s">
        <v>102</v>
      </c>
      <c r="P135" t="s">
        <v>110</v>
      </c>
      <c r="Q135" t="s">
        <v>111</v>
      </c>
      <c r="R135" s="48">
        <v>45170</v>
      </c>
      <c r="S135" s="51">
        <v>16208</v>
      </c>
      <c r="T135" t="s">
        <v>91</v>
      </c>
    </row>
    <row r="136" spans="15:20" x14ac:dyDescent="0.75">
      <c r="O136" t="s">
        <v>102</v>
      </c>
      <c r="P136" t="s">
        <v>110</v>
      </c>
      <c r="Q136" t="s">
        <v>111</v>
      </c>
      <c r="R136" s="48">
        <v>45200</v>
      </c>
      <c r="S136" s="52">
        <v>12321</v>
      </c>
      <c r="T136" t="s">
        <v>91</v>
      </c>
    </row>
    <row r="137" spans="15:20" x14ac:dyDescent="0.75">
      <c r="O137" t="s">
        <v>102</v>
      </c>
      <c r="P137" t="s">
        <v>110</v>
      </c>
      <c r="Q137" t="s">
        <v>111</v>
      </c>
      <c r="R137" s="48">
        <v>45231</v>
      </c>
      <c r="S137" s="51">
        <v>8356</v>
      </c>
      <c r="T137" t="s">
        <v>91</v>
      </c>
    </row>
    <row r="138" spans="15:20" x14ac:dyDescent="0.75">
      <c r="O138" t="s">
        <v>102</v>
      </c>
      <c r="P138" t="s">
        <v>110</v>
      </c>
      <c r="Q138" t="s">
        <v>111</v>
      </c>
      <c r="R138" s="48">
        <v>45261</v>
      </c>
      <c r="S138" s="51">
        <v>14814</v>
      </c>
      <c r="T138" t="s">
        <v>91</v>
      </c>
    </row>
    <row r="139" spans="15:20" x14ac:dyDescent="0.75">
      <c r="O139" t="s">
        <v>102</v>
      </c>
      <c r="P139" t="s">
        <v>110</v>
      </c>
      <c r="Q139" t="s">
        <v>111</v>
      </c>
      <c r="R139" s="48">
        <v>45292</v>
      </c>
      <c r="S139" s="51">
        <v>15788</v>
      </c>
      <c r="T139" t="s">
        <v>91</v>
      </c>
    </row>
    <row r="140" spans="15:20" x14ac:dyDescent="0.75">
      <c r="O140" t="s">
        <v>102</v>
      </c>
      <c r="P140" t="s">
        <v>110</v>
      </c>
      <c r="Q140" t="s">
        <v>111</v>
      </c>
      <c r="R140" s="48">
        <v>45323</v>
      </c>
      <c r="S140" s="51">
        <v>18152</v>
      </c>
      <c r="T140" t="s">
        <v>91</v>
      </c>
    </row>
    <row r="141" spans="15:20" x14ac:dyDescent="0.75">
      <c r="O141" t="s">
        <v>102</v>
      </c>
      <c r="P141" t="s">
        <v>110</v>
      </c>
      <c r="Q141" t="s">
        <v>111</v>
      </c>
      <c r="R141" s="48">
        <v>45352</v>
      </c>
      <c r="S141" s="51">
        <v>14269</v>
      </c>
      <c r="T141" t="s">
        <v>91</v>
      </c>
    </row>
    <row r="142" spans="15:20" x14ac:dyDescent="0.75">
      <c r="O142" t="s">
        <v>102</v>
      </c>
      <c r="P142" t="s">
        <v>110</v>
      </c>
      <c r="Q142" t="s">
        <v>111</v>
      </c>
      <c r="R142" s="48">
        <v>45383</v>
      </c>
      <c r="S142" s="51">
        <v>13856</v>
      </c>
      <c r="T142" t="s">
        <v>91</v>
      </c>
    </row>
    <row r="143" spans="15:20" x14ac:dyDescent="0.75">
      <c r="O143" t="s">
        <v>102</v>
      </c>
      <c r="P143" t="s">
        <v>110</v>
      </c>
      <c r="Q143" t="s">
        <v>111</v>
      </c>
      <c r="R143" s="48">
        <v>45413</v>
      </c>
      <c r="S143" s="51">
        <v>16457</v>
      </c>
      <c r="T143" t="s">
        <v>91</v>
      </c>
    </row>
    <row r="144" spans="15:20" x14ac:dyDescent="0.75">
      <c r="O144" t="s">
        <v>102</v>
      </c>
      <c r="P144" t="s">
        <v>110</v>
      </c>
      <c r="Q144" t="s">
        <v>111</v>
      </c>
      <c r="R144" s="48">
        <v>45444</v>
      </c>
      <c r="S144" s="51">
        <v>11204</v>
      </c>
      <c r="T144" t="s">
        <v>91</v>
      </c>
    </row>
    <row r="145" spans="15:20" x14ac:dyDescent="0.75">
      <c r="O145" t="s">
        <v>102</v>
      </c>
      <c r="P145" t="s">
        <v>110</v>
      </c>
      <c r="Q145" t="s">
        <v>111</v>
      </c>
      <c r="R145" s="48">
        <v>45474</v>
      </c>
      <c r="S145" s="51">
        <v>12727</v>
      </c>
      <c r="T145" t="s">
        <v>91</v>
      </c>
    </row>
    <row r="146" spans="15:20" x14ac:dyDescent="0.75">
      <c r="O146" t="s">
        <v>102</v>
      </c>
      <c r="P146" t="s">
        <v>110</v>
      </c>
      <c r="Q146" t="s">
        <v>111</v>
      </c>
      <c r="R146" s="48">
        <v>45505</v>
      </c>
      <c r="S146" s="51">
        <v>16172</v>
      </c>
      <c r="T146" t="s">
        <v>91</v>
      </c>
    </row>
    <row r="147" spans="15:20" x14ac:dyDescent="0.75">
      <c r="O147" t="s">
        <v>102</v>
      </c>
      <c r="P147" t="s">
        <v>110</v>
      </c>
      <c r="Q147" t="s">
        <v>111</v>
      </c>
      <c r="R147" s="48">
        <v>45536</v>
      </c>
      <c r="S147" s="51">
        <v>11842</v>
      </c>
      <c r="T147" t="s">
        <v>91</v>
      </c>
    </row>
    <row r="148" spans="15:20" x14ac:dyDescent="0.75">
      <c r="O148" t="s">
        <v>102</v>
      </c>
      <c r="P148" t="s">
        <v>110</v>
      </c>
      <c r="Q148" t="s">
        <v>111</v>
      </c>
      <c r="R148" s="48">
        <v>45566</v>
      </c>
      <c r="S148" s="51">
        <v>7760</v>
      </c>
      <c r="T148" t="s">
        <v>91</v>
      </c>
    </row>
    <row r="149" spans="15:20" x14ac:dyDescent="0.75">
      <c r="O149" t="s">
        <v>102</v>
      </c>
      <c r="P149" t="s">
        <v>110</v>
      </c>
      <c r="Q149" t="s">
        <v>111</v>
      </c>
      <c r="R149" s="48">
        <v>45597</v>
      </c>
      <c r="S149" s="51">
        <v>14475</v>
      </c>
      <c r="T149" t="s">
        <v>91</v>
      </c>
    </row>
    <row r="150" spans="15:20" x14ac:dyDescent="0.75">
      <c r="O150" t="s">
        <v>102</v>
      </c>
      <c r="P150" t="s">
        <v>110</v>
      </c>
      <c r="Q150" t="s">
        <v>111</v>
      </c>
      <c r="R150" s="48">
        <v>45627</v>
      </c>
      <c r="S150" s="51">
        <v>19082</v>
      </c>
      <c r="T150" t="s">
        <v>91</v>
      </c>
    </row>
    <row r="151" spans="15:20" x14ac:dyDescent="0.75">
      <c r="O151" t="s">
        <v>102</v>
      </c>
      <c r="P151" t="s">
        <v>110</v>
      </c>
      <c r="Q151" t="s">
        <v>111</v>
      </c>
      <c r="R151" s="48">
        <v>45658</v>
      </c>
      <c r="S151" s="51">
        <v>16186</v>
      </c>
      <c r="T151" t="s">
        <v>91</v>
      </c>
    </row>
    <row r="152" spans="15:20" x14ac:dyDescent="0.75">
      <c r="O152" t="s">
        <v>102</v>
      </c>
      <c r="P152" t="s">
        <v>110</v>
      </c>
      <c r="Q152" t="s">
        <v>111</v>
      </c>
      <c r="R152" s="48">
        <v>45689</v>
      </c>
      <c r="S152" s="51">
        <v>22068</v>
      </c>
      <c r="T152" t="s">
        <v>91</v>
      </c>
    </row>
    <row r="153" spans="15:20" x14ac:dyDescent="0.75">
      <c r="O153" t="s">
        <v>102</v>
      </c>
      <c r="P153" t="s">
        <v>110</v>
      </c>
      <c r="Q153" t="s">
        <v>111</v>
      </c>
      <c r="R153" s="48">
        <v>45717</v>
      </c>
      <c r="S153" s="51">
        <v>21802</v>
      </c>
      <c r="T153" t="s">
        <v>91</v>
      </c>
    </row>
    <row r="154" spans="15:20" x14ac:dyDescent="0.75">
      <c r="O154" t="s">
        <v>102</v>
      </c>
      <c r="P154" t="s">
        <v>110</v>
      </c>
      <c r="Q154" t="s">
        <v>111</v>
      </c>
      <c r="R154" s="48">
        <v>45748</v>
      </c>
      <c r="S154" s="52">
        <v>18489</v>
      </c>
      <c r="T154" t="s">
        <v>91</v>
      </c>
    </row>
    <row r="155" spans="15:20" x14ac:dyDescent="0.75">
      <c r="O155" t="s">
        <v>102</v>
      </c>
      <c r="P155" t="s">
        <v>110</v>
      </c>
      <c r="Q155" t="s">
        <v>111</v>
      </c>
      <c r="R155" s="48">
        <v>45778</v>
      </c>
      <c r="S155" s="51">
        <v>18358</v>
      </c>
      <c r="T155" t="s">
        <v>91</v>
      </c>
    </row>
    <row r="156" spans="15:20" x14ac:dyDescent="0.75">
      <c r="O156" t="s">
        <v>103</v>
      </c>
      <c r="P156" t="s">
        <v>112</v>
      </c>
      <c r="Q156" t="s">
        <v>113</v>
      </c>
      <c r="R156" s="48">
        <v>43466</v>
      </c>
      <c r="S156" s="49">
        <v>6290</v>
      </c>
      <c r="T156" t="s">
        <v>91</v>
      </c>
    </row>
    <row r="157" spans="15:20" x14ac:dyDescent="0.75">
      <c r="O157" t="s">
        <v>103</v>
      </c>
      <c r="P157" t="s">
        <v>112</v>
      </c>
      <c r="Q157" t="s">
        <v>113</v>
      </c>
      <c r="R157" s="48">
        <v>43497</v>
      </c>
      <c r="S157" s="49">
        <v>5734</v>
      </c>
      <c r="T157" t="s">
        <v>91</v>
      </c>
    </row>
    <row r="158" spans="15:20" x14ac:dyDescent="0.75">
      <c r="O158" t="s">
        <v>103</v>
      </c>
      <c r="P158" t="s">
        <v>112</v>
      </c>
      <c r="Q158" t="s">
        <v>113</v>
      </c>
      <c r="R158" s="48">
        <v>43525</v>
      </c>
      <c r="S158" s="49">
        <v>9033</v>
      </c>
      <c r="T158" t="s">
        <v>91</v>
      </c>
    </row>
    <row r="159" spans="15:20" x14ac:dyDescent="0.75">
      <c r="O159" t="s">
        <v>103</v>
      </c>
      <c r="P159" t="s">
        <v>112</v>
      </c>
      <c r="Q159" t="s">
        <v>113</v>
      </c>
      <c r="R159" s="48">
        <v>43556</v>
      </c>
      <c r="S159" s="49">
        <v>6713</v>
      </c>
      <c r="T159" t="s">
        <v>91</v>
      </c>
    </row>
    <row r="160" spans="15:20" x14ac:dyDescent="0.75">
      <c r="O160" t="s">
        <v>103</v>
      </c>
      <c r="P160" t="s">
        <v>112</v>
      </c>
      <c r="Q160" t="s">
        <v>113</v>
      </c>
      <c r="R160" s="48">
        <v>43586</v>
      </c>
      <c r="S160" s="49">
        <v>4887</v>
      </c>
      <c r="T160" t="s">
        <v>91</v>
      </c>
    </row>
    <row r="161" spans="15:20" x14ac:dyDescent="0.75">
      <c r="O161" t="s">
        <v>103</v>
      </c>
      <c r="P161" t="s">
        <v>112</v>
      </c>
      <c r="Q161" t="s">
        <v>113</v>
      </c>
      <c r="R161" s="48">
        <v>43617</v>
      </c>
      <c r="S161" s="49">
        <v>6221</v>
      </c>
      <c r="T161" t="s">
        <v>91</v>
      </c>
    </row>
    <row r="162" spans="15:20" x14ac:dyDescent="0.75">
      <c r="O162" t="s">
        <v>103</v>
      </c>
      <c r="P162" t="s">
        <v>112</v>
      </c>
      <c r="Q162" t="s">
        <v>113</v>
      </c>
      <c r="R162" s="48">
        <v>43647</v>
      </c>
      <c r="S162" s="49">
        <v>4862</v>
      </c>
      <c r="T162" t="s">
        <v>91</v>
      </c>
    </row>
    <row r="163" spans="15:20" x14ac:dyDescent="0.75">
      <c r="O163" t="s">
        <v>103</v>
      </c>
      <c r="P163" t="s">
        <v>112</v>
      </c>
      <c r="Q163" t="s">
        <v>113</v>
      </c>
      <c r="R163" s="48">
        <v>43678</v>
      </c>
      <c r="S163" s="49">
        <v>7160</v>
      </c>
      <c r="T163" t="s">
        <v>91</v>
      </c>
    </row>
    <row r="164" spans="15:20" x14ac:dyDescent="0.75">
      <c r="O164" t="s">
        <v>103</v>
      </c>
      <c r="P164" t="s">
        <v>112</v>
      </c>
      <c r="Q164" t="s">
        <v>113</v>
      </c>
      <c r="R164" s="48">
        <v>43709</v>
      </c>
      <c r="S164" s="49">
        <v>4606</v>
      </c>
      <c r="T164" t="s">
        <v>91</v>
      </c>
    </row>
    <row r="165" spans="15:20" x14ac:dyDescent="0.75">
      <c r="O165" t="s">
        <v>103</v>
      </c>
      <c r="P165" t="s">
        <v>112</v>
      </c>
      <c r="Q165" t="s">
        <v>113</v>
      </c>
      <c r="R165" s="48">
        <v>43739</v>
      </c>
      <c r="S165" s="49">
        <v>5155</v>
      </c>
      <c r="T165" t="s">
        <v>91</v>
      </c>
    </row>
    <row r="166" spans="15:20" x14ac:dyDescent="0.75">
      <c r="O166" t="s">
        <v>103</v>
      </c>
      <c r="P166" t="s">
        <v>112</v>
      </c>
      <c r="Q166" t="s">
        <v>113</v>
      </c>
      <c r="R166" s="48">
        <v>43770</v>
      </c>
      <c r="S166" s="49">
        <v>6263</v>
      </c>
      <c r="T166" t="s">
        <v>91</v>
      </c>
    </row>
    <row r="167" spans="15:20" x14ac:dyDescent="0.75">
      <c r="O167" t="s">
        <v>103</v>
      </c>
      <c r="P167" t="s">
        <v>112</v>
      </c>
      <c r="Q167" t="s">
        <v>113</v>
      </c>
      <c r="R167" s="48">
        <v>43800</v>
      </c>
      <c r="S167" s="49">
        <v>7783</v>
      </c>
      <c r="T167" t="s">
        <v>91</v>
      </c>
    </row>
    <row r="168" spans="15:20" x14ac:dyDescent="0.75">
      <c r="O168" t="s">
        <v>103</v>
      </c>
      <c r="P168" t="s">
        <v>112</v>
      </c>
      <c r="Q168" t="s">
        <v>113</v>
      </c>
      <c r="R168" s="48">
        <v>43831</v>
      </c>
      <c r="S168" s="49">
        <v>7437</v>
      </c>
      <c r="T168" t="s">
        <v>91</v>
      </c>
    </row>
    <row r="169" spans="15:20" x14ac:dyDescent="0.75">
      <c r="O169" t="s">
        <v>103</v>
      </c>
      <c r="P169" t="s">
        <v>112</v>
      </c>
      <c r="Q169" t="s">
        <v>113</v>
      </c>
      <c r="R169" s="48">
        <v>43862</v>
      </c>
      <c r="S169" s="49">
        <v>9291</v>
      </c>
      <c r="T169" t="s">
        <v>91</v>
      </c>
    </row>
    <row r="170" spans="15:20" x14ac:dyDescent="0.75">
      <c r="O170" t="s">
        <v>103</v>
      </c>
      <c r="P170" t="s">
        <v>112</v>
      </c>
      <c r="Q170" t="s">
        <v>113</v>
      </c>
      <c r="R170" s="48">
        <v>43891</v>
      </c>
      <c r="S170" s="49">
        <v>12352</v>
      </c>
      <c r="T170" t="s">
        <v>91</v>
      </c>
    </row>
    <row r="171" spans="15:20" x14ac:dyDescent="0.75">
      <c r="O171" t="s">
        <v>103</v>
      </c>
      <c r="P171" t="s">
        <v>112</v>
      </c>
      <c r="Q171" t="s">
        <v>113</v>
      </c>
      <c r="R171" s="48">
        <v>43922</v>
      </c>
      <c r="S171" s="49">
        <v>17758</v>
      </c>
      <c r="T171" t="s">
        <v>91</v>
      </c>
    </row>
    <row r="172" spans="15:20" x14ac:dyDescent="0.75">
      <c r="O172" t="s">
        <v>103</v>
      </c>
      <c r="P172" t="s">
        <v>112</v>
      </c>
      <c r="Q172" t="s">
        <v>113</v>
      </c>
      <c r="R172" s="48">
        <v>43952</v>
      </c>
      <c r="S172" s="49">
        <v>9219</v>
      </c>
      <c r="T172" t="s">
        <v>91</v>
      </c>
    </row>
    <row r="173" spans="15:20" x14ac:dyDescent="0.75">
      <c r="O173" t="s">
        <v>103</v>
      </c>
      <c r="P173" t="s">
        <v>112</v>
      </c>
      <c r="Q173" t="s">
        <v>113</v>
      </c>
      <c r="R173" s="48">
        <v>43983</v>
      </c>
      <c r="S173" s="49">
        <v>11300</v>
      </c>
      <c r="T173" t="s">
        <v>91</v>
      </c>
    </row>
    <row r="174" spans="15:20" x14ac:dyDescent="0.75">
      <c r="O174" t="s">
        <v>103</v>
      </c>
      <c r="P174" t="s">
        <v>112</v>
      </c>
      <c r="Q174" t="s">
        <v>113</v>
      </c>
      <c r="R174" s="48">
        <v>44013</v>
      </c>
      <c r="S174" s="49">
        <v>12755</v>
      </c>
      <c r="T174" t="s">
        <v>91</v>
      </c>
    </row>
    <row r="175" spans="15:20" x14ac:dyDescent="0.75">
      <c r="O175" t="s">
        <v>103</v>
      </c>
      <c r="P175" t="s">
        <v>112</v>
      </c>
      <c r="Q175" t="s">
        <v>113</v>
      </c>
      <c r="R175" s="48">
        <v>44044</v>
      </c>
      <c r="S175" s="49">
        <v>13691</v>
      </c>
      <c r="T175" t="s">
        <v>91</v>
      </c>
    </row>
    <row r="176" spans="15:20" x14ac:dyDescent="0.75">
      <c r="O176" t="s">
        <v>103</v>
      </c>
      <c r="P176" t="s">
        <v>112</v>
      </c>
      <c r="Q176" t="s">
        <v>113</v>
      </c>
      <c r="R176" s="48">
        <v>44075</v>
      </c>
      <c r="S176" s="49">
        <v>11335</v>
      </c>
      <c r="T176" t="s">
        <v>91</v>
      </c>
    </row>
    <row r="177" spans="15:20" x14ac:dyDescent="0.75">
      <c r="O177" t="s">
        <v>103</v>
      </c>
      <c r="P177" t="s">
        <v>112</v>
      </c>
      <c r="Q177" t="s">
        <v>113</v>
      </c>
      <c r="R177" s="48">
        <v>44105</v>
      </c>
      <c r="S177" s="49">
        <v>14528</v>
      </c>
      <c r="T177" t="s">
        <v>91</v>
      </c>
    </row>
    <row r="178" spans="15:20" x14ac:dyDescent="0.75">
      <c r="O178" t="s">
        <v>103</v>
      </c>
      <c r="P178" t="s">
        <v>112</v>
      </c>
      <c r="Q178" t="s">
        <v>113</v>
      </c>
      <c r="R178" s="48">
        <v>44136</v>
      </c>
      <c r="S178" s="49">
        <v>13117</v>
      </c>
      <c r="T178" t="s">
        <v>91</v>
      </c>
    </row>
    <row r="179" spans="15:20" x14ac:dyDescent="0.75">
      <c r="O179" t="s">
        <v>103</v>
      </c>
      <c r="P179" t="s">
        <v>112</v>
      </c>
      <c r="Q179" t="s">
        <v>113</v>
      </c>
      <c r="R179" s="48">
        <v>44166</v>
      </c>
      <c r="S179" s="49">
        <v>13588</v>
      </c>
      <c r="T179" t="s">
        <v>91</v>
      </c>
    </row>
    <row r="180" spans="15:20" x14ac:dyDescent="0.75">
      <c r="O180" t="s">
        <v>103</v>
      </c>
      <c r="P180" t="s">
        <v>112</v>
      </c>
      <c r="Q180" t="s">
        <v>113</v>
      </c>
      <c r="R180" s="48">
        <v>44197</v>
      </c>
      <c r="S180" s="49">
        <v>13277</v>
      </c>
      <c r="T180" t="s">
        <v>91</v>
      </c>
    </row>
    <row r="181" spans="15:20" x14ac:dyDescent="0.75">
      <c r="O181" t="s">
        <v>103</v>
      </c>
      <c r="P181" t="s">
        <v>112</v>
      </c>
      <c r="Q181" t="s">
        <v>113</v>
      </c>
      <c r="R181" s="48">
        <v>44228</v>
      </c>
      <c r="S181" s="49">
        <v>13132</v>
      </c>
      <c r="T181" t="s">
        <v>91</v>
      </c>
    </row>
    <row r="182" spans="15:20" x14ac:dyDescent="0.75">
      <c r="O182" t="s">
        <v>103</v>
      </c>
      <c r="P182" t="s">
        <v>112</v>
      </c>
      <c r="Q182" t="s">
        <v>113</v>
      </c>
      <c r="R182" s="48">
        <v>44256</v>
      </c>
      <c r="S182" s="49">
        <v>13488</v>
      </c>
      <c r="T182" t="s">
        <v>91</v>
      </c>
    </row>
    <row r="183" spans="15:20" x14ac:dyDescent="0.75">
      <c r="O183" t="s">
        <v>103</v>
      </c>
      <c r="P183" t="s">
        <v>112</v>
      </c>
      <c r="Q183" t="s">
        <v>113</v>
      </c>
      <c r="R183" s="48">
        <v>44287</v>
      </c>
      <c r="S183" s="49">
        <v>11577</v>
      </c>
      <c r="T183" t="s">
        <v>91</v>
      </c>
    </row>
    <row r="184" spans="15:20" x14ac:dyDescent="0.75">
      <c r="O184" t="s">
        <v>103</v>
      </c>
      <c r="P184" t="s">
        <v>112</v>
      </c>
      <c r="Q184" t="s">
        <v>113</v>
      </c>
      <c r="R184" s="48">
        <v>44317</v>
      </c>
      <c r="S184" s="49">
        <v>13065</v>
      </c>
      <c r="T184" t="s">
        <v>91</v>
      </c>
    </row>
    <row r="185" spans="15:20" x14ac:dyDescent="0.75">
      <c r="O185" t="s">
        <v>103</v>
      </c>
      <c r="P185" t="s">
        <v>112</v>
      </c>
      <c r="Q185" t="s">
        <v>113</v>
      </c>
      <c r="R185" s="48">
        <v>44348</v>
      </c>
      <c r="S185" s="49">
        <v>12634</v>
      </c>
      <c r="T185" t="s">
        <v>91</v>
      </c>
    </row>
    <row r="186" spans="15:20" x14ac:dyDescent="0.75">
      <c r="O186" t="s">
        <v>103</v>
      </c>
      <c r="P186" t="s">
        <v>112</v>
      </c>
      <c r="Q186" t="s">
        <v>113</v>
      </c>
      <c r="R186" s="48">
        <v>44378</v>
      </c>
      <c r="S186" s="49">
        <v>15592</v>
      </c>
      <c r="T186" t="s">
        <v>91</v>
      </c>
    </row>
    <row r="187" spans="15:20" x14ac:dyDescent="0.75">
      <c r="O187" t="s">
        <v>103</v>
      </c>
      <c r="P187" t="s">
        <v>112</v>
      </c>
      <c r="Q187" t="s">
        <v>113</v>
      </c>
      <c r="R187" s="48">
        <v>44409</v>
      </c>
      <c r="S187" s="49">
        <v>12289</v>
      </c>
      <c r="T187" t="s">
        <v>91</v>
      </c>
    </row>
    <row r="188" spans="15:20" x14ac:dyDescent="0.75">
      <c r="O188" t="s">
        <v>103</v>
      </c>
      <c r="P188" t="s">
        <v>112</v>
      </c>
      <c r="Q188" t="s">
        <v>113</v>
      </c>
      <c r="R188" s="48">
        <v>44440</v>
      </c>
      <c r="S188" s="49">
        <v>13492</v>
      </c>
      <c r="T188" t="s">
        <v>91</v>
      </c>
    </row>
    <row r="189" spans="15:20" x14ac:dyDescent="0.75">
      <c r="O189" t="s">
        <v>103</v>
      </c>
      <c r="P189" t="s">
        <v>112</v>
      </c>
      <c r="Q189" t="s">
        <v>113</v>
      </c>
      <c r="R189" s="48">
        <v>44470</v>
      </c>
      <c r="S189" s="49">
        <v>12129</v>
      </c>
      <c r="T189" t="s">
        <v>91</v>
      </c>
    </row>
    <row r="190" spans="15:20" x14ac:dyDescent="0.75">
      <c r="O190" t="s">
        <v>103</v>
      </c>
      <c r="P190" t="s">
        <v>112</v>
      </c>
      <c r="Q190" t="s">
        <v>113</v>
      </c>
      <c r="R190" s="48">
        <v>44501</v>
      </c>
      <c r="S190" s="49">
        <v>11090</v>
      </c>
      <c r="T190" t="s">
        <v>91</v>
      </c>
    </row>
    <row r="191" spans="15:20" x14ac:dyDescent="0.75">
      <c r="O191" t="s">
        <v>103</v>
      </c>
      <c r="P191" t="s">
        <v>112</v>
      </c>
      <c r="Q191" t="s">
        <v>113</v>
      </c>
      <c r="R191" s="48">
        <v>44531</v>
      </c>
      <c r="S191" s="49">
        <v>12525</v>
      </c>
      <c r="T191" t="s">
        <v>91</v>
      </c>
    </row>
    <row r="192" spans="15:20" x14ac:dyDescent="0.75">
      <c r="O192" t="s">
        <v>103</v>
      </c>
      <c r="P192" t="s">
        <v>112</v>
      </c>
      <c r="Q192" t="s">
        <v>113</v>
      </c>
      <c r="R192" s="48">
        <v>44562</v>
      </c>
      <c r="S192" s="49">
        <v>12492</v>
      </c>
      <c r="T192" t="s">
        <v>91</v>
      </c>
    </row>
    <row r="193" spans="15:20" x14ac:dyDescent="0.75">
      <c r="O193" t="s">
        <v>103</v>
      </c>
      <c r="P193" t="s">
        <v>112</v>
      </c>
      <c r="Q193" t="s">
        <v>113</v>
      </c>
      <c r="R193" s="48">
        <v>44593</v>
      </c>
      <c r="S193" s="49">
        <v>11617</v>
      </c>
      <c r="T193" t="s">
        <v>91</v>
      </c>
    </row>
    <row r="194" spans="15:20" x14ac:dyDescent="0.75">
      <c r="O194" t="s">
        <v>103</v>
      </c>
      <c r="P194" t="s">
        <v>112</v>
      </c>
      <c r="Q194" t="s">
        <v>113</v>
      </c>
      <c r="R194" s="48">
        <v>44621</v>
      </c>
      <c r="S194" s="49">
        <v>11597</v>
      </c>
      <c r="T194" t="s">
        <v>91</v>
      </c>
    </row>
    <row r="195" spans="15:20" x14ac:dyDescent="0.75">
      <c r="O195" t="s">
        <v>103</v>
      </c>
      <c r="P195" t="s">
        <v>112</v>
      </c>
      <c r="Q195" t="s">
        <v>113</v>
      </c>
      <c r="R195" s="48">
        <v>44652</v>
      </c>
      <c r="S195" s="49">
        <v>12895</v>
      </c>
      <c r="T195" t="s">
        <v>91</v>
      </c>
    </row>
    <row r="196" spans="15:20" x14ac:dyDescent="0.75">
      <c r="O196" t="s">
        <v>103</v>
      </c>
      <c r="P196" t="s">
        <v>112</v>
      </c>
      <c r="Q196" t="s">
        <v>113</v>
      </c>
      <c r="R196" s="48">
        <v>44682</v>
      </c>
      <c r="S196" s="49">
        <v>10673</v>
      </c>
      <c r="T196" t="s">
        <v>91</v>
      </c>
    </row>
    <row r="197" spans="15:20" x14ac:dyDescent="0.75">
      <c r="O197" t="s">
        <v>103</v>
      </c>
      <c r="P197" t="s">
        <v>112</v>
      </c>
      <c r="Q197" t="s">
        <v>113</v>
      </c>
      <c r="R197" s="48">
        <v>44713</v>
      </c>
      <c r="S197" s="49">
        <v>14644</v>
      </c>
      <c r="T197" t="s">
        <v>91</v>
      </c>
    </row>
    <row r="198" spans="15:20" x14ac:dyDescent="0.75">
      <c r="O198" t="s">
        <v>103</v>
      </c>
      <c r="P198" t="s">
        <v>112</v>
      </c>
      <c r="Q198" t="s">
        <v>113</v>
      </c>
      <c r="R198" s="48">
        <v>44743</v>
      </c>
      <c r="S198" s="49">
        <v>14887</v>
      </c>
      <c r="T198" t="s">
        <v>91</v>
      </c>
    </row>
    <row r="199" spans="15:20" x14ac:dyDescent="0.75">
      <c r="O199" t="s">
        <v>103</v>
      </c>
      <c r="P199" t="s">
        <v>112</v>
      </c>
      <c r="Q199" t="s">
        <v>113</v>
      </c>
      <c r="R199" s="48">
        <v>44774</v>
      </c>
      <c r="S199" s="49">
        <v>12444</v>
      </c>
      <c r="T199" t="s">
        <v>91</v>
      </c>
    </row>
    <row r="200" spans="15:20" x14ac:dyDescent="0.75">
      <c r="O200" t="s">
        <v>103</v>
      </c>
      <c r="P200" t="s">
        <v>112</v>
      </c>
      <c r="Q200" t="s">
        <v>113</v>
      </c>
      <c r="R200" s="48">
        <v>44805</v>
      </c>
      <c r="S200" s="49">
        <v>16693</v>
      </c>
      <c r="T200" t="s">
        <v>91</v>
      </c>
    </row>
    <row r="201" spans="15:20" x14ac:dyDescent="0.75">
      <c r="O201" t="s">
        <v>103</v>
      </c>
      <c r="P201" t="s">
        <v>112</v>
      </c>
      <c r="Q201" t="s">
        <v>113</v>
      </c>
      <c r="R201" s="48">
        <v>44835</v>
      </c>
      <c r="S201" s="49">
        <v>16518</v>
      </c>
      <c r="T201" t="s">
        <v>91</v>
      </c>
    </row>
    <row r="202" spans="15:20" x14ac:dyDescent="0.75">
      <c r="O202" t="s">
        <v>103</v>
      </c>
      <c r="P202" t="s">
        <v>112</v>
      </c>
      <c r="Q202" t="s">
        <v>113</v>
      </c>
      <c r="R202" s="48">
        <v>44866</v>
      </c>
      <c r="S202" s="49">
        <v>17767</v>
      </c>
      <c r="T202" t="s">
        <v>91</v>
      </c>
    </row>
    <row r="203" spans="15:20" x14ac:dyDescent="0.75">
      <c r="O203" t="s">
        <v>103</v>
      </c>
      <c r="P203" t="s">
        <v>112</v>
      </c>
      <c r="Q203" t="s">
        <v>113</v>
      </c>
      <c r="R203" s="48">
        <v>44896</v>
      </c>
      <c r="S203" s="49">
        <v>15982</v>
      </c>
      <c r="T203" t="s">
        <v>91</v>
      </c>
    </row>
    <row r="204" spans="15:20" x14ac:dyDescent="0.75">
      <c r="O204" t="s">
        <v>103</v>
      </c>
      <c r="P204" t="s">
        <v>112</v>
      </c>
      <c r="Q204" t="s">
        <v>113</v>
      </c>
      <c r="R204" s="48">
        <v>44927</v>
      </c>
      <c r="S204" s="52">
        <v>13298</v>
      </c>
      <c r="T204" t="s">
        <v>91</v>
      </c>
    </row>
    <row r="205" spans="15:20" x14ac:dyDescent="0.75">
      <c r="O205" t="s">
        <v>103</v>
      </c>
      <c r="P205" t="s">
        <v>112</v>
      </c>
      <c r="Q205" t="s">
        <v>113</v>
      </c>
      <c r="R205" s="48">
        <v>44958</v>
      </c>
      <c r="S205" s="52">
        <v>13258</v>
      </c>
      <c r="T205" t="s">
        <v>91</v>
      </c>
    </row>
    <row r="206" spans="15:20" x14ac:dyDescent="0.75">
      <c r="O206" t="s">
        <v>103</v>
      </c>
      <c r="P206" t="s">
        <v>112</v>
      </c>
      <c r="Q206" t="s">
        <v>113</v>
      </c>
      <c r="R206" s="48">
        <v>44986</v>
      </c>
      <c r="S206" s="51">
        <v>14312</v>
      </c>
      <c r="T206" t="s">
        <v>91</v>
      </c>
    </row>
    <row r="207" spans="15:20" x14ac:dyDescent="0.75">
      <c r="O207" t="s">
        <v>103</v>
      </c>
      <c r="P207" t="s">
        <v>112</v>
      </c>
      <c r="Q207" t="s">
        <v>113</v>
      </c>
      <c r="R207" s="48">
        <v>45017</v>
      </c>
      <c r="S207" s="52">
        <v>16816</v>
      </c>
      <c r="T207" t="s">
        <v>91</v>
      </c>
    </row>
    <row r="208" spans="15:20" x14ac:dyDescent="0.75">
      <c r="O208" t="s">
        <v>103</v>
      </c>
      <c r="P208" t="s">
        <v>112</v>
      </c>
      <c r="Q208" t="s">
        <v>113</v>
      </c>
      <c r="R208" s="48">
        <v>45047</v>
      </c>
      <c r="S208" s="52">
        <v>12970</v>
      </c>
      <c r="T208" t="s">
        <v>91</v>
      </c>
    </row>
    <row r="209" spans="15:20" x14ac:dyDescent="0.75">
      <c r="O209" t="s">
        <v>103</v>
      </c>
      <c r="P209" t="s">
        <v>112</v>
      </c>
      <c r="Q209" t="s">
        <v>113</v>
      </c>
      <c r="R209" s="48">
        <v>45078</v>
      </c>
      <c r="S209" s="52">
        <v>14115</v>
      </c>
      <c r="T209" t="s">
        <v>91</v>
      </c>
    </row>
    <row r="210" spans="15:20" x14ac:dyDescent="0.75">
      <c r="O210" t="s">
        <v>103</v>
      </c>
      <c r="P210" t="s">
        <v>112</v>
      </c>
      <c r="Q210" t="s">
        <v>113</v>
      </c>
      <c r="R210" s="48">
        <v>45108</v>
      </c>
      <c r="S210" s="52">
        <v>16934</v>
      </c>
      <c r="T210" t="s">
        <v>91</v>
      </c>
    </row>
    <row r="211" spans="15:20" x14ac:dyDescent="0.75">
      <c r="O211" t="s">
        <v>103</v>
      </c>
      <c r="P211" t="s">
        <v>112</v>
      </c>
      <c r="Q211" t="s">
        <v>113</v>
      </c>
      <c r="R211" s="48">
        <v>45139</v>
      </c>
      <c r="S211" s="52">
        <v>15277</v>
      </c>
      <c r="T211" t="s">
        <v>91</v>
      </c>
    </row>
    <row r="212" spans="15:20" x14ac:dyDescent="0.75">
      <c r="O212" t="s">
        <v>103</v>
      </c>
      <c r="P212" t="s">
        <v>112</v>
      </c>
      <c r="Q212" t="s">
        <v>113</v>
      </c>
      <c r="R212" s="48">
        <v>45170</v>
      </c>
      <c r="S212" s="52">
        <v>18448</v>
      </c>
      <c r="T212" t="s">
        <v>91</v>
      </c>
    </row>
    <row r="213" spans="15:20" x14ac:dyDescent="0.75">
      <c r="O213" t="s">
        <v>103</v>
      </c>
      <c r="P213" t="s">
        <v>112</v>
      </c>
      <c r="Q213" t="s">
        <v>113</v>
      </c>
      <c r="R213" s="48">
        <v>45200</v>
      </c>
      <c r="S213" s="53">
        <v>14817</v>
      </c>
      <c r="T213" t="s">
        <v>91</v>
      </c>
    </row>
    <row r="214" spans="15:20" x14ac:dyDescent="0.75">
      <c r="O214" t="s">
        <v>103</v>
      </c>
      <c r="P214" t="s">
        <v>112</v>
      </c>
      <c r="Q214" t="s">
        <v>113</v>
      </c>
      <c r="R214" s="48">
        <v>45231</v>
      </c>
      <c r="S214" s="53">
        <v>15064</v>
      </c>
      <c r="T214" t="s">
        <v>91</v>
      </c>
    </row>
    <row r="215" spans="15:20" x14ac:dyDescent="0.75">
      <c r="O215" t="s">
        <v>103</v>
      </c>
      <c r="P215" t="s">
        <v>112</v>
      </c>
      <c r="Q215" t="s">
        <v>113</v>
      </c>
      <c r="R215" s="48">
        <v>45261</v>
      </c>
      <c r="S215" s="53">
        <v>15637</v>
      </c>
      <c r="T215" t="s">
        <v>91</v>
      </c>
    </row>
    <row r="216" spans="15:20" x14ac:dyDescent="0.75">
      <c r="O216" t="s">
        <v>103</v>
      </c>
      <c r="P216" t="s">
        <v>112</v>
      </c>
      <c r="Q216" t="s">
        <v>113</v>
      </c>
      <c r="R216" s="48">
        <v>45292</v>
      </c>
      <c r="S216" s="52">
        <v>12982</v>
      </c>
      <c r="T216" t="s">
        <v>91</v>
      </c>
    </row>
    <row r="217" spans="15:20" x14ac:dyDescent="0.75">
      <c r="O217" t="s">
        <v>103</v>
      </c>
      <c r="P217" t="s">
        <v>112</v>
      </c>
      <c r="Q217" t="s">
        <v>113</v>
      </c>
      <c r="R217" s="48">
        <v>45323</v>
      </c>
      <c r="S217" s="52">
        <v>12930</v>
      </c>
      <c r="T217" t="s">
        <v>91</v>
      </c>
    </row>
    <row r="218" spans="15:20" x14ac:dyDescent="0.75">
      <c r="O218" t="s">
        <v>103</v>
      </c>
      <c r="P218" t="s">
        <v>112</v>
      </c>
      <c r="Q218" t="s">
        <v>113</v>
      </c>
      <c r="R218" s="48">
        <v>45352</v>
      </c>
      <c r="S218" s="52">
        <v>15714</v>
      </c>
      <c r="T218" t="s">
        <v>91</v>
      </c>
    </row>
    <row r="219" spans="15:20" x14ac:dyDescent="0.75">
      <c r="O219" t="s">
        <v>103</v>
      </c>
      <c r="P219" t="s">
        <v>112</v>
      </c>
      <c r="Q219" t="s">
        <v>113</v>
      </c>
      <c r="R219" s="48">
        <v>45383</v>
      </c>
      <c r="S219" s="51">
        <v>13270</v>
      </c>
      <c r="T219" t="s">
        <v>91</v>
      </c>
    </row>
    <row r="220" spans="15:20" x14ac:dyDescent="0.75">
      <c r="O220" t="s">
        <v>103</v>
      </c>
      <c r="P220" t="s">
        <v>112</v>
      </c>
      <c r="Q220" t="s">
        <v>113</v>
      </c>
      <c r="R220" s="48">
        <v>45413</v>
      </c>
      <c r="S220" s="51">
        <v>13906</v>
      </c>
      <c r="T220" t="s">
        <v>91</v>
      </c>
    </row>
    <row r="221" spans="15:20" x14ac:dyDescent="0.75">
      <c r="O221" t="s">
        <v>103</v>
      </c>
      <c r="P221" t="s">
        <v>112</v>
      </c>
      <c r="Q221" t="s">
        <v>113</v>
      </c>
      <c r="R221" s="48">
        <v>45444</v>
      </c>
      <c r="S221" s="51">
        <v>13906</v>
      </c>
      <c r="T221" t="s">
        <v>91</v>
      </c>
    </row>
    <row r="222" spans="15:20" x14ac:dyDescent="0.75">
      <c r="O222" t="s">
        <v>103</v>
      </c>
      <c r="P222" t="s">
        <v>112</v>
      </c>
      <c r="Q222" t="s">
        <v>113</v>
      </c>
      <c r="R222" s="48">
        <v>45474</v>
      </c>
      <c r="S222" s="51">
        <v>16959</v>
      </c>
      <c r="T222" t="s">
        <v>91</v>
      </c>
    </row>
    <row r="223" spans="15:20" x14ac:dyDescent="0.75">
      <c r="O223" t="s">
        <v>103</v>
      </c>
      <c r="P223" t="s">
        <v>112</v>
      </c>
      <c r="Q223" t="s">
        <v>113</v>
      </c>
      <c r="R223" s="48">
        <v>45505</v>
      </c>
      <c r="S223" s="51">
        <v>13610</v>
      </c>
      <c r="T223" t="s">
        <v>91</v>
      </c>
    </row>
    <row r="224" spans="15:20" x14ac:dyDescent="0.75">
      <c r="O224" t="s">
        <v>103</v>
      </c>
      <c r="P224" t="s">
        <v>112</v>
      </c>
      <c r="Q224" t="s">
        <v>113</v>
      </c>
      <c r="R224" s="48">
        <v>45536</v>
      </c>
      <c r="S224" s="51">
        <v>13382</v>
      </c>
      <c r="T224" t="s">
        <v>91</v>
      </c>
    </row>
    <row r="225" spans="15:20" x14ac:dyDescent="0.75">
      <c r="O225" t="s">
        <v>103</v>
      </c>
      <c r="P225" t="s">
        <v>112</v>
      </c>
      <c r="Q225" t="s">
        <v>113</v>
      </c>
      <c r="R225" s="48">
        <v>45566</v>
      </c>
      <c r="S225" s="51">
        <v>14646</v>
      </c>
      <c r="T225" t="s">
        <v>91</v>
      </c>
    </row>
    <row r="226" spans="15:20" x14ac:dyDescent="0.75">
      <c r="O226" t="s">
        <v>103</v>
      </c>
      <c r="P226" t="s">
        <v>112</v>
      </c>
      <c r="Q226" t="s">
        <v>113</v>
      </c>
      <c r="R226" s="48">
        <v>45597</v>
      </c>
      <c r="S226" s="51">
        <v>15306</v>
      </c>
      <c r="T226" t="s">
        <v>91</v>
      </c>
    </row>
    <row r="227" spans="15:20" x14ac:dyDescent="0.75">
      <c r="O227" t="s">
        <v>103</v>
      </c>
      <c r="P227" t="s">
        <v>112</v>
      </c>
      <c r="Q227" t="s">
        <v>113</v>
      </c>
      <c r="R227" s="48">
        <v>45627</v>
      </c>
      <c r="S227" s="51">
        <v>14483</v>
      </c>
      <c r="T227" t="s">
        <v>91</v>
      </c>
    </row>
    <row r="228" spans="15:20" x14ac:dyDescent="0.75">
      <c r="O228" t="s">
        <v>103</v>
      </c>
      <c r="P228" t="s">
        <v>112</v>
      </c>
      <c r="Q228" t="s">
        <v>113</v>
      </c>
      <c r="R228" s="48">
        <v>45658</v>
      </c>
      <c r="S228" s="51">
        <v>13225</v>
      </c>
      <c r="T228" t="s">
        <v>91</v>
      </c>
    </row>
    <row r="229" spans="15:20" x14ac:dyDescent="0.75">
      <c r="O229" t="s">
        <v>103</v>
      </c>
      <c r="P229" t="s">
        <v>112</v>
      </c>
      <c r="Q229" t="s">
        <v>113</v>
      </c>
      <c r="R229" s="48">
        <v>45689</v>
      </c>
      <c r="S229" s="51">
        <v>14397</v>
      </c>
      <c r="T229" t="s">
        <v>91</v>
      </c>
    </row>
    <row r="230" spans="15:20" x14ac:dyDescent="0.75">
      <c r="O230" t="s">
        <v>103</v>
      </c>
      <c r="P230" t="s">
        <v>112</v>
      </c>
      <c r="Q230" t="s">
        <v>113</v>
      </c>
      <c r="R230" s="48">
        <v>45717</v>
      </c>
      <c r="S230" s="54">
        <v>17213</v>
      </c>
      <c r="T230" t="s">
        <v>91</v>
      </c>
    </row>
    <row r="231" spans="15:20" x14ac:dyDescent="0.75">
      <c r="O231" t="s">
        <v>103</v>
      </c>
      <c r="P231" t="s">
        <v>112</v>
      </c>
      <c r="Q231" t="s">
        <v>113</v>
      </c>
      <c r="R231" s="48">
        <v>45748</v>
      </c>
      <c r="S231" s="54">
        <v>17368</v>
      </c>
      <c r="T231" t="s">
        <v>91</v>
      </c>
    </row>
    <row r="232" spans="15:20" x14ac:dyDescent="0.75">
      <c r="O232" t="s">
        <v>103</v>
      </c>
      <c r="P232" t="s">
        <v>112</v>
      </c>
      <c r="Q232" t="s">
        <v>113</v>
      </c>
      <c r="R232" s="48">
        <v>45778</v>
      </c>
      <c r="S232" s="51">
        <v>15424</v>
      </c>
      <c r="T232" t="s">
        <v>91</v>
      </c>
    </row>
    <row r="233" spans="15:20" x14ac:dyDescent="0.75">
      <c r="O233" t="s">
        <v>104</v>
      </c>
      <c r="P233" t="s">
        <v>114</v>
      </c>
      <c r="Q233" t="s">
        <v>113</v>
      </c>
      <c r="R233" s="48">
        <v>43466</v>
      </c>
      <c r="S233" s="49">
        <v>15807.75</v>
      </c>
      <c r="T233" t="s">
        <v>91</v>
      </c>
    </row>
    <row r="234" spans="15:20" x14ac:dyDescent="0.75">
      <c r="O234" t="s">
        <v>104</v>
      </c>
      <c r="P234" t="s">
        <v>114</v>
      </c>
      <c r="Q234" t="s">
        <v>113</v>
      </c>
      <c r="R234" s="48">
        <v>43497</v>
      </c>
      <c r="S234" s="49">
        <v>16234.8</v>
      </c>
      <c r="T234" t="s">
        <v>91</v>
      </c>
    </row>
    <row r="235" spans="15:20" x14ac:dyDescent="0.75">
      <c r="O235" t="s">
        <v>104</v>
      </c>
      <c r="P235" t="s">
        <v>114</v>
      </c>
      <c r="Q235" t="s">
        <v>113</v>
      </c>
      <c r="R235" s="48">
        <v>43525</v>
      </c>
      <c r="S235" s="49">
        <v>13866.95</v>
      </c>
      <c r="T235" t="s">
        <v>91</v>
      </c>
    </row>
    <row r="236" spans="15:20" x14ac:dyDescent="0.75">
      <c r="O236" t="s">
        <v>104</v>
      </c>
      <c r="P236" t="s">
        <v>114</v>
      </c>
      <c r="Q236" t="s">
        <v>113</v>
      </c>
      <c r="R236" s="48">
        <v>43556</v>
      </c>
      <c r="S236" s="49">
        <v>17598.849999999999</v>
      </c>
      <c r="T236" t="s">
        <v>91</v>
      </c>
    </row>
    <row r="237" spans="15:20" x14ac:dyDescent="0.75">
      <c r="O237" t="s">
        <v>104</v>
      </c>
      <c r="P237" t="s">
        <v>114</v>
      </c>
      <c r="Q237" t="s">
        <v>113</v>
      </c>
      <c r="R237" s="48">
        <v>43586</v>
      </c>
      <c r="S237" s="49">
        <v>12524.4</v>
      </c>
      <c r="T237" t="s">
        <v>91</v>
      </c>
    </row>
    <row r="238" spans="15:20" x14ac:dyDescent="0.75">
      <c r="O238" t="s">
        <v>104</v>
      </c>
      <c r="P238" t="s">
        <v>114</v>
      </c>
      <c r="Q238" t="s">
        <v>113</v>
      </c>
      <c r="R238" s="48">
        <v>43617</v>
      </c>
      <c r="S238" s="49">
        <v>9517.5</v>
      </c>
      <c r="T238" t="s">
        <v>91</v>
      </c>
    </row>
    <row r="239" spans="15:20" x14ac:dyDescent="0.75">
      <c r="O239" t="s">
        <v>104</v>
      </c>
      <c r="P239" t="s">
        <v>114</v>
      </c>
      <c r="Q239" t="s">
        <v>113</v>
      </c>
      <c r="R239" s="48">
        <v>43647</v>
      </c>
      <c r="S239" s="49">
        <v>11166.7</v>
      </c>
      <c r="T239" t="s">
        <v>91</v>
      </c>
    </row>
    <row r="240" spans="15:20" x14ac:dyDescent="0.75">
      <c r="O240" t="s">
        <v>104</v>
      </c>
      <c r="P240" t="s">
        <v>114</v>
      </c>
      <c r="Q240" t="s">
        <v>113</v>
      </c>
      <c r="R240" s="48">
        <v>43678</v>
      </c>
      <c r="S240" s="49">
        <v>11472.55</v>
      </c>
      <c r="T240" t="s">
        <v>91</v>
      </c>
    </row>
    <row r="241" spans="15:20" x14ac:dyDescent="0.75">
      <c r="O241" t="s">
        <v>104</v>
      </c>
      <c r="P241" t="s">
        <v>114</v>
      </c>
      <c r="Q241" t="s">
        <v>113</v>
      </c>
      <c r="R241" s="48">
        <v>43709</v>
      </c>
      <c r="S241" s="49">
        <v>12360.9</v>
      </c>
      <c r="T241" t="s">
        <v>91</v>
      </c>
    </row>
    <row r="242" spans="15:20" x14ac:dyDescent="0.75">
      <c r="O242" t="s">
        <v>104</v>
      </c>
      <c r="P242" t="s">
        <v>114</v>
      </c>
      <c r="Q242" t="s">
        <v>113</v>
      </c>
      <c r="R242" s="48">
        <v>43739</v>
      </c>
      <c r="S242" s="49">
        <v>9656.9</v>
      </c>
      <c r="T242" t="s">
        <v>91</v>
      </c>
    </row>
    <row r="243" spans="15:20" x14ac:dyDescent="0.75">
      <c r="O243" t="s">
        <v>104</v>
      </c>
      <c r="P243" t="s">
        <v>114</v>
      </c>
      <c r="Q243" t="s">
        <v>113</v>
      </c>
      <c r="R243" s="48">
        <v>43770</v>
      </c>
      <c r="S243" s="49">
        <v>9087.9500000000007</v>
      </c>
      <c r="T243" t="s">
        <v>91</v>
      </c>
    </row>
    <row r="244" spans="15:20" x14ac:dyDescent="0.75">
      <c r="O244" t="s">
        <v>104</v>
      </c>
      <c r="P244" t="s">
        <v>114</v>
      </c>
      <c r="Q244" t="s">
        <v>113</v>
      </c>
      <c r="R244" s="48">
        <v>43800</v>
      </c>
      <c r="S244" s="49">
        <v>10283.25</v>
      </c>
      <c r="T244" t="s">
        <v>91</v>
      </c>
    </row>
    <row r="245" spans="15:20" x14ac:dyDescent="0.75">
      <c r="O245" t="s">
        <v>104</v>
      </c>
      <c r="P245" t="s">
        <v>114</v>
      </c>
      <c r="Q245" t="s">
        <v>113</v>
      </c>
      <c r="R245" s="48">
        <v>43831</v>
      </c>
      <c r="S245" s="49">
        <v>11030.65</v>
      </c>
      <c r="T245" t="s">
        <v>91</v>
      </c>
    </row>
    <row r="246" spans="15:20" x14ac:dyDescent="0.75">
      <c r="O246" t="s">
        <v>104</v>
      </c>
      <c r="P246" t="s">
        <v>114</v>
      </c>
      <c r="Q246" t="s">
        <v>113</v>
      </c>
      <c r="R246" s="48">
        <v>43862</v>
      </c>
      <c r="S246" s="49">
        <v>8710</v>
      </c>
      <c r="T246" t="s">
        <v>91</v>
      </c>
    </row>
    <row r="247" spans="15:20" x14ac:dyDescent="0.75">
      <c r="O247" t="s">
        <v>104</v>
      </c>
      <c r="P247" t="s">
        <v>114</v>
      </c>
      <c r="Q247" t="s">
        <v>113</v>
      </c>
      <c r="R247" s="48">
        <v>43891</v>
      </c>
      <c r="S247" s="49">
        <v>11352.75</v>
      </c>
      <c r="T247" t="s">
        <v>91</v>
      </c>
    </row>
    <row r="248" spans="15:20" x14ac:dyDescent="0.75">
      <c r="O248" t="s">
        <v>104</v>
      </c>
      <c r="P248" t="s">
        <v>114</v>
      </c>
      <c r="Q248" t="s">
        <v>113</v>
      </c>
      <c r="R248" s="48">
        <v>43922</v>
      </c>
      <c r="S248" s="49">
        <v>4075</v>
      </c>
      <c r="T248" t="s">
        <v>91</v>
      </c>
    </row>
    <row r="249" spans="15:20" x14ac:dyDescent="0.75">
      <c r="O249" t="s">
        <v>104</v>
      </c>
      <c r="P249" t="s">
        <v>114</v>
      </c>
      <c r="Q249" t="s">
        <v>113</v>
      </c>
      <c r="R249" s="48">
        <v>43952</v>
      </c>
      <c r="S249" s="49">
        <v>43</v>
      </c>
      <c r="T249" t="s">
        <v>91</v>
      </c>
    </row>
    <row r="250" spans="15:20" x14ac:dyDescent="0.75">
      <c r="O250" t="s">
        <v>104</v>
      </c>
      <c r="P250" t="s">
        <v>114</v>
      </c>
      <c r="Q250" t="s">
        <v>113</v>
      </c>
      <c r="R250" s="48">
        <v>43983</v>
      </c>
      <c r="S250" s="49">
        <v>68</v>
      </c>
      <c r="T250" t="s">
        <v>91</v>
      </c>
    </row>
    <row r="251" spans="15:20" x14ac:dyDescent="0.75">
      <c r="O251" t="s">
        <v>104</v>
      </c>
      <c r="P251" t="s">
        <v>114</v>
      </c>
      <c r="Q251" t="s">
        <v>113</v>
      </c>
      <c r="R251" s="48">
        <v>44013</v>
      </c>
      <c r="S251" s="49">
        <v>1168</v>
      </c>
      <c r="T251" t="s">
        <v>91</v>
      </c>
    </row>
    <row r="252" spans="15:20" x14ac:dyDescent="0.75">
      <c r="O252" t="s">
        <v>104</v>
      </c>
      <c r="P252" t="s">
        <v>114</v>
      </c>
      <c r="Q252" t="s">
        <v>113</v>
      </c>
      <c r="R252" s="48">
        <v>44044</v>
      </c>
      <c r="S252" s="49">
        <v>738.8</v>
      </c>
      <c r="T252" t="s">
        <v>91</v>
      </c>
    </row>
    <row r="253" spans="15:20" x14ac:dyDescent="0.75">
      <c r="O253" t="s">
        <v>104</v>
      </c>
      <c r="P253" t="s">
        <v>114</v>
      </c>
      <c r="Q253" t="s">
        <v>113</v>
      </c>
      <c r="R253" s="48">
        <v>44075</v>
      </c>
      <c r="S253" s="49">
        <v>4887.05</v>
      </c>
      <c r="T253" t="s">
        <v>91</v>
      </c>
    </row>
    <row r="254" spans="15:20" x14ac:dyDescent="0.75">
      <c r="O254" t="s">
        <v>104</v>
      </c>
      <c r="P254" t="s">
        <v>114</v>
      </c>
      <c r="Q254" t="s">
        <v>113</v>
      </c>
      <c r="R254" s="48">
        <v>44105</v>
      </c>
      <c r="S254" s="49">
        <v>4199.6000000000004</v>
      </c>
      <c r="T254" t="s">
        <v>91</v>
      </c>
    </row>
    <row r="255" spans="15:20" x14ac:dyDescent="0.75">
      <c r="O255" t="s">
        <v>104</v>
      </c>
      <c r="P255" t="s">
        <v>114</v>
      </c>
      <c r="Q255" t="s">
        <v>113</v>
      </c>
      <c r="R255" s="48">
        <v>44136</v>
      </c>
      <c r="S255" s="49">
        <v>1247.7</v>
      </c>
      <c r="T255" t="s">
        <v>91</v>
      </c>
    </row>
    <row r="256" spans="15:20" x14ac:dyDescent="0.75">
      <c r="O256" t="s">
        <v>104</v>
      </c>
      <c r="P256" t="s">
        <v>114</v>
      </c>
      <c r="Q256" t="s">
        <v>113</v>
      </c>
      <c r="R256" s="48">
        <v>44166</v>
      </c>
      <c r="S256" s="49">
        <v>1790.3</v>
      </c>
      <c r="T256" t="s">
        <v>91</v>
      </c>
    </row>
    <row r="257" spans="15:20" x14ac:dyDescent="0.75">
      <c r="O257" t="s">
        <v>104</v>
      </c>
      <c r="P257" t="s">
        <v>114</v>
      </c>
      <c r="Q257" t="s">
        <v>113</v>
      </c>
      <c r="R257" s="48">
        <v>44197</v>
      </c>
      <c r="S257" s="49">
        <v>254</v>
      </c>
      <c r="T257" t="s">
        <v>91</v>
      </c>
    </row>
    <row r="258" spans="15:20" x14ac:dyDescent="0.75">
      <c r="O258" t="s">
        <v>104</v>
      </c>
      <c r="P258" t="s">
        <v>114</v>
      </c>
      <c r="Q258" t="s">
        <v>113</v>
      </c>
      <c r="R258" s="48">
        <v>44228</v>
      </c>
      <c r="S258" s="49">
        <v>1270.25</v>
      </c>
      <c r="T258" t="s">
        <v>91</v>
      </c>
    </row>
    <row r="259" spans="15:20" x14ac:dyDescent="0.75">
      <c r="O259" t="s">
        <v>104</v>
      </c>
      <c r="P259" t="s">
        <v>114</v>
      </c>
      <c r="Q259" t="s">
        <v>113</v>
      </c>
      <c r="R259" s="48">
        <v>44256</v>
      </c>
      <c r="S259" s="49">
        <v>3350.25</v>
      </c>
      <c r="T259" t="s">
        <v>91</v>
      </c>
    </row>
    <row r="260" spans="15:20" x14ac:dyDescent="0.75">
      <c r="O260" t="s">
        <v>104</v>
      </c>
      <c r="P260" t="s">
        <v>114</v>
      </c>
      <c r="Q260" t="s">
        <v>113</v>
      </c>
      <c r="R260" s="48">
        <v>44287</v>
      </c>
      <c r="S260" s="49">
        <v>4554.75</v>
      </c>
      <c r="T260" t="s">
        <v>91</v>
      </c>
    </row>
    <row r="261" spans="15:20" x14ac:dyDescent="0.75">
      <c r="O261" t="s">
        <v>104</v>
      </c>
      <c r="P261" t="s">
        <v>114</v>
      </c>
      <c r="Q261" t="s">
        <v>113</v>
      </c>
      <c r="R261" s="48">
        <v>44317</v>
      </c>
      <c r="S261" s="49">
        <v>5088.8999999999996</v>
      </c>
      <c r="T261" t="s">
        <v>91</v>
      </c>
    </row>
    <row r="262" spans="15:20" x14ac:dyDescent="0.75">
      <c r="O262" t="s">
        <v>104</v>
      </c>
      <c r="P262" t="s">
        <v>114</v>
      </c>
      <c r="Q262" t="s">
        <v>113</v>
      </c>
      <c r="R262" s="48">
        <v>44348</v>
      </c>
      <c r="S262" s="49">
        <v>1790.35</v>
      </c>
      <c r="T262" t="s">
        <v>91</v>
      </c>
    </row>
    <row r="263" spans="15:20" x14ac:dyDescent="0.75">
      <c r="O263" t="s">
        <v>104</v>
      </c>
      <c r="P263" t="s">
        <v>114</v>
      </c>
      <c r="Q263" t="s">
        <v>113</v>
      </c>
      <c r="R263" s="48">
        <v>44378</v>
      </c>
      <c r="S263" s="49">
        <v>120.7</v>
      </c>
      <c r="T263" t="s">
        <v>91</v>
      </c>
    </row>
    <row r="264" spans="15:20" x14ac:dyDescent="0.75">
      <c r="O264" t="s">
        <v>104</v>
      </c>
      <c r="P264" t="s">
        <v>114</v>
      </c>
      <c r="Q264" t="s">
        <v>113</v>
      </c>
      <c r="R264" s="48">
        <v>44409</v>
      </c>
      <c r="S264" s="49">
        <v>3201.7</v>
      </c>
      <c r="T264" t="s">
        <v>91</v>
      </c>
    </row>
    <row r="265" spans="15:20" x14ac:dyDescent="0.75">
      <c r="O265" t="s">
        <v>104</v>
      </c>
      <c r="P265" t="s">
        <v>114</v>
      </c>
      <c r="Q265" t="s">
        <v>113</v>
      </c>
      <c r="R265" s="48">
        <v>44440</v>
      </c>
      <c r="S265" s="49">
        <v>1510.95</v>
      </c>
      <c r="T265" t="s">
        <v>91</v>
      </c>
    </row>
    <row r="266" spans="15:20" x14ac:dyDescent="0.75">
      <c r="O266" t="s">
        <v>104</v>
      </c>
      <c r="P266" t="s">
        <v>114</v>
      </c>
      <c r="Q266" t="s">
        <v>113</v>
      </c>
      <c r="R266" s="48">
        <v>44470</v>
      </c>
      <c r="S266" s="49">
        <v>1426.95</v>
      </c>
      <c r="T266" t="s">
        <v>91</v>
      </c>
    </row>
    <row r="267" spans="15:20" x14ac:dyDescent="0.75">
      <c r="O267" t="s">
        <v>104</v>
      </c>
      <c r="P267" t="s">
        <v>114</v>
      </c>
      <c r="Q267" t="s">
        <v>113</v>
      </c>
      <c r="R267" s="48">
        <v>44501</v>
      </c>
      <c r="S267" s="49">
        <v>1865.4</v>
      </c>
      <c r="T267" t="s">
        <v>91</v>
      </c>
    </row>
    <row r="268" spans="15:20" x14ac:dyDescent="0.75">
      <c r="O268" t="s">
        <v>104</v>
      </c>
      <c r="P268" t="s">
        <v>114</v>
      </c>
      <c r="Q268" t="s">
        <v>113</v>
      </c>
      <c r="R268" s="48">
        <v>44531</v>
      </c>
      <c r="S268" s="49">
        <v>2272.4499999999998</v>
      </c>
      <c r="T268" t="s">
        <v>91</v>
      </c>
    </row>
    <row r="269" spans="15:20" x14ac:dyDescent="0.75">
      <c r="O269" t="s">
        <v>104</v>
      </c>
      <c r="P269" t="s">
        <v>114</v>
      </c>
      <c r="Q269" t="s">
        <v>113</v>
      </c>
      <c r="R269" s="48">
        <v>44562</v>
      </c>
      <c r="S269" s="49">
        <v>1266.55</v>
      </c>
      <c r="T269" t="s">
        <v>91</v>
      </c>
    </row>
    <row r="270" spans="15:20" x14ac:dyDescent="0.75">
      <c r="O270" t="s">
        <v>104</v>
      </c>
      <c r="P270" t="s">
        <v>114</v>
      </c>
      <c r="Q270" t="s">
        <v>113</v>
      </c>
      <c r="R270" s="48">
        <v>44593</v>
      </c>
      <c r="S270" s="49">
        <v>2739.6</v>
      </c>
      <c r="T270" t="s">
        <v>91</v>
      </c>
    </row>
    <row r="271" spans="15:20" x14ac:dyDescent="0.75">
      <c r="O271" t="s">
        <v>104</v>
      </c>
      <c r="P271" t="s">
        <v>114</v>
      </c>
      <c r="Q271" t="s">
        <v>113</v>
      </c>
      <c r="R271" s="48">
        <v>44621</v>
      </c>
      <c r="S271" s="49">
        <v>2580.0500000000002</v>
      </c>
      <c r="T271" t="s">
        <v>91</v>
      </c>
    </row>
    <row r="272" spans="15:20" x14ac:dyDescent="0.75">
      <c r="O272" t="s">
        <v>104</v>
      </c>
      <c r="P272" t="s">
        <v>114</v>
      </c>
      <c r="Q272" t="s">
        <v>113</v>
      </c>
      <c r="R272" s="48">
        <v>44652</v>
      </c>
      <c r="S272" s="49">
        <v>1594.5</v>
      </c>
      <c r="T272" t="s">
        <v>91</v>
      </c>
    </row>
    <row r="273" spans="15:20" x14ac:dyDescent="0.75">
      <c r="O273" t="s">
        <v>104</v>
      </c>
      <c r="P273" t="s">
        <v>114</v>
      </c>
      <c r="Q273" t="s">
        <v>113</v>
      </c>
      <c r="R273" s="48">
        <v>44682</v>
      </c>
      <c r="S273" s="49">
        <v>1719.15</v>
      </c>
      <c r="T273" t="s">
        <v>91</v>
      </c>
    </row>
    <row r="274" spans="15:20" x14ac:dyDescent="0.75">
      <c r="O274" t="s">
        <v>104</v>
      </c>
      <c r="P274" t="s">
        <v>114</v>
      </c>
      <c r="Q274" t="s">
        <v>113</v>
      </c>
      <c r="R274" s="48">
        <v>44713</v>
      </c>
      <c r="S274" s="49">
        <v>3586.95</v>
      </c>
      <c r="T274" t="s">
        <v>91</v>
      </c>
    </row>
    <row r="275" spans="15:20" x14ac:dyDescent="0.75">
      <c r="O275" t="s">
        <v>104</v>
      </c>
      <c r="P275" t="s">
        <v>114</v>
      </c>
      <c r="Q275" t="s">
        <v>113</v>
      </c>
      <c r="R275" s="48">
        <v>44743</v>
      </c>
      <c r="S275" s="49">
        <v>5256.6</v>
      </c>
      <c r="T275" t="s">
        <v>91</v>
      </c>
    </row>
    <row r="276" spans="15:20" x14ac:dyDescent="0.75">
      <c r="O276" t="s">
        <v>104</v>
      </c>
      <c r="P276" t="s">
        <v>114</v>
      </c>
      <c r="Q276" t="s">
        <v>113</v>
      </c>
      <c r="R276" s="48">
        <v>44774</v>
      </c>
      <c r="S276" s="49">
        <v>2064.75</v>
      </c>
      <c r="T276" t="s">
        <v>91</v>
      </c>
    </row>
    <row r="277" spans="15:20" x14ac:dyDescent="0.75">
      <c r="O277" t="s">
        <v>104</v>
      </c>
      <c r="P277" t="s">
        <v>114</v>
      </c>
      <c r="Q277" t="s">
        <v>113</v>
      </c>
      <c r="R277" s="48">
        <v>44805</v>
      </c>
      <c r="S277" s="49">
        <v>2113.4</v>
      </c>
      <c r="T277" t="s">
        <v>91</v>
      </c>
    </row>
    <row r="278" spans="15:20" x14ac:dyDescent="0.75">
      <c r="O278" t="s">
        <v>104</v>
      </c>
      <c r="P278" t="s">
        <v>114</v>
      </c>
      <c r="Q278" t="s">
        <v>113</v>
      </c>
      <c r="R278" s="48">
        <v>44835</v>
      </c>
      <c r="S278" s="49">
        <v>4356.8</v>
      </c>
      <c r="T278" t="s">
        <v>91</v>
      </c>
    </row>
    <row r="279" spans="15:20" x14ac:dyDescent="0.75">
      <c r="O279" t="s">
        <v>104</v>
      </c>
      <c r="P279" t="s">
        <v>114</v>
      </c>
      <c r="Q279" t="s">
        <v>113</v>
      </c>
      <c r="R279" s="48">
        <v>44866</v>
      </c>
      <c r="S279" s="49">
        <v>4475.7</v>
      </c>
      <c r="T279" t="s">
        <v>91</v>
      </c>
    </row>
    <row r="280" spans="15:20" x14ac:dyDescent="0.75">
      <c r="O280" t="s">
        <v>104</v>
      </c>
      <c r="P280" t="s">
        <v>114</v>
      </c>
      <c r="Q280" t="s">
        <v>113</v>
      </c>
      <c r="R280" s="48">
        <v>44896</v>
      </c>
      <c r="S280" s="49">
        <v>7825.9</v>
      </c>
      <c r="T280" t="s">
        <v>91</v>
      </c>
    </row>
    <row r="281" spans="15:20" x14ac:dyDescent="0.75">
      <c r="O281" t="s">
        <v>104</v>
      </c>
      <c r="P281" t="s">
        <v>114</v>
      </c>
      <c r="Q281" t="s">
        <v>113</v>
      </c>
      <c r="R281" s="48">
        <v>44927</v>
      </c>
      <c r="S281" s="49">
        <v>6480.7</v>
      </c>
      <c r="T281" t="s">
        <v>91</v>
      </c>
    </row>
    <row r="282" spans="15:20" x14ac:dyDescent="0.75">
      <c r="O282" t="s">
        <v>104</v>
      </c>
      <c r="P282" t="s">
        <v>114</v>
      </c>
      <c r="Q282" t="s">
        <v>113</v>
      </c>
      <c r="R282" s="48">
        <v>44958</v>
      </c>
      <c r="S282" s="49">
        <v>2175.1999999999998</v>
      </c>
      <c r="T282" t="s">
        <v>91</v>
      </c>
    </row>
    <row r="283" spans="15:20" x14ac:dyDescent="0.75">
      <c r="O283" t="s">
        <v>104</v>
      </c>
      <c r="P283" t="s">
        <v>114</v>
      </c>
      <c r="Q283" t="s">
        <v>113</v>
      </c>
      <c r="R283" s="48">
        <v>44986</v>
      </c>
      <c r="S283" s="51">
        <v>5991</v>
      </c>
      <c r="T283" t="s">
        <v>91</v>
      </c>
    </row>
    <row r="284" spans="15:20" x14ac:dyDescent="0.75">
      <c r="O284" t="s">
        <v>104</v>
      </c>
      <c r="P284" t="s">
        <v>114</v>
      </c>
      <c r="Q284" t="s">
        <v>113</v>
      </c>
      <c r="R284" s="48">
        <v>45017</v>
      </c>
      <c r="S284" s="51">
        <v>4195.25</v>
      </c>
      <c r="T284" t="s">
        <v>91</v>
      </c>
    </row>
    <row r="285" spans="15:20" x14ac:dyDescent="0.75">
      <c r="O285" t="s">
        <v>104</v>
      </c>
      <c r="P285" t="s">
        <v>114</v>
      </c>
      <c r="Q285" t="s">
        <v>113</v>
      </c>
      <c r="R285" s="48">
        <v>45047</v>
      </c>
      <c r="S285" s="51">
        <v>2535.8000000000002</v>
      </c>
      <c r="T285" t="s">
        <v>91</v>
      </c>
    </row>
    <row r="286" spans="15:20" x14ac:dyDescent="0.75">
      <c r="O286" t="s">
        <v>104</v>
      </c>
      <c r="P286" t="s">
        <v>114</v>
      </c>
      <c r="Q286" t="s">
        <v>113</v>
      </c>
      <c r="R286" s="48">
        <v>45078</v>
      </c>
      <c r="S286" s="51">
        <v>2069.5500000000002</v>
      </c>
      <c r="T286" t="s">
        <v>91</v>
      </c>
    </row>
    <row r="287" spans="15:20" x14ac:dyDescent="0.75">
      <c r="O287" t="s">
        <v>104</v>
      </c>
      <c r="P287" t="s">
        <v>114</v>
      </c>
      <c r="Q287" t="s">
        <v>113</v>
      </c>
      <c r="R287" s="48">
        <v>45108</v>
      </c>
      <c r="S287" s="51">
        <v>641.95000000000005</v>
      </c>
      <c r="T287" t="s">
        <v>91</v>
      </c>
    </row>
    <row r="288" spans="15:20" x14ac:dyDescent="0.75">
      <c r="O288" t="s">
        <v>104</v>
      </c>
      <c r="P288" t="s">
        <v>114</v>
      </c>
      <c r="Q288" t="s">
        <v>113</v>
      </c>
      <c r="R288" s="48">
        <v>45139</v>
      </c>
      <c r="S288" s="51">
        <v>2758.95</v>
      </c>
      <c r="T288" t="s">
        <v>91</v>
      </c>
    </row>
    <row r="289" spans="15:20" x14ac:dyDescent="0.75">
      <c r="O289" t="s">
        <v>104</v>
      </c>
      <c r="P289" t="s">
        <v>114</v>
      </c>
      <c r="Q289" t="s">
        <v>113</v>
      </c>
      <c r="R289" s="48">
        <v>45170</v>
      </c>
      <c r="S289" s="51">
        <v>1444</v>
      </c>
      <c r="T289" t="s">
        <v>91</v>
      </c>
    </row>
    <row r="290" spans="15:20" x14ac:dyDescent="0.75">
      <c r="O290" t="s">
        <v>104</v>
      </c>
      <c r="P290" t="s">
        <v>114</v>
      </c>
      <c r="Q290" t="s">
        <v>113</v>
      </c>
      <c r="R290" s="48">
        <v>45200</v>
      </c>
      <c r="S290" s="55">
        <v>109</v>
      </c>
      <c r="T290" t="s">
        <v>91</v>
      </c>
    </row>
    <row r="291" spans="15:20" x14ac:dyDescent="0.75">
      <c r="O291" t="s">
        <v>104</v>
      </c>
      <c r="P291" t="s">
        <v>114</v>
      </c>
      <c r="Q291" t="s">
        <v>113</v>
      </c>
      <c r="R291" s="48">
        <v>45231</v>
      </c>
      <c r="S291" s="55">
        <v>140.9</v>
      </c>
      <c r="T291" t="s">
        <v>91</v>
      </c>
    </row>
    <row r="292" spans="15:20" x14ac:dyDescent="0.75">
      <c r="O292" t="s">
        <v>104</v>
      </c>
      <c r="P292" t="s">
        <v>114</v>
      </c>
      <c r="Q292" t="s">
        <v>113</v>
      </c>
      <c r="R292" s="48">
        <v>45261</v>
      </c>
      <c r="S292" s="55">
        <v>191</v>
      </c>
      <c r="T292" t="s">
        <v>91</v>
      </c>
    </row>
    <row r="293" spans="15:20" x14ac:dyDescent="0.75">
      <c r="O293" t="s">
        <v>104</v>
      </c>
      <c r="P293" t="s">
        <v>114</v>
      </c>
      <c r="Q293" t="s">
        <v>113</v>
      </c>
      <c r="R293" s="48">
        <v>45292</v>
      </c>
      <c r="S293" s="56">
        <v>179</v>
      </c>
      <c r="T293" t="s">
        <v>91</v>
      </c>
    </row>
    <row r="294" spans="15:20" x14ac:dyDescent="0.75">
      <c r="O294" t="s">
        <v>104</v>
      </c>
      <c r="P294" t="s">
        <v>114</v>
      </c>
      <c r="Q294" t="s">
        <v>113</v>
      </c>
      <c r="R294" s="48">
        <v>45323</v>
      </c>
      <c r="S294" s="51">
        <v>139</v>
      </c>
      <c r="T294" t="s">
        <v>91</v>
      </c>
    </row>
    <row r="295" spans="15:20" x14ac:dyDescent="0.75">
      <c r="O295" t="s">
        <v>104</v>
      </c>
      <c r="P295" t="s">
        <v>114</v>
      </c>
      <c r="Q295" t="s">
        <v>113</v>
      </c>
      <c r="R295" s="48">
        <v>45352</v>
      </c>
      <c r="S295" s="51">
        <v>1018.45</v>
      </c>
      <c r="T295" t="s">
        <v>91</v>
      </c>
    </row>
    <row r="296" spans="15:20" x14ac:dyDescent="0.75">
      <c r="O296" t="s">
        <v>104</v>
      </c>
      <c r="P296" t="s">
        <v>114</v>
      </c>
      <c r="Q296" t="s">
        <v>113</v>
      </c>
      <c r="R296" s="48">
        <v>45383</v>
      </c>
      <c r="S296" s="51">
        <v>253</v>
      </c>
      <c r="T296" t="s">
        <v>91</v>
      </c>
    </row>
    <row r="297" spans="15:20" x14ac:dyDescent="0.75">
      <c r="O297" t="s">
        <v>104</v>
      </c>
      <c r="P297" t="s">
        <v>114</v>
      </c>
      <c r="Q297" t="s">
        <v>113</v>
      </c>
      <c r="R297" s="48">
        <v>45413</v>
      </c>
      <c r="S297" s="51">
        <v>467.85</v>
      </c>
      <c r="T297" t="s">
        <v>91</v>
      </c>
    </row>
    <row r="298" spans="15:20" x14ac:dyDescent="0.75">
      <c r="O298" t="s">
        <v>104</v>
      </c>
      <c r="P298" t="s">
        <v>114</v>
      </c>
      <c r="Q298" t="s">
        <v>113</v>
      </c>
      <c r="R298" s="48">
        <v>45444</v>
      </c>
      <c r="S298" s="51">
        <v>545</v>
      </c>
      <c r="T298" t="s">
        <v>91</v>
      </c>
    </row>
    <row r="299" spans="15:20" x14ac:dyDescent="0.75">
      <c r="O299" t="s">
        <v>104</v>
      </c>
      <c r="P299" t="s">
        <v>114</v>
      </c>
      <c r="Q299" t="s">
        <v>113</v>
      </c>
      <c r="R299" s="48">
        <v>45474</v>
      </c>
      <c r="S299" s="51">
        <v>358.45</v>
      </c>
      <c r="T299" t="s">
        <v>91</v>
      </c>
    </row>
    <row r="300" spans="15:20" x14ac:dyDescent="0.75">
      <c r="O300" t="s">
        <v>104</v>
      </c>
      <c r="P300" t="s">
        <v>114</v>
      </c>
      <c r="Q300" t="s">
        <v>113</v>
      </c>
      <c r="R300" s="48">
        <v>45505</v>
      </c>
      <c r="S300" s="51">
        <v>1336.6</v>
      </c>
      <c r="T300" t="s">
        <v>91</v>
      </c>
    </row>
    <row r="301" spans="15:20" x14ac:dyDescent="0.75">
      <c r="O301" t="s">
        <v>104</v>
      </c>
      <c r="P301" t="s">
        <v>114</v>
      </c>
      <c r="Q301" t="s">
        <v>113</v>
      </c>
      <c r="R301" s="48">
        <v>45536</v>
      </c>
      <c r="S301" s="51">
        <v>2083.85</v>
      </c>
      <c r="T301" t="s">
        <v>91</v>
      </c>
    </row>
    <row r="302" spans="15:20" x14ac:dyDescent="0.75">
      <c r="O302" t="s">
        <v>104</v>
      </c>
      <c r="P302" t="s">
        <v>114</v>
      </c>
      <c r="Q302" t="s">
        <v>113</v>
      </c>
      <c r="R302" s="48">
        <v>45566</v>
      </c>
      <c r="S302" s="51">
        <v>512.25</v>
      </c>
      <c r="T302" t="s">
        <v>91</v>
      </c>
    </row>
    <row r="303" spans="15:20" x14ac:dyDescent="0.75">
      <c r="O303" t="s">
        <v>104</v>
      </c>
      <c r="P303" t="s">
        <v>114</v>
      </c>
      <c r="Q303" t="s">
        <v>113</v>
      </c>
      <c r="R303" s="48">
        <v>45597</v>
      </c>
      <c r="S303" s="51">
        <v>238.85</v>
      </c>
      <c r="T303" t="s">
        <v>91</v>
      </c>
    </row>
    <row r="304" spans="15:20" x14ac:dyDescent="0.75">
      <c r="O304" t="s">
        <v>104</v>
      </c>
      <c r="P304" t="s">
        <v>114</v>
      </c>
      <c r="Q304" t="s">
        <v>113</v>
      </c>
      <c r="R304" s="48">
        <v>45627</v>
      </c>
      <c r="S304" s="51">
        <v>397</v>
      </c>
      <c r="T304" t="s">
        <v>91</v>
      </c>
    </row>
    <row r="305" spans="15:20" x14ac:dyDescent="0.75">
      <c r="O305" t="s">
        <v>104</v>
      </c>
      <c r="P305" t="s">
        <v>114</v>
      </c>
      <c r="Q305" t="s">
        <v>113</v>
      </c>
      <c r="R305" s="48">
        <v>45658</v>
      </c>
      <c r="S305" s="51">
        <v>144</v>
      </c>
      <c r="T305" t="s">
        <v>91</v>
      </c>
    </row>
    <row r="306" spans="15:20" x14ac:dyDescent="0.75">
      <c r="O306" t="s">
        <v>104</v>
      </c>
      <c r="P306" t="s">
        <v>114</v>
      </c>
      <c r="Q306" t="s">
        <v>113</v>
      </c>
      <c r="R306" s="48">
        <v>45689</v>
      </c>
      <c r="S306" s="51">
        <v>33</v>
      </c>
      <c r="T306" t="s">
        <v>91</v>
      </c>
    </row>
    <row r="307" spans="15:20" x14ac:dyDescent="0.75">
      <c r="O307" t="s">
        <v>104</v>
      </c>
      <c r="P307" t="s">
        <v>114</v>
      </c>
      <c r="Q307" t="s">
        <v>113</v>
      </c>
      <c r="R307" s="48">
        <v>45717</v>
      </c>
      <c r="S307" s="51">
        <v>1062.25</v>
      </c>
      <c r="T307" t="s">
        <v>91</v>
      </c>
    </row>
    <row r="308" spans="15:20" x14ac:dyDescent="0.75">
      <c r="O308" t="s">
        <v>104</v>
      </c>
      <c r="P308" t="s">
        <v>114</v>
      </c>
      <c r="Q308" t="s">
        <v>113</v>
      </c>
      <c r="R308" s="48">
        <v>45748</v>
      </c>
      <c r="S308" s="56">
        <v>654.15</v>
      </c>
      <c r="T308" t="s">
        <v>91</v>
      </c>
    </row>
    <row r="309" spans="15:20" x14ac:dyDescent="0.75">
      <c r="O309" t="s">
        <v>104</v>
      </c>
      <c r="P309" t="s">
        <v>114</v>
      </c>
      <c r="Q309" t="s">
        <v>113</v>
      </c>
      <c r="R309" s="48">
        <v>45778</v>
      </c>
      <c r="S309" s="51">
        <v>413.6</v>
      </c>
      <c r="T309" t="s">
        <v>91</v>
      </c>
    </row>
    <row r="310" spans="15:20" x14ac:dyDescent="0.75">
      <c r="O310" t="s">
        <v>105</v>
      </c>
      <c r="P310" t="s">
        <v>115</v>
      </c>
      <c r="Q310" t="s">
        <v>116</v>
      </c>
      <c r="R310" s="48">
        <v>43466</v>
      </c>
      <c r="S310" s="49">
        <v>15978</v>
      </c>
      <c r="T310" t="s">
        <v>91</v>
      </c>
    </row>
    <row r="311" spans="15:20" x14ac:dyDescent="0.75">
      <c r="O311" t="s">
        <v>105</v>
      </c>
      <c r="P311" t="s">
        <v>115</v>
      </c>
      <c r="Q311" t="s">
        <v>116</v>
      </c>
      <c r="R311" s="48">
        <v>43497</v>
      </c>
      <c r="S311" s="49">
        <v>12207</v>
      </c>
      <c r="T311" t="s">
        <v>91</v>
      </c>
    </row>
    <row r="312" spans="15:20" x14ac:dyDescent="0.75">
      <c r="O312" t="s">
        <v>105</v>
      </c>
      <c r="P312" t="s">
        <v>115</v>
      </c>
      <c r="Q312" t="s">
        <v>116</v>
      </c>
      <c r="R312" s="48">
        <v>43525</v>
      </c>
      <c r="S312" s="49">
        <v>20084</v>
      </c>
      <c r="T312" t="s">
        <v>91</v>
      </c>
    </row>
    <row r="313" spans="15:20" x14ac:dyDescent="0.75">
      <c r="O313" t="s">
        <v>105</v>
      </c>
      <c r="P313" t="s">
        <v>115</v>
      </c>
      <c r="Q313" t="s">
        <v>116</v>
      </c>
      <c r="R313" s="48">
        <v>43556</v>
      </c>
      <c r="S313" s="49">
        <v>15221</v>
      </c>
      <c r="T313" t="s">
        <v>91</v>
      </c>
    </row>
    <row r="314" spans="15:20" x14ac:dyDescent="0.75">
      <c r="O314" t="s">
        <v>105</v>
      </c>
      <c r="P314" t="s">
        <v>115</v>
      </c>
      <c r="Q314" t="s">
        <v>116</v>
      </c>
      <c r="R314" s="48">
        <v>43586</v>
      </c>
      <c r="S314" s="49">
        <v>13121</v>
      </c>
      <c r="T314" t="s">
        <v>91</v>
      </c>
    </row>
    <row r="315" spans="15:20" x14ac:dyDescent="0.75">
      <c r="O315" t="s">
        <v>105</v>
      </c>
      <c r="P315" t="s">
        <v>115</v>
      </c>
      <c r="Q315" t="s">
        <v>116</v>
      </c>
      <c r="R315" s="48">
        <v>43617</v>
      </c>
      <c r="S315" s="49">
        <v>13320</v>
      </c>
      <c r="T315" t="s">
        <v>91</v>
      </c>
    </row>
    <row r="316" spans="15:20" x14ac:dyDescent="0.75">
      <c r="O316" t="s">
        <v>105</v>
      </c>
      <c r="P316" t="s">
        <v>115</v>
      </c>
      <c r="Q316" t="s">
        <v>116</v>
      </c>
      <c r="R316" s="48">
        <v>43647</v>
      </c>
      <c r="S316" s="49">
        <v>8965</v>
      </c>
      <c r="T316" t="s">
        <v>91</v>
      </c>
    </row>
    <row r="317" spans="15:20" x14ac:dyDescent="0.75">
      <c r="O317" t="s">
        <v>105</v>
      </c>
      <c r="P317" t="s">
        <v>115</v>
      </c>
      <c r="Q317" t="s">
        <v>116</v>
      </c>
      <c r="R317" s="48">
        <v>43678</v>
      </c>
      <c r="S317" s="49">
        <v>9929</v>
      </c>
      <c r="T317" t="s">
        <v>91</v>
      </c>
    </row>
    <row r="318" spans="15:20" x14ac:dyDescent="0.75">
      <c r="O318" t="s">
        <v>105</v>
      </c>
      <c r="P318" t="s">
        <v>115</v>
      </c>
      <c r="Q318" t="s">
        <v>116</v>
      </c>
      <c r="R318" s="48">
        <v>43709</v>
      </c>
      <c r="S318" s="49">
        <v>9619</v>
      </c>
      <c r="T318" t="s">
        <v>91</v>
      </c>
    </row>
    <row r="319" spans="15:20" x14ac:dyDescent="0.75">
      <c r="O319" t="s">
        <v>105</v>
      </c>
      <c r="P319" t="s">
        <v>115</v>
      </c>
      <c r="Q319" t="s">
        <v>116</v>
      </c>
      <c r="R319" s="48">
        <v>43739</v>
      </c>
      <c r="S319" s="49">
        <v>13072</v>
      </c>
      <c r="T319" t="s">
        <v>91</v>
      </c>
    </row>
    <row r="320" spans="15:20" x14ac:dyDescent="0.75">
      <c r="O320" t="s">
        <v>105</v>
      </c>
      <c r="P320" t="s">
        <v>115</v>
      </c>
      <c r="Q320" t="s">
        <v>116</v>
      </c>
      <c r="R320" s="48">
        <v>43770</v>
      </c>
      <c r="S320" s="49">
        <v>13570</v>
      </c>
      <c r="T320" t="s">
        <v>91</v>
      </c>
    </row>
    <row r="321" spans="15:20" x14ac:dyDescent="0.75">
      <c r="O321" t="s">
        <v>105</v>
      </c>
      <c r="P321" t="s">
        <v>115</v>
      </c>
      <c r="Q321" t="s">
        <v>116</v>
      </c>
      <c r="R321" s="48">
        <v>43800</v>
      </c>
      <c r="S321" s="49">
        <v>12688</v>
      </c>
      <c r="T321" t="s">
        <v>91</v>
      </c>
    </row>
    <row r="322" spans="15:20" x14ac:dyDescent="0.75">
      <c r="O322" t="s">
        <v>105</v>
      </c>
      <c r="P322" t="s">
        <v>115</v>
      </c>
      <c r="Q322" t="s">
        <v>116</v>
      </c>
      <c r="R322" s="48">
        <v>43831</v>
      </c>
      <c r="S322" s="49">
        <v>10709</v>
      </c>
      <c r="T322" t="s">
        <v>91</v>
      </c>
    </row>
    <row r="323" spans="15:20" x14ac:dyDescent="0.75">
      <c r="O323" t="s">
        <v>105</v>
      </c>
      <c r="P323" t="s">
        <v>115</v>
      </c>
      <c r="Q323" t="s">
        <v>116</v>
      </c>
      <c r="R323" s="48">
        <v>43862</v>
      </c>
      <c r="S323" s="49">
        <v>12570</v>
      </c>
      <c r="T323" t="s">
        <v>91</v>
      </c>
    </row>
    <row r="324" spans="15:20" x14ac:dyDescent="0.75">
      <c r="O324" t="s">
        <v>105</v>
      </c>
      <c r="P324" t="s">
        <v>115</v>
      </c>
      <c r="Q324" t="s">
        <v>116</v>
      </c>
      <c r="R324" s="48">
        <v>43891</v>
      </c>
      <c r="S324" s="49">
        <v>16317</v>
      </c>
      <c r="T324" t="s">
        <v>91</v>
      </c>
    </row>
    <row r="325" spans="15:20" x14ac:dyDescent="0.75">
      <c r="O325" t="s">
        <v>105</v>
      </c>
      <c r="P325" t="s">
        <v>115</v>
      </c>
      <c r="Q325" t="s">
        <v>116</v>
      </c>
      <c r="R325" s="48">
        <v>43922</v>
      </c>
      <c r="S325" s="49">
        <v>6173</v>
      </c>
      <c r="T325" t="s">
        <v>91</v>
      </c>
    </row>
    <row r="326" spans="15:20" x14ac:dyDescent="0.75">
      <c r="O326" t="s">
        <v>105</v>
      </c>
      <c r="P326" t="s">
        <v>115</v>
      </c>
      <c r="Q326" t="s">
        <v>116</v>
      </c>
      <c r="R326" s="48">
        <v>43952</v>
      </c>
      <c r="S326" s="49">
        <v>8123</v>
      </c>
      <c r="T326" t="s">
        <v>91</v>
      </c>
    </row>
    <row r="327" spans="15:20" x14ac:dyDescent="0.75">
      <c r="O327" t="s">
        <v>105</v>
      </c>
      <c r="P327" t="s">
        <v>115</v>
      </c>
      <c r="Q327" t="s">
        <v>116</v>
      </c>
      <c r="R327" s="48">
        <v>43983</v>
      </c>
      <c r="S327" s="49">
        <v>6939</v>
      </c>
      <c r="T327" t="s">
        <v>91</v>
      </c>
    </row>
    <row r="328" spans="15:20" x14ac:dyDescent="0.75">
      <c r="O328" t="s">
        <v>105</v>
      </c>
      <c r="P328" t="s">
        <v>115</v>
      </c>
      <c r="Q328" t="s">
        <v>116</v>
      </c>
      <c r="R328" s="48">
        <v>44013</v>
      </c>
      <c r="S328" s="49">
        <v>5984</v>
      </c>
      <c r="T328" t="s">
        <v>91</v>
      </c>
    </row>
    <row r="329" spans="15:20" x14ac:dyDescent="0.75">
      <c r="O329" t="s">
        <v>105</v>
      </c>
      <c r="P329" t="s">
        <v>115</v>
      </c>
      <c r="Q329" t="s">
        <v>116</v>
      </c>
      <c r="R329" s="48">
        <v>44044</v>
      </c>
      <c r="S329" s="49">
        <v>5291</v>
      </c>
      <c r="T329" t="s">
        <v>91</v>
      </c>
    </row>
    <row r="330" spans="15:20" x14ac:dyDescent="0.75">
      <c r="O330" t="s">
        <v>105</v>
      </c>
      <c r="P330" t="s">
        <v>115</v>
      </c>
      <c r="Q330" t="s">
        <v>116</v>
      </c>
      <c r="R330" s="48">
        <v>44075</v>
      </c>
      <c r="S330" s="49">
        <v>6878</v>
      </c>
      <c r="T330" t="s">
        <v>91</v>
      </c>
    </row>
    <row r="331" spans="15:20" x14ac:dyDescent="0.75">
      <c r="O331" t="s">
        <v>105</v>
      </c>
      <c r="P331" t="s">
        <v>115</v>
      </c>
      <c r="Q331" t="s">
        <v>116</v>
      </c>
      <c r="R331" s="48">
        <v>44105</v>
      </c>
      <c r="S331" s="49">
        <v>8165</v>
      </c>
      <c r="T331" t="s">
        <v>91</v>
      </c>
    </row>
    <row r="332" spans="15:20" x14ac:dyDescent="0.75">
      <c r="O332" t="s">
        <v>105</v>
      </c>
      <c r="P332" t="s">
        <v>115</v>
      </c>
      <c r="Q332" t="s">
        <v>116</v>
      </c>
      <c r="R332" s="48">
        <v>44136</v>
      </c>
      <c r="S332" s="49">
        <v>10754</v>
      </c>
      <c r="T332" t="s">
        <v>91</v>
      </c>
    </row>
    <row r="333" spans="15:20" x14ac:dyDescent="0.75">
      <c r="O333" t="s">
        <v>105</v>
      </c>
      <c r="P333" t="s">
        <v>115</v>
      </c>
      <c r="Q333" t="s">
        <v>116</v>
      </c>
      <c r="R333" s="48">
        <v>44166</v>
      </c>
      <c r="S333" s="49">
        <v>7434</v>
      </c>
      <c r="T333" t="s">
        <v>91</v>
      </c>
    </row>
    <row r="334" spans="15:20" x14ac:dyDescent="0.75">
      <c r="O334" t="s">
        <v>105</v>
      </c>
      <c r="P334" t="s">
        <v>115</v>
      </c>
      <c r="Q334" t="s">
        <v>116</v>
      </c>
      <c r="R334" s="48">
        <v>44197</v>
      </c>
      <c r="S334" s="49">
        <v>6662</v>
      </c>
      <c r="T334" t="s">
        <v>91</v>
      </c>
    </row>
    <row r="335" spans="15:20" x14ac:dyDescent="0.75">
      <c r="O335" t="s">
        <v>105</v>
      </c>
      <c r="P335" t="s">
        <v>115</v>
      </c>
      <c r="Q335" t="s">
        <v>116</v>
      </c>
      <c r="R335" s="48">
        <v>44228</v>
      </c>
      <c r="S335" s="49">
        <v>5808</v>
      </c>
      <c r="T335" t="s">
        <v>91</v>
      </c>
    </row>
    <row r="336" spans="15:20" x14ac:dyDescent="0.75">
      <c r="O336" t="s">
        <v>105</v>
      </c>
      <c r="P336" t="s">
        <v>115</v>
      </c>
      <c r="Q336" t="s">
        <v>116</v>
      </c>
      <c r="R336" s="48">
        <v>44256</v>
      </c>
      <c r="S336" s="49">
        <v>8435</v>
      </c>
      <c r="T336" t="s">
        <v>91</v>
      </c>
    </row>
    <row r="337" spans="15:20" x14ac:dyDescent="0.75">
      <c r="O337" t="s">
        <v>105</v>
      </c>
      <c r="P337" t="s">
        <v>115</v>
      </c>
      <c r="Q337" t="s">
        <v>116</v>
      </c>
      <c r="R337" s="48">
        <v>44287</v>
      </c>
      <c r="S337" s="49">
        <v>5367</v>
      </c>
      <c r="T337" t="s">
        <v>91</v>
      </c>
    </row>
    <row r="338" spans="15:20" x14ac:dyDescent="0.75">
      <c r="O338" t="s">
        <v>105</v>
      </c>
      <c r="P338" t="s">
        <v>115</v>
      </c>
      <c r="Q338" t="s">
        <v>116</v>
      </c>
      <c r="R338" s="48">
        <v>44317</v>
      </c>
      <c r="S338" s="49">
        <v>9449</v>
      </c>
      <c r="T338" t="s">
        <v>91</v>
      </c>
    </row>
    <row r="339" spans="15:20" x14ac:dyDescent="0.75">
      <c r="O339" t="s">
        <v>105</v>
      </c>
      <c r="P339" t="s">
        <v>115</v>
      </c>
      <c r="Q339" t="s">
        <v>116</v>
      </c>
      <c r="R339" s="48">
        <v>44348</v>
      </c>
      <c r="S339" s="49">
        <v>7639</v>
      </c>
      <c r="T339" t="s">
        <v>91</v>
      </c>
    </row>
    <row r="340" spans="15:20" x14ac:dyDescent="0.75">
      <c r="O340" t="s">
        <v>105</v>
      </c>
      <c r="P340" t="s">
        <v>115</v>
      </c>
      <c r="Q340" t="s">
        <v>116</v>
      </c>
      <c r="R340" s="48">
        <v>44378</v>
      </c>
      <c r="S340" s="49">
        <v>5128</v>
      </c>
      <c r="T340" t="s">
        <v>91</v>
      </c>
    </row>
    <row r="341" spans="15:20" x14ac:dyDescent="0.75">
      <c r="O341" t="s">
        <v>105</v>
      </c>
      <c r="P341" t="s">
        <v>115</v>
      </c>
      <c r="Q341" t="s">
        <v>116</v>
      </c>
      <c r="R341" s="48">
        <v>44409</v>
      </c>
      <c r="S341" s="49">
        <v>7898</v>
      </c>
      <c r="T341" t="s">
        <v>91</v>
      </c>
    </row>
    <row r="342" spans="15:20" x14ac:dyDescent="0.75">
      <c r="O342" t="s">
        <v>105</v>
      </c>
      <c r="P342" t="s">
        <v>115</v>
      </c>
      <c r="Q342" t="s">
        <v>116</v>
      </c>
      <c r="R342" s="48">
        <v>44440</v>
      </c>
      <c r="S342" s="49">
        <v>16522</v>
      </c>
      <c r="T342" t="s">
        <v>91</v>
      </c>
    </row>
    <row r="343" spans="15:20" x14ac:dyDescent="0.75">
      <c r="O343" t="s">
        <v>105</v>
      </c>
      <c r="P343" t="s">
        <v>115</v>
      </c>
      <c r="Q343" t="s">
        <v>116</v>
      </c>
      <c r="R343" s="48">
        <v>44470</v>
      </c>
      <c r="S343" s="49">
        <v>5000</v>
      </c>
      <c r="T343" t="s">
        <v>91</v>
      </c>
    </row>
    <row r="344" spans="15:20" x14ac:dyDescent="0.75">
      <c r="O344" t="s">
        <v>105</v>
      </c>
      <c r="P344" t="s">
        <v>115</v>
      </c>
      <c r="Q344" t="s">
        <v>116</v>
      </c>
      <c r="R344" s="48">
        <v>44501</v>
      </c>
      <c r="S344" s="49">
        <v>7935</v>
      </c>
      <c r="T344" t="s">
        <v>91</v>
      </c>
    </row>
    <row r="345" spans="15:20" x14ac:dyDescent="0.75">
      <c r="O345" t="s">
        <v>105</v>
      </c>
      <c r="P345" t="s">
        <v>115</v>
      </c>
      <c r="Q345" t="s">
        <v>116</v>
      </c>
      <c r="R345" s="48">
        <v>44531</v>
      </c>
      <c r="S345" s="49">
        <v>4166</v>
      </c>
      <c r="T345" t="s">
        <v>91</v>
      </c>
    </row>
    <row r="346" spans="15:20" x14ac:dyDescent="0.75">
      <c r="O346" t="s">
        <v>105</v>
      </c>
      <c r="P346" t="s">
        <v>115</v>
      </c>
      <c r="Q346" t="s">
        <v>116</v>
      </c>
      <c r="R346" s="48">
        <v>44562</v>
      </c>
      <c r="S346" s="49">
        <v>6519</v>
      </c>
      <c r="T346" t="s">
        <v>91</v>
      </c>
    </row>
    <row r="347" spans="15:20" x14ac:dyDescent="0.75">
      <c r="O347" t="s">
        <v>105</v>
      </c>
      <c r="P347" t="s">
        <v>115</v>
      </c>
      <c r="Q347" t="s">
        <v>116</v>
      </c>
      <c r="R347" s="48">
        <v>44593</v>
      </c>
      <c r="S347" s="49">
        <v>3988</v>
      </c>
      <c r="T347" t="s">
        <v>91</v>
      </c>
    </row>
    <row r="348" spans="15:20" x14ac:dyDescent="0.75">
      <c r="O348" t="s">
        <v>105</v>
      </c>
      <c r="P348" t="s">
        <v>115</v>
      </c>
      <c r="Q348" t="s">
        <v>116</v>
      </c>
      <c r="R348" s="48">
        <v>44621</v>
      </c>
      <c r="S348" s="49">
        <v>7522</v>
      </c>
      <c r="T348" t="s">
        <v>91</v>
      </c>
    </row>
    <row r="349" spans="15:20" x14ac:dyDescent="0.75">
      <c r="O349" t="s">
        <v>105</v>
      </c>
      <c r="P349" t="s">
        <v>115</v>
      </c>
      <c r="Q349" t="s">
        <v>116</v>
      </c>
      <c r="R349" s="48">
        <v>44652</v>
      </c>
      <c r="S349" s="49">
        <v>4607</v>
      </c>
      <c r="T349" t="s">
        <v>91</v>
      </c>
    </row>
    <row r="350" spans="15:20" x14ac:dyDescent="0.75">
      <c r="O350" t="s">
        <v>105</v>
      </c>
      <c r="P350" t="s">
        <v>115</v>
      </c>
      <c r="Q350" t="s">
        <v>116</v>
      </c>
      <c r="R350" s="48">
        <v>44682</v>
      </c>
      <c r="S350" s="49">
        <v>6942</v>
      </c>
      <c r="T350" t="s">
        <v>91</v>
      </c>
    </row>
    <row r="351" spans="15:20" x14ac:dyDescent="0.75">
      <c r="O351" t="s">
        <v>105</v>
      </c>
      <c r="P351" t="s">
        <v>115</v>
      </c>
      <c r="Q351" t="s">
        <v>116</v>
      </c>
      <c r="R351" s="48">
        <v>44713</v>
      </c>
      <c r="S351" s="49">
        <v>5996</v>
      </c>
      <c r="T351" t="s">
        <v>91</v>
      </c>
    </row>
    <row r="352" spans="15:20" x14ac:dyDescent="0.75">
      <c r="O352" t="s">
        <v>105</v>
      </c>
      <c r="P352" t="s">
        <v>115</v>
      </c>
      <c r="Q352" t="s">
        <v>116</v>
      </c>
      <c r="R352" s="48">
        <v>44743</v>
      </c>
      <c r="S352" s="49">
        <v>6157</v>
      </c>
      <c r="T352" t="s">
        <v>91</v>
      </c>
    </row>
    <row r="353" spans="15:20" x14ac:dyDescent="0.75">
      <c r="O353" t="s">
        <v>105</v>
      </c>
      <c r="P353" t="s">
        <v>115</v>
      </c>
      <c r="Q353" t="s">
        <v>116</v>
      </c>
      <c r="R353" s="48">
        <v>44774</v>
      </c>
      <c r="S353" s="49">
        <v>3259</v>
      </c>
      <c r="T353" t="s">
        <v>91</v>
      </c>
    </row>
    <row r="354" spans="15:20" x14ac:dyDescent="0.75">
      <c r="O354" t="s">
        <v>105</v>
      </c>
      <c r="P354" t="s">
        <v>115</v>
      </c>
      <c r="Q354" t="s">
        <v>116</v>
      </c>
      <c r="R354" s="48">
        <v>44805</v>
      </c>
      <c r="S354" s="49">
        <v>3788</v>
      </c>
      <c r="T354" t="s">
        <v>91</v>
      </c>
    </row>
    <row r="355" spans="15:20" x14ac:dyDescent="0.75">
      <c r="O355" t="s">
        <v>105</v>
      </c>
      <c r="P355" t="s">
        <v>115</v>
      </c>
      <c r="Q355" t="s">
        <v>116</v>
      </c>
      <c r="R355" s="48">
        <v>44835</v>
      </c>
      <c r="S355" s="49">
        <v>9563</v>
      </c>
      <c r="T355" t="s">
        <v>91</v>
      </c>
    </row>
    <row r="356" spans="15:20" x14ac:dyDescent="0.75">
      <c r="O356" t="s">
        <v>105</v>
      </c>
      <c r="P356" t="s">
        <v>115</v>
      </c>
      <c r="Q356" t="s">
        <v>116</v>
      </c>
      <c r="R356" s="48">
        <v>44866</v>
      </c>
      <c r="S356" s="49">
        <v>5272</v>
      </c>
      <c r="T356" t="s">
        <v>91</v>
      </c>
    </row>
    <row r="357" spans="15:20" x14ac:dyDescent="0.75">
      <c r="O357" t="s">
        <v>105</v>
      </c>
      <c r="P357" t="s">
        <v>115</v>
      </c>
      <c r="Q357" t="s">
        <v>116</v>
      </c>
      <c r="R357" s="48">
        <v>44896</v>
      </c>
      <c r="S357" s="49">
        <v>7940</v>
      </c>
      <c r="T357" t="s">
        <v>91</v>
      </c>
    </row>
    <row r="358" spans="15:20" x14ac:dyDescent="0.75">
      <c r="O358" t="s">
        <v>105</v>
      </c>
      <c r="P358" t="s">
        <v>115</v>
      </c>
      <c r="Q358" t="s">
        <v>116</v>
      </c>
      <c r="R358" s="48">
        <v>44927</v>
      </c>
      <c r="S358" s="52">
        <v>4623</v>
      </c>
      <c r="T358" t="s">
        <v>91</v>
      </c>
    </row>
    <row r="359" spans="15:20" x14ac:dyDescent="0.75">
      <c r="O359" t="s">
        <v>105</v>
      </c>
      <c r="P359" t="s">
        <v>115</v>
      </c>
      <c r="Q359" t="s">
        <v>116</v>
      </c>
      <c r="R359" s="48">
        <v>44958</v>
      </c>
      <c r="S359" s="52">
        <v>4352</v>
      </c>
      <c r="T359" t="s">
        <v>91</v>
      </c>
    </row>
    <row r="360" spans="15:20" x14ac:dyDescent="0.75">
      <c r="O360" t="s">
        <v>105</v>
      </c>
      <c r="P360" t="s">
        <v>115</v>
      </c>
      <c r="Q360" t="s">
        <v>116</v>
      </c>
      <c r="R360" s="48">
        <v>44986</v>
      </c>
      <c r="S360" s="51">
        <v>8613</v>
      </c>
      <c r="T360" t="s">
        <v>91</v>
      </c>
    </row>
    <row r="361" spans="15:20" x14ac:dyDescent="0.75">
      <c r="O361" t="s">
        <v>105</v>
      </c>
      <c r="P361" t="s">
        <v>115</v>
      </c>
      <c r="Q361" t="s">
        <v>116</v>
      </c>
      <c r="R361" s="48">
        <v>45017</v>
      </c>
      <c r="S361" s="51">
        <v>5542</v>
      </c>
      <c r="T361" t="s">
        <v>91</v>
      </c>
    </row>
    <row r="362" spans="15:20" x14ac:dyDescent="0.75">
      <c r="O362" t="s">
        <v>105</v>
      </c>
      <c r="P362" t="s">
        <v>115</v>
      </c>
      <c r="Q362" t="s">
        <v>116</v>
      </c>
      <c r="R362" s="48">
        <v>45047</v>
      </c>
      <c r="S362" s="51">
        <v>5045</v>
      </c>
      <c r="T362" t="s">
        <v>91</v>
      </c>
    </row>
    <row r="363" spans="15:20" x14ac:dyDescent="0.75">
      <c r="O363" t="s">
        <v>105</v>
      </c>
      <c r="P363" t="s">
        <v>115</v>
      </c>
      <c r="Q363" t="s">
        <v>116</v>
      </c>
      <c r="R363" s="48">
        <v>45078</v>
      </c>
      <c r="S363" s="51">
        <v>6954</v>
      </c>
      <c r="T363" t="s">
        <v>91</v>
      </c>
    </row>
    <row r="364" spans="15:20" x14ac:dyDescent="0.75">
      <c r="O364" t="s">
        <v>105</v>
      </c>
      <c r="P364" t="s">
        <v>115</v>
      </c>
      <c r="Q364" t="s">
        <v>116</v>
      </c>
      <c r="R364" s="48">
        <v>45108</v>
      </c>
      <c r="S364" s="51">
        <v>3537</v>
      </c>
      <c r="T364" t="s">
        <v>91</v>
      </c>
    </row>
    <row r="365" spans="15:20" x14ac:dyDescent="0.75">
      <c r="O365" t="s">
        <v>105</v>
      </c>
      <c r="P365" t="s">
        <v>115</v>
      </c>
      <c r="Q365" t="s">
        <v>116</v>
      </c>
      <c r="R365" s="48">
        <v>45139</v>
      </c>
      <c r="S365" s="51">
        <v>6219</v>
      </c>
      <c r="T365" t="s">
        <v>91</v>
      </c>
    </row>
    <row r="366" spans="15:20" x14ac:dyDescent="0.75">
      <c r="O366" t="s">
        <v>105</v>
      </c>
      <c r="P366" t="s">
        <v>115</v>
      </c>
      <c r="Q366" t="s">
        <v>116</v>
      </c>
      <c r="R366" s="48">
        <v>45170</v>
      </c>
      <c r="S366" s="51">
        <v>5632</v>
      </c>
      <c r="T366" t="s">
        <v>91</v>
      </c>
    </row>
    <row r="367" spans="15:20" x14ac:dyDescent="0.75">
      <c r="O367" t="s">
        <v>105</v>
      </c>
      <c r="P367" t="s">
        <v>115</v>
      </c>
      <c r="Q367" t="s">
        <v>116</v>
      </c>
      <c r="R367" s="48">
        <v>45200</v>
      </c>
      <c r="S367" s="52">
        <v>8106</v>
      </c>
      <c r="T367" t="s">
        <v>91</v>
      </c>
    </row>
    <row r="368" spans="15:20" x14ac:dyDescent="0.75">
      <c r="O368" t="s">
        <v>105</v>
      </c>
      <c r="P368" t="s">
        <v>115</v>
      </c>
      <c r="Q368" t="s">
        <v>116</v>
      </c>
      <c r="R368" s="48">
        <v>45231</v>
      </c>
      <c r="S368" s="52">
        <v>9319</v>
      </c>
      <c r="T368" t="s">
        <v>91</v>
      </c>
    </row>
    <row r="369" spans="15:20" x14ac:dyDescent="0.75">
      <c r="O369" t="s">
        <v>105</v>
      </c>
      <c r="P369" t="s">
        <v>115</v>
      </c>
      <c r="Q369" t="s">
        <v>116</v>
      </c>
      <c r="R369" s="48">
        <v>45261</v>
      </c>
      <c r="S369" s="51">
        <v>9016</v>
      </c>
      <c r="T369" t="s">
        <v>91</v>
      </c>
    </row>
    <row r="370" spans="15:20" x14ac:dyDescent="0.75">
      <c r="O370" t="s">
        <v>105</v>
      </c>
      <c r="P370" t="s">
        <v>115</v>
      </c>
      <c r="Q370" t="s">
        <v>116</v>
      </c>
      <c r="R370" s="48">
        <v>45292</v>
      </c>
      <c r="S370" s="51">
        <v>4096</v>
      </c>
      <c r="T370" t="s">
        <v>91</v>
      </c>
    </row>
    <row r="371" spans="15:20" x14ac:dyDescent="0.75">
      <c r="O371" t="s">
        <v>105</v>
      </c>
      <c r="P371" t="s">
        <v>115</v>
      </c>
      <c r="Q371" t="s">
        <v>116</v>
      </c>
      <c r="R371" s="48">
        <v>45323</v>
      </c>
      <c r="S371" s="51">
        <v>4285</v>
      </c>
      <c r="T371" t="s">
        <v>91</v>
      </c>
    </row>
    <row r="372" spans="15:20" x14ac:dyDescent="0.75">
      <c r="O372" t="s">
        <v>105</v>
      </c>
      <c r="P372" t="s">
        <v>115</v>
      </c>
      <c r="Q372" t="s">
        <v>116</v>
      </c>
      <c r="R372" s="48">
        <v>45352</v>
      </c>
      <c r="S372" s="51">
        <v>12379</v>
      </c>
      <c r="T372" t="s">
        <v>91</v>
      </c>
    </row>
    <row r="373" spans="15:20" x14ac:dyDescent="0.75">
      <c r="O373" t="s">
        <v>105</v>
      </c>
      <c r="P373" t="s">
        <v>115</v>
      </c>
      <c r="Q373" t="s">
        <v>116</v>
      </c>
      <c r="R373" s="48">
        <v>45383</v>
      </c>
      <c r="S373" s="51">
        <v>7275</v>
      </c>
      <c r="T373" t="s">
        <v>91</v>
      </c>
    </row>
    <row r="374" spans="15:20" x14ac:dyDescent="0.75">
      <c r="O374" t="s">
        <v>105</v>
      </c>
      <c r="P374" t="s">
        <v>115</v>
      </c>
      <c r="Q374" t="s">
        <v>116</v>
      </c>
      <c r="R374" s="48">
        <v>45413</v>
      </c>
      <c r="S374" s="51">
        <v>10074</v>
      </c>
      <c r="T374" t="s">
        <v>91</v>
      </c>
    </row>
    <row r="375" spans="15:20" x14ac:dyDescent="0.75">
      <c r="O375" t="s">
        <v>105</v>
      </c>
      <c r="P375" t="s">
        <v>115</v>
      </c>
      <c r="Q375" t="s">
        <v>116</v>
      </c>
      <c r="R375" s="48">
        <v>45444</v>
      </c>
      <c r="S375" s="51">
        <v>6261</v>
      </c>
      <c r="T375" t="s">
        <v>91</v>
      </c>
    </row>
    <row r="376" spans="15:20" x14ac:dyDescent="0.75">
      <c r="O376" t="s">
        <v>105</v>
      </c>
      <c r="P376" t="s">
        <v>115</v>
      </c>
      <c r="Q376" t="s">
        <v>116</v>
      </c>
      <c r="R376" s="48">
        <v>45474</v>
      </c>
      <c r="S376" s="51">
        <v>3452</v>
      </c>
      <c r="T376" t="s">
        <v>91</v>
      </c>
    </row>
    <row r="377" spans="15:20" x14ac:dyDescent="0.75">
      <c r="O377" t="s">
        <v>105</v>
      </c>
      <c r="P377" t="s">
        <v>115</v>
      </c>
      <c r="Q377" t="s">
        <v>116</v>
      </c>
      <c r="R377" s="48">
        <v>45505</v>
      </c>
      <c r="S377" s="51">
        <v>3289</v>
      </c>
      <c r="T377" t="s">
        <v>91</v>
      </c>
    </row>
    <row r="378" spans="15:20" x14ac:dyDescent="0.75">
      <c r="O378" t="s">
        <v>105</v>
      </c>
      <c r="P378" t="s">
        <v>115</v>
      </c>
      <c r="Q378" t="s">
        <v>116</v>
      </c>
      <c r="R378" s="48">
        <v>45536</v>
      </c>
      <c r="S378" s="51">
        <v>2002</v>
      </c>
      <c r="T378" t="s">
        <v>91</v>
      </c>
    </row>
    <row r="379" spans="15:20" x14ac:dyDescent="0.75">
      <c r="O379" t="s">
        <v>105</v>
      </c>
      <c r="P379" t="s">
        <v>115</v>
      </c>
      <c r="Q379" t="s">
        <v>116</v>
      </c>
      <c r="R379" s="48">
        <v>45566</v>
      </c>
      <c r="S379" s="51">
        <v>3040</v>
      </c>
      <c r="T379" t="s">
        <v>91</v>
      </c>
    </row>
    <row r="380" spans="15:20" x14ac:dyDescent="0.75">
      <c r="O380" t="s">
        <v>105</v>
      </c>
      <c r="P380" t="s">
        <v>115</v>
      </c>
      <c r="Q380" t="s">
        <v>116</v>
      </c>
      <c r="R380" s="48">
        <v>45597</v>
      </c>
      <c r="S380" s="51">
        <v>7865</v>
      </c>
      <c r="T380" t="s">
        <v>91</v>
      </c>
    </row>
    <row r="381" spans="15:20" x14ac:dyDescent="0.75">
      <c r="O381" t="s">
        <v>105</v>
      </c>
      <c r="P381" t="s">
        <v>115</v>
      </c>
      <c r="Q381" t="s">
        <v>116</v>
      </c>
      <c r="R381" s="48">
        <v>45627</v>
      </c>
      <c r="S381" s="51">
        <v>8174</v>
      </c>
      <c r="T381" t="s">
        <v>91</v>
      </c>
    </row>
    <row r="382" spans="15:20" x14ac:dyDescent="0.75">
      <c r="O382" t="s">
        <v>105</v>
      </c>
      <c r="P382" t="s">
        <v>115</v>
      </c>
      <c r="Q382" t="s">
        <v>116</v>
      </c>
      <c r="R382" s="48">
        <v>45658</v>
      </c>
      <c r="S382" s="51">
        <v>8573</v>
      </c>
      <c r="T382" t="s">
        <v>91</v>
      </c>
    </row>
    <row r="383" spans="15:20" x14ac:dyDescent="0.75">
      <c r="O383" t="s">
        <v>105</v>
      </c>
      <c r="P383" t="s">
        <v>115</v>
      </c>
      <c r="Q383" t="s">
        <v>116</v>
      </c>
      <c r="R383" s="48">
        <v>45689</v>
      </c>
      <c r="S383" s="51">
        <v>4231</v>
      </c>
      <c r="T383" t="s">
        <v>91</v>
      </c>
    </row>
    <row r="384" spans="15:20" x14ac:dyDescent="0.75">
      <c r="O384" t="s">
        <v>105</v>
      </c>
      <c r="P384" t="s">
        <v>115</v>
      </c>
      <c r="Q384" t="s">
        <v>116</v>
      </c>
      <c r="R384" s="48">
        <v>45717</v>
      </c>
      <c r="S384" s="51">
        <v>5913</v>
      </c>
      <c r="T384" t="s">
        <v>91</v>
      </c>
    </row>
    <row r="385" spans="15:20" x14ac:dyDescent="0.75">
      <c r="O385" t="s">
        <v>105</v>
      </c>
      <c r="P385" t="s">
        <v>115</v>
      </c>
      <c r="Q385" t="s">
        <v>116</v>
      </c>
      <c r="R385" s="48">
        <v>45748</v>
      </c>
      <c r="S385" s="52">
        <v>4111</v>
      </c>
      <c r="T385" t="s">
        <v>91</v>
      </c>
    </row>
    <row r="386" spans="15:20" x14ac:dyDescent="0.75">
      <c r="O386" t="s">
        <v>105</v>
      </c>
      <c r="P386" t="s">
        <v>115</v>
      </c>
      <c r="Q386" t="s">
        <v>116</v>
      </c>
      <c r="R386" s="48">
        <v>45778</v>
      </c>
      <c r="S386" s="51">
        <v>9134</v>
      </c>
      <c r="T386" t="s">
        <v>91</v>
      </c>
    </row>
    <row r="387" spans="15:20" x14ac:dyDescent="0.75">
      <c r="O387" t="s">
        <v>106</v>
      </c>
      <c r="P387" t="s">
        <v>117</v>
      </c>
      <c r="Q387" t="s">
        <v>113</v>
      </c>
      <c r="R387" s="48">
        <v>43466</v>
      </c>
      <c r="S387" s="49">
        <v>15482</v>
      </c>
      <c r="T387" t="s">
        <v>91</v>
      </c>
    </row>
    <row r="388" spans="15:20" x14ac:dyDescent="0.75">
      <c r="O388" t="s">
        <v>106</v>
      </c>
      <c r="P388" t="s">
        <v>117</v>
      </c>
      <c r="Q388" t="s">
        <v>113</v>
      </c>
      <c r="R388" s="48">
        <v>43497</v>
      </c>
      <c r="S388" s="49">
        <v>14209</v>
      </c>
      <c r="T388" t="s">
        <v>91</v>
      </c>
    </row>
    <row r="389" spans="15:20" x14ac:dyDescent="0.75">
      <c r="O389" t="s">
        <v>106</v>
      </c>
      <c r="P389" t="s">
        <v>117</v>
      </c>
      <c r="Q389" t="s">
        <v>113</v>
      </c>
      <c r="R389" s="48">
        <v>43525</v>
      </c>
      <c r="S389" s="49">
        <v>20523</v>
      </c>
      <c r="T389" t="s">
        <v>91</v>
      </c>
    </row>
    <row r="390" spans="15:20" x14ac:dyDescent="0.75">
      <c r="O390" t="s">
        <v>106</v>
      </c>
      <c r="P390" t="s">
        <v>117</v>
      </c>
      <c r="Q390" t="s">
        <v>113</v>
      </c>
      <c r="R390" s="48">
        <v>43556</v>
      </c>
      <c r="S390" s="49">
        <v>19652</v>
      </c>
      <c r="T390" t="s">
        <v>91</v>
      </c>
    </row>
    <row r="391" spans="15:20" x14ac:dyDescent="0.75">
      <c r="O391" t="s">
        <v>106</v>
      </c>
      <c r="P391" t="s">
        <v>117</v>
      </c>
      <c r="Q391" t="s">
        <v>113</v>
      </c>
      <c r="R391" s="48">
        <v>43586</v>
      </c>
      <c r="S391" s="49">
        <v>16699</v>
      </c>
      <c r="T391" t="s">
        <v>91</v>
      </c>
    </row>
    <row r="392" spans="15:20" x14ac:dyDescent="0.75">
      <c r="O392" t="s">
        <v>106</v>
      </c>
      <c r="P392" t="s">
        <v>117</v>
      </c>
      <c r="Q392" t="s">
        <v>113</v>
      </c>
      <c r="R392" s="48">
        <v>43617</v>
      </c>
      <c r="S392" s="49">
        <v>12822</v>
      </c>
      <c r="T392" t="s">
        <v>91</v>
      </c>
    </row>
    <row r="393" spans="15:20" x14ac:dyDescent="0.75">
      <c r="O393" t="s">
        <v>106</v>
      </c>
      <c r="P393" t="s">
        <v>117</v>
      </c>
      <c r="Q393" t="s">
        <v>113</v>
      </c>
      <c r="R393" s="48">
        <v>43647</v>
      </c>
      <c r="S393" s="49">
        <v>14913</v>
      </c>
      <c r="T393" t="s">
        <v>91</v>
      </c>
    </row>
    <row r="394" spans="15:20" x14ac:dyDescent="0.75">
      <c r="O394" t="s">
        <v>106</v>
      </c>
      <c r="P394" t="s">
        <v>117</v>
      </c>
      <c r="Q394" t="s">
        <v>113</v>
      </c>
      <c r="R394" s="48">
        <v>43678</v>
      </c>
      <c r="S394" s="49">
        <v>16195</v>
      </c>
      <c r="T394" t="s">
        <v>91</v>
      </c>
    </row>
    <row r="395" spans="15:20" x14ac:dyDescent="0.75">
      <c r="O395" t="s">
        <v>106</v>
      </c>
      <c r="P395" t="s">
        <v>117</v>
      </c>
      <c r="Q395" t="s">
        <v>113</v>
      </c>
      <c r="R395" s="48">
        <v>43709</v>
      </c>
      <c r="S395" s="49">
        <v>12249</v>
      </c>
      <c r="T395" t="s">
        <v>91</v>
      </c>
    </row>
    <row r="396" spans="15:20" x14ac:dyDescent="0.75">
      <c r="O396" t="s">
        <v>106</v>
      </c>
      <c r="P396" t="s">
        <v>117</v>
      </c>
      <c r="Q396" t="s">
        <v>113</v>
      </c>
      <c r="R396" s="48">
        <v>43739</v>
      </c>
      <c r="S396" s="49">
        <v>15671</v>
      </c>
      <c r="T396" t="s">
        <v>91</v>
      </c>
    </row>
    <row r="397" spans="15:20" x14ac:dyDescent="0.75">
      <c r="O397" t="s">
        <v>106</v>
      </c>
      <c r="P397" t="s">
        <v>117</v>
      </c>
      <c r="Q397" t="s">
        <v>113</v>
      </c>
      <c r="R397" s="48">
        <v>43770</v>
      </c>
      <c r="S397" s="49">
        <v>18470</v>
      </c>
      <c r="T397" t="s">
        <v>91</v>
      </c>
    </row>
    <row r="398" spans="15:20" x14ac:dyDescent="0.75">
      <c r="O398" t="s">
        <v>106</v>
      </c>
      <c r="P398" t="s">
        <v>117</v>
      </c>
      <c r="Q398" t="s">
        <v>113</v>
      </c>
      <c r="R398" s="48">
        <v>43800</v>
      </c>
      <c r="S398" s="49">
        <v>14372</v>
      </c>
      <c r="T398" t="s">
        <v>91</v>
      </c>
    </row>
    <row r="399" spans="15:20" x14ac:dyDescent="0.75">
      <c r="O399" t="s">
        <v>106</v>
      </c>
      <c r="P399" t="s">
        <v>117</v>
      </c>
      <c r="Q399" t="s">
        <v>113</v>
      </c>
      <c r="R399" s="48">
        <v>43831</v>
      </c>
      <c r="S399" s="49">
        <v>16115</v>
      </c>
      <c r="T399" t="s">
        <v>91</v>
      </c>
    </row>
    <row r="400" spans="15:20" x14ac:dyDescent="0.75">
      <c r="O400" t="s">
        <v>106</v>
      </c>
      <c r="P400" t="s">
        <v>117</v>
      </c>
      <c r="Q400" t="s">
        <v>113</v>
      </c>
      <c r="R400" s="48">
        <v>43862</v>
      </c>
      <c r="S400" s="49">
        <v>17858</v>
      </c>
      <c r="T400" t="s">
        <v>91</v>
      </c>
    </row>
    <row r="401" spans="15:20" x14ac:dyDescent="0.75">
      <c r="O401" t="s">
        <v>106</v>
      </c>
      <c r="P401" t="s">
        <v>117</v>
      </c>
      <c r="Q401" t="s">
        <v>113</v>
      </c>
      <c r="R401" s="48">
        <v>43891</v>
      </c>
      <c r="S401" s="49">
        <v>22090</v>
      </c>
      <c r="T401" t="s">
        <v>91</v>
      </c>
    </row>
    <row r="402" spans="15:20" x14ac:dyDescent="0.75">
      <c r="O402" t="s">
        <v>106</v>
      </c>
      <c r="P402" t="s">
        <v>117</v>
      </c>
      <c r="Q402" t="s">
        <v>113</v>
      </c>
      <c r="R402" s="48">
        <v>43922</v>
      </c>
      <c r="S402" s="49">
        <v>19770</v>
      </c>
      <c r="T402" t="s">
        <v>91</v>
      </c>
    </row>
    <row r="403" spans="15:20" x14ac:dyDescent="0.75">
      <c r="O403" t="s">
        <v>106</v>
      </c>
      <c r="P403" t="s">
        <v>117</v>
      </c>
      <c r="Q403" t="s">
        <v>113</v>
      </c>
      <c r="R403" s="48">
        <v>43952</v>
      </c>
      <c r="S403" s="49">
        <v>17008</v>
      </c>
      <c r="T403" t="s">
        <v>91</v>
      </c>
    </row>
    <row r="404" spans="15:20" x14ac:dyDescent="0.75">
      <c r="O404" t="s">
        <v>106</v>
      </c>
      <c r="P404" t="s">
        <v>117</v>
      </c>
      <c r="Q404" t="s">
        <v>113</v>
      </c>
      <c r="R404" s="48">
        <v>43983</v>
      </c>
      <c r="S404" s="49">
        <v>15902</v>
      </c>
      <c r="T404" t="s">
        <v>91</v>
      </c>
    </row>
    <row r="405" spans="15:20" x14ac:dyDescent="0.75">
      <c r="O405" t="s">
        <v>106</v>
      </c>
      <c r="P405" t="s">
        <v>117</v>
      </c>
      <c r="Q405" t="s">
        <v>113</v>
      </c>
      <c r="R405" s="48">
        <v>44013</v>
      </c>
      <c r="S405" s="49">
        <v>11484</v>
      </c>
      <c r="T405" t="s">
        <v>91</v>
      </c>
    </row>
    <row r="406" spans="15:20" x14ac:dyDescent="0.75">
      <c r="O406" t="s">
        <v>106</v>
      </c>
      <c r="P406" t="s">
        <v>117</v>
      </c>
      <c r="Q406" t="s">
        <v>113</v>
      </c>
      <c r="R406" s="48">
        <v>44044</v>
      </c>
      <c r="S406" s="49">
        <v>11866</v>
      </c>
      <c r="T406" t="s">
        <v>91</v>
      </c>
    </row>
    <row r="407" spans="15:20" x14ac:dyDescent="0.75">
      <c r="O407" t="s">
        <v>106</v>
      </c>
      <c r="P407" t="s">
        <v>117</v>
      </c>
      <c r="Q407" t="s">
        <v>113</v>
      </c>
      <c r="R407" s="48">
        <v>44075</v>
      </c>
      <c r="S407" s="49">
        <v>14779</v>
      </c>
      <c r="T407" t="s">
        <v>91</v>
      </c>
    </row>
    <row r="408" spans="15:20" x14ac:dyDescent="0.75">
      <c r="O408" t="s">
        <v>106</v>
      </c>
      <c r="P408" t="s">
        <v>117</v>
      </c>
      <c r="Q408" t="s">
        <v>113</v>
      </c>
      <c r="R408" s="48">
        <v>44105</v>
      </c>
      <c r="S408" s="49">
        <v>13970</v>
      </c>
      <c r="T408" t="s">
        <v>91</v>
      </c>
    </row>
    <row r="409" spans="15:20" x14ac:dyDescent="0.75">
      <c r="O409" t="s">
        <v>106</v>
      </c>
      <c r="P409" t="s">
        <v>117</v>
      </c>
      <c r="Q409" t="s">
        <v>113</v>
      </c>
      <c r="R409" s="48">
        <v>44136</v>
      </c>
      <c r="S409" s="49">
        <v>16333</v>
      </c>
      <c r="T409" t="s">
        <v>91</v>
      </c>
    </row>
    <row r="410" spans="15:20" x14ac:dyDescent="0.75">
      <c r="O410" t="s">
        <v>106</v>
      </c>
      <c r="P410" t="s">
        <v>117</v>
      </c>
      <c r="Q410" t="s">
        <v>113</v>
      </c>
      <c r="R410" s="48">
        <v>44166</v>
      </c>
      <c r="S410" s="49">
        <v>15074</v>
      </c>
      <c r="T410" t="s">
        <v>91</v>
      </c>
    </row>
    <row r="411" spans="15:20" x14ac:dyDescent="0.75">
      <c r="O411" t="s">
        <v>106</v>
      </c>
      <c r="P411" t="s">
        <v>117</v>
      </c>
      <c r="Q411" t="s">
        <v>113</v>
      </c>
      <c r="R411" s="48">
        <v>44197</v>
      </c>
      <c r="S411" s="49">
        <v>16120</v>
      </c>
      <c r="T411" t="s">
        <v>91</v>
      </c>
    </row>
    <row r="412" spans="15:20" x14ac:dyDescent="0.75">
      <c r="O412" t="s">
        <v>106</v>
      </c>
      <c r="P412" t="s">
        <v>117</v>
      </c>
      <c r="Q412" t="s">
        <v>113</v>
      </c>
      <c r="R412" s="48">
        <v>44228</v>
      </c>
      <c r="S412" s="49">
        <v>12464</v>
      </c>
      <c r="T412" t="s">
        <v>91</v>
      </c>
    </row>
    <row r="413" spans="15:20" x14ac:dyDescent="0.75">
      <c r="O413" t="s">
        <v>106</v>
      </c>
      <c r="P413" t="s">
        <v>117</v>
      </c>
      <c r="Q413" t="s">
        <v>113</v>
      </c>
      <c r="R413" s="48">
        <v>44256</v>
      </c>
      <c r="S413" s="49">
        <v>21139</v>
      </c>
      <c r="T413" t="s">
        <v>91</v>
      </c>
    </row>
    <row r="414" spans="15:20" x14ac:dyDescent="0.75">
      <c r="O414" t="s">
        <v>106</v>
      </c>
      <c r="P414" t="s">
        <v>117</v>
      </c>
      <c r="Q414" t="s">
        <v>113</v>
      </c>
      <c r="R414" s="48">
        <v>44287</v>
      </c>
      <c r="S414" s="49">
        <v>14003</v>
      </c>
      <c r="T414" t="s">
        <v>91</v>
      </c>
    </row>
    <row r="415" spans="15:20" x14ac:dyDescent="0.75">
      <c r="O415" t="s">
        <v>106</v>
      </c>
      <c r="P415" t="s">
        <v>117</v>
      </c>
      <c r="Q415" t="s">
        <v>113</v>
      </c>
      <c r="R415" s="48">
        <v>44317</v>
      </c>
      <c r="S415" s="49">
        <v>19009</v>
      </c>
      <c r="T415" t="s">
        <v>91</v>
      </c>
    </row>
    <row r="416" spans="15:20" x14ac:dyDescent="0.75">
      <c r="O416" t="s">
        <v>106</v>
      </c>
      <c r="P416" t="s">
        <v>117</v>
      </c>
      <c r="Q416" t="s">
        <v>113</v>
      </c>
      <c r="R416" s="48">
        <v>44348</v>
      </c>
      <c r="S416" s="49">
        <v>16002</v>
      </c>
      <c r="T416" t="s">
        <v>91</v>
      </c>
    </row>
    <row r="417" spans="15:20" x14ac:dyDescent="0.75">
      <c r="O417" t="s">
        <v>106</v>
      </c>
      <c r="P417" t="s">
        <v>117</v>
      </c>
      <c r="Q417" t="s">
        <v>113</v>
      </c>
      <c r="R417" s="48">
        <v>44378</v>
      </c>
      <c r="S417" s="49">
        <v>13904</v>
      </c>
      <c r="T417" t="s">
        <v>91</v>
      </c>
    </row>
    <row r="418" spans="15:20" x14ac:dyDescent="0.75">
      <c r="O418" t="s">
        <v>106</v>
      </c>
      <c r="P418" t="s">
        <v>117</v>
      </c>
      <c r="Q418" t="s">
        <v>113</v>
      </c>
      <c r="R418" s="48">
        <v>44409</v>
      </c>
      <c r="S418" s="49">
        <v>9779</v>
      </c>
      <c r="T418" t="s">
        <v>91</v>
      </c>
    </row>
    <row r="419" spans="15:20" x14ac:dyDescent="0.75">
      <c r="O419" t="s">
        <v>106</v>
      </c>
      <c r="P419" t="s">
        <v>117</v>
      </c>
      <c r="Q419" t="s">
        <v>113</v>
      </c>
      <c r="R419" s="48">
        <v>44440</v>
      </c>
      <c r="S419" s="49">
        <v>11709</v>
      </c>
      <c r="T419" t="s">
        <v>91</v>
      </c>
    </row>
    <row r="420" spans="15:20" x14ac:dyDescent="0.75">
      <c r="O420" t="s">
        <v>106</v>
      </c>
      <c r="P420" t="s">
        <v>117</v>
      </c>
      <c r="Q420" t="s">
        <v>113</v>
      </c>
      <c r="R420" s="48">
        <v>44470</v>
      </c>
      <c r="S420" s="49">
        <v>9122</v>
      </c>
      <c r="T420" t="s">
        <v>91</v>
      </c>
    </row>
    <row r="421" spans="15:20" x14ac:dyDescent="0.75">
      <c r="O421" t="s">
        <v>106</v>
      </c>
      <c r="P421" t="s">
        <v>117</v>
      </c>
      <c r="Q421" t="s">
        <v>113</v>
      </c>
      <c r="R421" s="48">
        <v>44501</v>
      </c>
      <c r="S421" s="49">
        <v>11948</v>
      </c>
      <c r="T421" t="s">
        <v>91</v>
      </c>
    </row>
    <row r="422" spans="15:20" x14ac:dyDescent="0.75">
      <c r="O422" t="s">
        <v>106</v>
      </c>
      <c r="P422" t="s">
        <v>117</v>
      </c>
      <c r="Q422" t="s">
        <v>113</v>
      </c>
      <c r="R422" s="48">
        <v>44531</v>
      </c>
      <c r="S422" s="49">
        <v>11653</v>
      </c>
      <c r="T422" t="s">
        <v>91</v>
      </c>
    </row>
    <row r="423" spans="15:20" x14ac:dyDescent="0.75">
      <c r="O423" t="s">
        <v>106</v>
      </c>
      <c r="P423" t="s">
        <v>117</v>
      </c>
      <c r="Q423" t="s">
        <v>113</v>
      </c>
      <c r="R423" s="48">
        <v>44562</v>
      </c>
      <c r="S423" s="49">
        <v>11866</v>
      </c>
      <c r="T423" t="s">
        <v>91</v>
      </c>
    </row>
    <row r="424" spans="15:20" x14ac:dyDescent="0.75">
      <c r="O424" t="s">
        <v>106</v>
      </c>
      <c r="P424" t="s">
        <v>117</v>
      </c>
      <c r="Q424" t="s">
        <v>113</v>
      </c>
      <c r="R424" s="48">
        <v>44593</v>
      </c>
      <c r="S424" s="49">
        <v>14633</v>
      </c>
      <c r="T424" t="s">
        <v>91</v>
      </c>
    </row>
    <row r="425" spans="15:20" x14ac:dyDescent="0.75">
      <c r="O425" t="s">
        <v>106</v>
      </c>
      <c r="P425" t="s">
        <v>117</v>
      </c>
      <c r="Q425" t="s">
        <v>113</v>
      </c>
      <c r="R425" s="48">
        <v>44621</v>
      </c>
      <c r="S425" s="49">
        <v>13479</v>
      </c>
      <c r="T425" t="s">
        <v>91</v>
      </c>
    </row>
    <row r="426" spans="15:20" x14ac:dyDescent="0.75">
      <c r="O426" t="s">
        <v>106</v>
      </c>
      <c r="P426" t="s">
        <v>117</v>
      </c>
      <c r="Q426" t="s">
        <v>113</v>
      </c>
      <c r="R426" s="48">
        <v>44652</v>
      </c>
      <c r="S426" s="49">
        <v>17993</v>
      </c>
      <c r="T426" t="s">
        <v>91</v>
      </c>
    </row>
    <row r="427" spans="15:20" x14ac:dyDescent="0.75">
      <c r="O427" t="s">
        <v>106</v>
      </c>
      <c r="P427" t="s">
        <v>117</v>
      </c>
      <c r="Q427" t="s">
        <v>113</v>
      </c>
      <c r="R427" s="48">
        <v>44682</v>
      </c>
      <c r="S427" s="49">
        <v>15254</v>
      </c>
      <c r="T427" t="s">
        <v>91</v>
      </c>
    </row>
    <row r="428" spans="15:20" x14ac:dyDescent="0.75">
      <c r="O428" t="s">
        <v>106</v>
      </c>
      <c r="P428" t="s">
        <v>117</v>
      </c>
      <c r="Q428" t="s">
        <v>113</v>
      </c>
      <c r="R428" s="48">
        <v>44713</v>
      </c>
      <c r="S428" s="49">
        <v>11788</v>
      </c>
      <c r="T428" t="s">
        <v>91</v>
      </c>
    </row>
    <row r="429" spans="15:20" x14ac:dyDescent="0.75">
      <c r="O429" t="s">
        <v>106</v>
      </c>
      <c r="P429" t="s">
        <v>117</v>
      </c>
      <c r="Q429" t="s">
        <v>113</v>
      </c>
      <c r="R429" s="48">
        <v>44743</v>
      </c>
      <c r="S429" s="49">
        <v>12185</v>
      </c>
      <c r="T429" t="s">
        <v>91</v>
      </c>
    </row>
    <row r="430" spans="15:20" x14ac:dyDescent="0.75">
      <c r="O430" t="s">
        <v>106</v>
      </c>
      <c r="P430" t="s">
        <v>117</v>
      </c>
      <c r="Q430" t="s">
        <v>113</v>
      </c>
      <c r="R430" s="48">
        <v>44774</v>
      </c>
      <c r="S430" s="49">
        <v>11998</v>
      </c>
      <c r="T430" t="s">
        <v>91</v>
      </c>
    </row>
    <row r="431" spans="15:20" x14ac:dyDescent="0.75">
      <c r="O431" t="s">
        <v>106</v>
      </c>
      <c r="P431" t="s">
        <v>117</v>
      </c>
      <c r="Q431" t="s">
        <v>113</v>
      </c>
      <c r="R431" s="48">
        <v>44805</v>
      </c>
      <c r="S431" s="49">
        <v>14510</v>
      </c>
      <c r="T431" t="s">
        <v>91</v>
      </c>
    </row>
    <row r="432" spans="15:20" x14ac:dyDescent="0.75">
      <c r="O432" t="s">
        <v>106</v>
      </c>
      <c r="P432" t="s">
        <v>117</v>
      </c>
      <c r="Q432" t="s">
        <v>113</v>
      </c>
      <c r="R432" s="48">
        <v>44835</v>
      </c>
      <c r="S432" s="49">
        <v>15876</v>
      </c>
      <c r="T432" t="s">
        <v>91</v>
      </c>
    </row>
    <row r="433" spans="15:20" x14ac:dyDescent="0.75">
      <c r="O433" t="s">
        <v>106</v>
      </c>
      <c r="P433" t="s">
        <v>117</v>
      </c>
      <c r="Q433" t="s">
        <v>113</v>
      </c>
      <c r="R433" s="48">
        <v>44866</v>
      </c>
      <c r="S433" s="49">
        <v>14197</v>
      </c>
      <c r="T433" t="s">
        <v>91</v>
      </c>
    </row>
    <row r="434" spans="15:20" x14ac:dyDescent="0.75">
      <c r="O434" t="s">
        <v>106</v>
      </c>
      <c r="P434" t="s">
        <v>117</v>
      </c>
      <c r="Q434" t="s">
        <v>113</v>
      </c>
      <c r="R434" s="48">
        <v>44896</v>
      </c>
      <c r="S434" s="49">
        <v>13419</v>
      </c>
      <c r="T434" t="s">
        <v>91</v>
      </c>
    </row>
    <row r="435" spans="15:20" x14ac:dyDescent="0.75">
      <c r="O435" t="s">
        <v>106</v>
      </c>
      <c r="P435" t="s">
        <v>117</v>
      </c>
      <c r="Q435" t="s">
        <v>113</v>
      </c>
      <c r="R435" s="48">
        <v>44927</v>
      </c>
      <c r="S435" s="49">
        <v>17299</v>
      </c>
      <c r="T435" t="s">
        <v>91</v>
      </c>
    </row>
    <row r="436" spans="15:20" x14ac:dyDescent="0.75">
      <c r="O436" t="s">
        <v>106</v>
      </c>
      <c r="P436" t="s">
        <v>117</v>
      </c>
      <c r="Q436" t="s">
        <v>113</v>
      </c>
      <c r="R436" s="48">
        <v>44958</v>
      </c>
      <c r="S436" s="49">
        <v>14562.5</v>
      </c>
      <c r="T436" t="s">
        <v>91</v>
      </c>
    </row>
    <row r="437" spans="15:20" x14ac:dyDescent="0.75">
      <c r="O437" t="s">
        <v>106</v>
      </c>
      <c r="P437" t="s">
        <v>117</v>
      </c>
      <c r="Q437" t="s">
        <v>113</v>
      </c>
      <c r="R437" s="48">
        <v>44986</v>
      </c>
      <c r="S437" s="51">
        <v>18097</v>
      </c>
      <c r="T437" t="s">
        <v>91</v>
      </c>
    </row>
    <row r="438" spans="15:20" x14ac:dyDescent="0.75">
      <c r="O438" t="s">
        <v>106</v>
      </c>
      <c r="P438" t="s">
        <v>117</v>
      </c>
      <c r="Q438" t="s">
        <v>113</v>
      </c>
      <c r="R438" s="48">
        <v>45017</v>
      </c>
      <c r="S438" s="57">
        <v>16422.5</v>
      </c>
      <c r="T438" t="s">
        <v>91</v>
      </c>
    </row>
    <row r="439" spans="15:20" x14ac:dyDescent="0.75">
      <c r="O439" t="s">
        <v>106</v>
      </c>
      <c r="P439" t="s">
        <v>117</v>
      </c>
      <c r="Q439" t="s">
        <v>113</v>
      </c>
      <c r="R439" s="48">
        <v>45047</v>
      </c>
      <c r="S439" s="57">
        <v>15836</v>
      </c>
      <c r="T439" t="s">
        <v>91</v>
      </c>
    </row>
    <row r="440" spans="15:20" x14ac:dyDescent="0.75">
      <c r="O440" t="s">
        <v>106</v>
      </c>
      <c r="P440" t="s">
        <v>117</v>
      </c>
      <c r="Q440" t="s">
        <v>113</v>
      </c>
      <c r="R440" s="48">
        <v>45078</v>
      </c>
      <c r="S440" s="57">
        <v>11515.5</v>
      </c>
      <c r="T440" t="s">
        <v>91</v>
      </c>
    </row>
    <row r="441" spans="15:20" x14ac:dyDescent="0.75">
      <c r="O441" t="s">
        <v>106</v>
      </c>
      <c r="P441" t="s">
        <v>117</v>
      </c>
      <c r="Q441" t="s">
        <v>113</v>
      </c>
      <c r="R441" s="48">
        <v>45108</v>
      </c>
      <c r="S441" s="57">
        <v>14195.75</v>
      </c>
      <c r="T441" t="s">
        <v>91</v>
      </c>
    </row>
    <row r="442" spans="15:20" x14ac:dyDescent="0.75">
      <c r="O442" t="s">
        <v>106</v>
      </c>
      <c r="P442" t="s">
        <v>117</v>
      </c>
      <c r="Q442" t="s">
        <v>113</v>
      </c>
      <c r="R442" s="48">
        <v>45139</v>
      </c>
      <c r="S442" s="58">
        <v>13329</v>
      </c>
      <c r="T442" t="s">
        <v>91</v>
      </c>
    </row>
    <row r="443" spans="15:20" x14ac:dyDescent="0.75">
      <c r="O443" t="s">
        <v>106</v>
      </c>
      <c r="P443" t="s">
        <v>117</v>
      </c>
      <c r="Q443" t="s">
        <v>113</v>
      </c>
      <c r="R443" s="48">
        <v>45170</v>
      </c>
      <c r="S443" s="58">
        <v>11208</v>
      </c>
      <c r="T443" t="s">
        <v>91</v>
      </c>
    </row>
    <row r="444" spans="15:20" x14ac:dyDescent="0.75">
      <c r="O444" t="s">
        <v>106</v>
      </c>
      <c r="P444" t="s">
        <v>117</v>
      </c>
      <c r="Q444" t="s">
        <v>113</v>
      </c>
      <c r="R444" s="48">
        <v>45200</v>
      </c>
      <c r="S444" s="51">
        <v>13597</v>
      </c>
      <c r="T444" t="s">
        <v>91</v>
      </c>
    </row>
    <row r="445" spans="15:20" x14ac:dyDescent="0.75">
      <c r="O445" t="s">
        <v>106</v>
      </c>
      <c r="P445" t="s">
        <v>117</v>
      </c>
      <c r="Q445" t="s">
        <v>113</v>
      </c>
      <c r="R445" s="48">
        <v>45231</v>
      </c>
      <c r="S445" s="51">
        <v>14118</v>
      </c>
      <c r="T445" t="s">
        <v>91</v>
      </c>
    </row>
    <row r="446" spans="15:20" x14ac:dyDescent="0.75">
      <c r="O446" t="s">
        <v>106</v>
      </c>
      <c r="P446" t="s">
        <v>117</v>
      </c>
      <c r="Q446" t="s">
        <v>113</v>
      </c>
      <c r="R446" s="48">
        <v>45261</v>
      </c>
      <c r="S446" s="51">
        <v>12210</v>
      </c>
      <c r="T446" t="s">
        <v>91</v>
      </c>
    </row>
    <row r="447" spans="15:20" x14ac:dyDescent="0.75">
      <c r="O447" t="s">
        <v>106</v>
      </c>
      <c r="P447" t="s">
        <v>117</v>
      </c>
      <c r="Q447" t="s">
        <v>113</v>
      </c>
      <c r="R447" s="48">
        <v>45292</v>
      </c>
      <c r="S447" s="51">
        <v>17117</v>
      </c>
      <c r="T447" t="s">
        <v>91</v>
      </c>
    </row>
    <row r="448" spans="15:20" x14ac:dyDescent="0.75">
      <c r="O448" t="s">
        <v>106</v>
      </c>
      <c r="P448" t="s">
        <v>117</v>
      </c>
      <c r="Q448" t="s">
        <v>113</v>
      </c>
      <c r="R448" s="48">
        <v>45323</v>
      </c>
      <c r="S448" s="51">
        <v>13142</v>
      </c>
      <c r="T448" t="s">
        <v>91</v>
      </c>
    </row>
    <row r="449" spans="15:20" x14ac:dyDescent="0.75">
      <c r="O449" t="s">
        <v>106</v>
      </c>
      <c r="P449" t="s">
        <v>117</v>
      </c>
      <c r="Q449" t="s">
        <v>113</v>
      </c>
      <c r="R449" s="48">
        <v>45352</v>
      </c>
      <c r="S449" s="51">
        <v>20254</v>
      </c>
      <c r="T449" t="s">
        <v>91</v>
      </c>
    </row>
    <row r="450" spans="15:20" x14ac:dyDescent="0.75">
      <c r="O450" t="s">
        <v>106</v>
      </c>
      <c r="P450" t="s">
        <v>117</v>
      </c>
      <c r="Q450" t="s">
        <v>113</v>
      </c>
      <c r="R450" s="48">
        <v>45383</v>
      </c>
      <c r="S450" s="59">
        <v>16357</v>
      </c>
      <c r="T450" t="s">
        <v>91</v>
      </c>
    </row>
    <row r="451" spans="15:20" x14ac:dyDescent="0.75">
      <c r="O451" t="s">
        <v>106</v>
      </c>
      <c r="P451" t="s">
        <v>117</v>
      </c>
      <c r="Q451" t="s">
        <v>113</v>
      </c>
      <c r="R451" s="48">
        <v>45413</v>
      </c>
      <c r="S451" s="59">
        <v>12680.75</v>
      </c>
      <c r="T451" t="s">
        <v>91</v>
      </c>
    </row>
    <row r="452" spans="15:20" x14ac:dyDescent="0.75">
      <c r="O452" t="s">
        <v>106</v>
      </c>
      <c r="P452" t="s">
        <v>117</v>
      </c>
      <c r="Q452" t="s">
        <v>113</v>
      </c>
      <c r="R452" s="48">
        <v>45444</v>
      </c>
      <c r="S452" s="57">
        <v>10237</v>
      </c>
      <c r="T452" t="s">
        <v>91</v>
      </c>
    </row>
    <row r="453" spans="15:20" x14ac:dyDescent="0.75">
      <c r="O453" t="s">
        <v>106</v>
      </c>
      <c r="P453" t="s">
        <v>117</v>
      </c>
      <c r="Q453" t="s">
        <v>113</v>
      </c>
      <c r="R453" s="48">
        <v>45474</v>
      </c>
      <c r="S453" s="57">
        <v>10627.25</v>
      </c>
      <c r="T453" t="s">
        <v>91</v>
      </c>
    </row>
    <row r="454" spans="15:20" x14ac:dyDescent="0.75">
      <c r="O454" t="s">
        <v>106</v>
      </c>
      <c r="P454" t="s">
        <v>117</v>
      </c>
      <c r="Q454" t="s">
        <v>113</v>
      </c>
      <c r="R454" s="48">
        <v>45505</v>
      </c>
      <c r="S454" s="51">
        <v>11823</v>
      </c>
      <c r="T454" t="s">
        <v>91</v>
      </c>
    </row>
    <row r="455" spans="15:20" x14ac:dyDescent="0.75">
      <c r="O455" t="s">
        <v>106</v>
      </c>
      <c r="P455" t="s">
        <v>117</v>
      </c>
      <c r="Q455" t="s">
        <v>113</v>
      </c>
      <c r="R455" s="48">
        <v>45536</v>
      </c>
      <c r="S455" s="51">
        <v>12692</v>
      </c>
      <c r="T455" t="s">
        <v>91</v>
      </c>
    </row>
    <row r="456" spans="15:20" x14ac:dyDescent="0.75">
      <c r="O456" t="s">
        <v>106</v>
      </c>
      <c r="P456" t="s">
        <v>117</v>
      </c>
      <c r="Q456" t="s">
        <v>113</v>
      </c>
      <c r="R456" s="48">
        <v>45566</v>
      </c>
      <c r="S456" s="57">
        <v>15681.5</v>
      </c>
      <c r="T456" t="s">
        <v>91</v>
      </c>
    </row>
    <row r="457" spans="15:20" x14ac:dyDescent="0.75">
      <c r="O457" t="s">
        <v>106</v>
      </c>
      <c r="P457" t="s">
        <v>117</v>
      </c>
      <c r="Q457" t="s">
        <v>113</v>
      </c>
      <c r="R457" s="48">
        <v>45597</v>
      </c>
      <c r="S457" s="57">
        <v>12027.75</v>
      </c>
      <c r="T457" t="s">
        <v>91</v>
      </c>
    </row>
    <row r="458" spans="15:20" x14ac:dyDescent="0.75">
      <c r="O458" t="s">
        <v>106</v>
      </c>
      <c r="P458" t="s">
        <v>117</v>
      </c>
      <c r="Q458" t="s">
        <v>113</v>
      </c>
      <c r="R458" s="48">
        <v>45627</v>
      </c>
      <c r="S458" s="57">
        <v>10740.75</v>
      </c>
      <c r="T458" t="s">
        <v>91</v>
      </c>
    </row>
    <row r="459" spans="15:20" x14ac:dyDescent="0.75">
      <c r="O459" t="s">
        <v>106</v>
      </c>
      <c r="P459" t="s">
        <v>117</v>
      </c>
      <c r="Q459" t="s">
        <v>113</v>
      </c>
      <c r="R459" s="48">
        <v>45658</v>
      </c>
      <c r="S459" s="51">
        <v>12625</v>
      </c>
      <c r="T459" t="s">
        <v>91</v>
      </c>
    </row>
    <row r="460" spans="15:20" x14ac:dyDescent="0.75">
      <c r="O460" t="s">
        <v>106</v>
      </c>
      <c r="P460" t="s">
        <v>117</v>
      </c>
      <c r="Q460" t="s">
        <v>113</v>
      </c>
      <c r="R460" s="48">
        <v>45689</v>
      </c>
      <c r="S460" s="51">
        <v>14490</v>
      </c>
      <c r="T460" t="s">
        <v>91</v>
      </c>
    </row>
    <row r="461" spans="15:20" x14ac:dyDescent="0.75">
      <c r="O461" t="s">
        <v>106</v>
      </c>
      <c r="P461" t="s">
        <v>117</v>
      </c>
      <c r="Q461" t="s">
        <v>113</v>
      </c>
      <c r="R461" s="48">
        <v>45717</v>
      </c>
      <c r="S461" s="51">
        <v>18540</v>
      </c>
      <c r="T461" t="s">
        <v>91</v>
      </c>
    </row>
    <row r="462" spans="15:20" x14ac:dyDescent="0.75">
      <c r="O462" t="s">
        <v>106</v>
      </c>
      <c r="P462" t="s">
        <v>117</v>
      </c>
      <c r="Q462" t="s">
        <v>113</v>
      </c>
      <c r="R462" s="48">
        <v>45748</v>
      </c>
      <c r="S462" s="51">
        <v>14437.5</v>
      </c>
      <c r="T462" t="s">
        <v>91</v>
      </c>
    </row>
    <row r="463" spans="15:20" x14ac:dyDescent="0.75">
      <c r="O463" t="s">
        <v>106</v>
      </c>
      <c r="P463" t="s">
        <v>117</v>
      </c>
      <c r="Q463" t="s">
        <v>113</v>
      </c>
      <c r="R463" s="48">
        <v>45778</v>
      </c>
      <c r="S463" s="51">
        <v>13960</v>
      </c>
      <c r="T463" t="s">
        <v>91</v>
      </c>
    </row>
    <row r="464" spans="15:20" x14ac:dyDescent="0.75">
      <c r="O464" t="s">
        <v>107</v>
      </c>
      <c r="P464" t="s">
        <v>118</v>
      </c>
      <c r="Q464" t="s">
        <v>118</v>
      </c>
      <c r="R464" s="48">
        <v>43466</v>
      </c>
      <c r="S464" s="60">
        <v>1016</v>
      </c>
      <c r="T464" t="s">
        <v>91</v>
      </c>
    </row>
    <row r="465" spans="15:20" x14ac:dyDescent="0.75">
      <c r="O465" t="s">
        <v>107</v>
      </c>
      <c r="P465" t="s">
        <v>118</v>
      </c>
      <c r="Q465" t="s">
        <v>118</v>
      </c>
      <c r="R465" s="48">
        <v>43497</v>
      </c>
      <c r="S465" s="60">
        <v>977</v>
      </c>
      <c r="T465" t="s">
        <v>91</v>
      </c>
    </row>
    <row r="466" spans="15:20" x14ac:dyDescent="0.75">
      <c r="O466" t="s">
        <v>107</v>
      </c>
      <c r="P466" t="s">
        <v>118</v>
      </c>
      <c r="Q466" t="s">
        <v>118</v>
      </c>
      <c r="R466" s="48">
        <v>43525</v>
      </c>
      <c r="S466" s="60">
        <v>1302</v>
      </c>
      <c r="T466" t="s">
        <v>91</v>
      </c>
    </row>
    <row r="467" spans="15:20" x14ac:dyDescent="0.75">
      <c r="O467" t="s">
        <v>107</v>
      </c>
      <c r="P467" t="s">
        <v>118</v>
      </c>
      <c r="Q467" t="s">
        <v>118</v>
      </c>
      <c r="R467" s="48">
        <v>43556</v>
      </c>
      <c r="S467" s="60">
        <v>1550</v>
      </c>
      <c r="T467" t="s">
        <v>91</v>
      </c>
    </row>
    <row r="468" spans="15:20" x14ac:dyDescent="0.75">
      <c r="O468" t="s">
        <v>107</v>
      </c>
      <c r="P468" t="s">
        <v>118</v>
      </c>
      <c r="Q468" t="s">
        <v>118</v>
      </c>
      <c r="R468" s="48">
        <v>43586</v>
      </c>
      <c r="S468" s="60">
        <v>1263</v>
      </c>
      <c r="T468" t="s">
        <v>91</v>
      </c>
    </row>
    <row r="469" spans="15:20" x14ac:dyDescent="0.75">
      <c r="O469" t="s">
        <v>107</v>
      </c>
      <c r="P469" t="s">
        <v>118</v>
      </c>
      <c r="Q469" t="s">
        <v>118</v>
      </c>
      <c r="R469" s="48">
        <v>43617</v>
      </c>
      <c r="S469" s="60">
        <v>1601</v>
      </c>
      <c r="T469" t="s">
        <v>91</v>
      </c>
    </row>
    <row r="470" spans="15:20" x14ac:dyDescent="0.75">
      <c r="O470" t="s">
        <v>107</v>
      </c>
      <c r="P470" t="s">
        <v>118</v>
      </c>
      <c r="Q470" t="s">
        <v>118</v>
      </c>
      <c r="R470" s="48">
        <v>43647</v>
      </c>
      <c r="S470" s="60">
        <v>1756</v>
      </c>
      <c r="T470" t="s">
        <v>91</v>
      </c>
    </row>
    <row r="471" spans="15:20" x14ac:dyDescent="0.75">
      <c r="O471" t="s">
        <v>107</v>
      </c>
      <c r="P471" t="s">
        <v>118</v>
      </c>
      <c r="Q471" t="s">
        <v>118</v>
      </c>
      <c r="R471" s="48">
        <v>43678</v>
      </c>
      <c r="S471" s="60">
        <v>1932</v>
      </c>
      <c r="T471" t="s">
        <v>91</v>
      </c>
    </row>
    <row r="472" spans="15:20" x14ac:dyDescent="0.75">
      <c r="O472" t="s">
        <v>107</v>
      </c>
      <c r="P472" t="s">
        <v>118</v>
      </c>
      <c r="Q472" t="s">
        <v>118</v>
      </c>
      <c r="R472" s="48">
        <v>43709</v>
      </c>
      <c r="S472" s="60">
        <v>1721</v>
      </c>
      <c r="T472" t="s">
        <v>91</v>
      </c>
    </row>
    <row r="473" spans="15:20" x14ac:dyDescent="0.75">
      <c r="O473" t="s">
        <v>107</v>
      </c>
      <c r="P473" t="s">
        <v>118</v>
      </c>
      <c r="Q473" t="s">
        <v>118</v>
      </c>
      <c r="R473" s="48">
        <v>43739</v>
      </c>
      <c r="S473" s="60">
        <v>1509</v>
      </c>
      <c r="T473" t="s">
        <v>91</v>
      </c>
    </row>
    <row r="474" spans="15:20" x14ac:dyDescent="0.75">
      <c r="O474" t="s">
        <v>107</v>
      </c>
      <c r="P474" t="s">
        <v>118</v>
      </c>
      <c r="Q474" t="s">
        <v>118</v>
      </c>
      <c r="R474" s="48">
        <v>43770</v>
      </c>
      <c r="S474" s="60">
        <v>1337</v>
      </c>
      <c r="T474" t="s">
        <v>91</v>
      </c>
    </row>
    <row r="475" spans="15:20" x14ac:dyDescent="0.75">
      <c r="O475" t="s">
        <v>107</v>
      </c>
      <c r="P475" t="s">
        <v>118</v>
      </c>
      <c r="Q475" t="s">
        <v>118</v>
      </c>
      <c r="R475" s="48">
        <v>43800</v>
      </c>
      <c r="S475" s="60">
        <v>1544</v>
      </c>
      <c r="T475" t="s">
        <v>91</v>
      </c>
    </row>
    <row r="476" spans="15:20" x14ac:dyDescent="0.75">
      <c r="O476" t="s">
        <v>107</v>
      </c>
      <c r="P476" t="s">
        <v>118</v>
      </c>
      <c r="Q476" t="s">
        <v>118</v>
      </c>
      <c r="R476" s="48">
        <v>43831</v>
      </c>
      <c r="S476" s="60">
        <v>2001</v>
      </c>
      <c r="T476" t="s">
        <v>91</v>
      </c>
    </row>
    <row r="477" spans="15:20" x14ac:dyDescent="0.75">
      <c r="O477" t="s">
        <v>107</v>
      </c>
      <c r="P477" t="s">
        <v>118</v>
      </c>
      <c r="Q477" t="s">
        <v>118</v>
      </c>
      <c r="R477" s="48">
        <v>43862</v>
      </c>
      <c r="S477" s="60">
        <v>1314</v>
      </c>
      <c r="T477" t="s">
        <v>91</v>
      </c>
    </row>
    <row r="478" spans="15:20" x14ac:dyDescent="0.75">
      <c r="O478" t="s">
        <v>107</v>
      </c>
      <c r="P478" t="s">
        <v>118</v>
      </c>
      <c r="Q478" t="s">
        <v>118</v>
      </c>
      <c r="R478" s="48">
        <v>43891</v>
      </c>
      <c r="S478" s="60">
        <v>1837</v>
      </c>
      <c r="T478" t="s">
        <v>91</v>
      </c>
    </row>
    <row r="479" spans="15:20" x14ac:dyDescent="0.75">
      <c r="O479" t="s">
        <v>107</v>
      </c>
      <c r="P479" t="s">
        <v>118</v>
      </c>
      <c r="Q479" t="s">
        <v>118</v>
      </c>
      <c r="R479" s="48">
        <v>43922</v>
      </c>
      <c r="S479" s="60">
        <v>1289</v>
      </c>
      <c r="T479" t="s">
        <v>91</v>
      </c>
    </row>
    <row r="480" spans="15:20" x14ac:dyDescent="0.75">
      <c r="O480" t="s">
        <v>107</v>
      </c>
      <c r="P480" t="s">
        <v>118</v>
      </c>
      <c r="Q480" t="s">
        <v>118</v>
      </c>
      <c r="R480" s="48">
        <v>43952</v>
      </c>
      <c r="S480" s="60">
        <v>1004</v>
      </c>
      <c r="T480" t="s">
        <v>91</v>
      </c>
    </row>
    <row r="481" spans="15:20" x14ac:dyDescent="0.75">
      <c r="O481" t="s">
        <v>107</v>
      </c>
      <c r="P481" t="s">
        <v>118</v>
      </c>
      <c r="Q481" t="s">
        <v>118</v>
      </c>
      <c r="R481" s="48">
        <v>43983</v>
      </c>
      <c r="S481" s="60">
        <v>2782</v>
      </c>
      <c r="T481" t="s">
        <v>91</v>
      </c>
    </row>
    <row r="482" spans="15:20" x14ac:dyDescent="0.75">
      <c r="O482" t="s">
        <v>107</v>
      </c>
      <c r="P482" t="s">
        <v>118</v>
      </c>
      <c r="Q482" t="s">
        <v>118</v>
      </c>
      <c r="R482" s="48">
        <v>44013</v>
      </c>
      <c r="S482" s="60">
        <v>2785</v>
      </c>
      <c r="T482" t="s">
        <v>91</v>
      </c>
    </row>
    <row r="483" spans="15:20" x14ac:dyDescent="0.75">
      <c r="O483" t="s">
        <v>107</v>
      </c>
      <c r="P483" t="s">
        <v>118</v>
      </c>
      <c r="Q483" t="s">
        <v>118</v>
      </c>
      <c r="R483" s="48">
        <v>44044</v>
      </c>
      <c r="S483" s="60">
        <v>1981</v>
      </c>
      <c r="T483" t="s">
        <v>91</v>
      </c>
    </row>
    <row r="484" spans="15:20" x14ac:dyDescent="0.75">
      <c r="O484" t="s">
        <v>107</v>
      </c>
      <c r="P484" t="s">
        <v>118</v>
      </c>
      <c r="Q484" t="s">
        <v>118</v>
      </c>
      <c r="R484" s="48">
        <v>44075</v>
      </c>
      <c r="S484" s="60">
        <v>2107</v>
      </c>
      <c r="T484" t="s">
        <v>91</v>
      </c>
    </row>
    <row r="485" spans="15:20" x14ac:dyDescent="0.75">
      <c r="O485" t="s">
        <v>107</v>
      </c>
      <c r="P485" t="s">
        <v>118</v>
      </c>
      <c r="Q485" t="s">
        <v>118</v>
      </c>
      <c r="R485" s="48">
        <v>44105</v>
      </c>
      <c r="S485" s="61">
        <v>2312</v>
      </c>
      <c r="T485" t="s">
        <v>91</v>
      </c>
    </row>
    <row r="486" spans="15:20" x14ac:dyDescent="0.75">
      <c r="O486" t="s">
        <v>107</v>
      </c>
      <c r="P486" t="s">
        <v>118</v>
      </c>
      <c r="Q486" t="s">
        <v>118</v>
      </c>
      <c r="R486" s="48">
        <v>44136</v>
      </c>
      <c r="S486" s="61">
        <v>3307</v>
      </c>
      <c r="T486" t="s">
        <v>91</v>
      </c>
    </row>
    <row r="487" spans="15:20" x14ac:dyDescent="0.75">
      <c r="O487" t="s">
        <v>107</v>
      </c>
      <c r="P487" t="s">
        <v>118</v>
      </c>
      <c r="Q487" t="s">
        <v>118</v>
      </c>
      <c r="R487" s="48">
        <v>44166</v>
      </c>
      <c r="S487" s="61">
        <v>2921</v>
      </c>
      <c r="T487" t="s">
        <v>91</v>
      </c>
    </row>
    <row r="488" spans="15:20" x14ac:dyDescent="0.75">
      <c r="O488" t="s">
        <v>107</v>
      </c>
      <c r="P488" t="s">
        <v>118</v>
      </c>
      <c r="Q488" t="s">
        <v>118</v>
      </c>
      <c r="R488" s="48">
        <v>44197</v>
      </c>
      <c r="S488" s="60">
        <v>1645</v>
      </c>
      <c r="T488" t="s">
        <v>91</v>
      </c>
    </row>
    <row r="489" spans="15:20" x14ac:dyDescent="0.75">
      <c r="O489" t="s">
        <v>107</v>
      </c>
      <c r="P489" t="s">
        <v>118</v>
      </c>
      <c r="Q489" t="s">
        <v>118</v>
      </c>
      <c r="R489" s="48">
        <v>44228</v>
      </c>
      <c r="S489" s="60">
        <v>2290</v>
      </c>
      <c r="T489" t="s">
        <v>91</v>
      </c>
    </row>
    <row r="490" spans="15:20" x14ac:dyDescent="0.75">
      <c r="O490" t="s">
        <v>107</v>
      </c>
      <c r="P490" t="s">
        <v>118</v>
      </c>
      <c r="Q490" t="s">
        <v>118</v>
      </c>
      <c r="R490" s="48">
        <v>44256</v>
      </c>
      <c r="S490" s="60">
        <v>2376</v>
      </c>
      <c r="T490" t="s">
        <v>91</v>
      </c>
    </row>
    <row r="491" spans="15:20" x14ac:dyDescent="0.75">
      <c r="O491" t="s">
        <v>107</v>
      </c>
      <c r="P491" t="s">
        <v>118</v>
      </c>
      <c r="Q491" t="s">
        <v>118</v>
      </c>
      <c r="R491" s="48">
        <v>44287</v>
      </c>
      <c r="S491" s="62">
        <v>2568</v>
      </c>
      <c r="T491" t="s">
        <v>91</v>
      </c>
    </row>
    <row r="492" spans="15:20" x14ac:dyDescent="0.75">
      <c r="O492" t="s">
        <v>107</v>
      </c>
      <c r="P492" t="s">
        <v>118</v>
      </c>
      <c r="Q492" t="s">
        <v>118</v>
      </c>
      <c r="R492" s="48">
        <v>44317</v>
      </c>
      <c r="S492" s="62">
        <v>2291</v>
      </c>
      <c r="T492" t="s">
        <v>91</v>
      </c>
    </row>
    <row r="493" spans="15:20" x14ac:dyDescent="0.75">
      <c r="O493" t="s">
        <v>107</v>
      </c>
      <c r="P493" t="s">
        <v>118</v>
      </c>
      <c r="Q493" t="s">
        <v>118</v>
      </c>
      <c r="R493" s="48">
        <v>44348</v>
      </c>
      <c r="S493" s="62">
        <v>1678</v>
      </c>
      <c r="T493" t="s">
        <v>91</v>
      </c>
    </row>
    <row r="494" spans="15:20" x14ac:dyDescent="0.75">
      <c r="O494" t="s">
        <v>107</v>
      </c>
      <c r="P494" t="s">
        <v>118</v>
      </c>
      <c r="Q494" t="s">
        <v>118</v>
      </c>
      <c r="R494" s="48">
        <v>44378</v>
      </c>
      <c r="S494" s="60">
        <v>2754</v>
      </c>
      <c r="T494" t="s">
        <v>91</v>
      </c>
    </row>
    <row r="495" spans="15:20" x14ac:dyDescent="0.75">
      <c r="O495" t="s">
        <v>107</v>
      </c>
      <c r="P495" t="s">
        <v>118</v>
      </c>
      <c r="Q495" t="s">
        <v>118</v>
      </c>
      <c r="R495" s="48">
        <v>44409</v>
      </c>
      <c r="S495" s="60">
        <v>1688</v>
      </c>
      <c r="T495" t="s">
        <v>91</v>
      </c>
    </row>
    <row r="496" spans="15:20" x14ac:dyDescent="0.75">
      <c r="O496" t="s">
        <v>107</v>
      </c>
      <c r="P496" t="s">
        <v>118</v>
      </c>
      <c r="Q496" t="s">
        <v>118</v>
      </c>
      <c r="R496" s="48">
        <v>44440</v>
      </c>
      <c r="S496" s="60">
        <v>1968</v>
      </c>
      <c r="T496" t="s">
        <v>91</v>
      </c>
    </row>
    <row r="497" spans="15:20" x14ac:dyDescent="0.75">
      <c r="O497" t="s">
        <v>107</v>
      </c>
      <c r="P497" t="s">
        <v>118</v>
      </c>
      <c r="Q497" t="s">
        <v>118</v>
      </c>
      <c r="R497" s="48">
        <v>44470</v>
      </c>
      <c r="S497" s="60">
        <v>2530</v>
      </c>
      <c r="T497" t="s">
        <v>91</v>
      </c>
    </row>
    <row r="498" spans="15:20" x14ac:dyDescent="0.75">
      <c r="O498" t="s">
        <v>107</v>
      </c>
      <c r="P498" t="s">
        <v>118</v>
      </c>
      <c r="Q498" t="s">
        <v>118</v>
      </c>
      <c r="R498" s="48">
        <v>44501</v>
      </c>
      <c r="S498" s="60">
        <v>1971</v>
      </c>
      <c r="T498" t="s">
        <v>91</v>
      </c>
    </row>
    <row r="499" spans="15:20" x14ac:dyDescent="0.75">
      <c r="O499" t="s">
        <v>107</v>
      </c>
      <c r="P499" t="s">
        <v>118</v>
      </c>
      <c r="Q499" t="s">
        <v>118</v>
      </c>
      <c r="R499" s="48">
        <v>44531</v>
      </c>
      <c r="S499" s="60">
        <v>3025</v>
      </c>
      <c r="T499" t="s">
        <v>91</v>
      </c>
    </row>
    <row r="500" spans="15:20" x14ac:dyDescent="0.75">
      <c r="O500" t="s">
        <v>107</v>
      </c>
      <c r="P500" t="s">
        <v>118</v>
      </c>
      <c r="Q500" t="s">
        <v>118</v>
      </c>
      <c r="R500" s="48">
        <v>44562</v>
      </c>
      <c r="S500" s="60">
        <v>1697</v>
      </c>
      <c r="T500" t="s">
        <v>91</v>
      </c>
    </row>
    <row r="501" spans="15:20" x14ac:dyDescent="0.75">
      <c r="O501" t="s">
        <v>107</v>
      </c>
      <c r="P501" t="s">
        <v>118</v>
      </c>
      <c r="Q501" t="s">
        <v>118</v>
      </c>
      <c r="R501" s="48">
        <v>44593</v>
      </c>
      <c r="S501" s="60">
        <v>674</v>
      </c>
      <c r="T501" t="s">
        <v>91</v>
      </c>
    </row>
    <row r="502" spans="15:20" x14ac:dyDescent="0.75">
      <c r="O502" t="s">
        <v>107</v>
      </c>
      <c r="P502" t="s">
        <v>118</v>
      </c>
      <c r="Q502" t="s">
        <v>118</v>
      </c>
      <c r="R502" s="48">
        <v>44621</v>
      </c>
      <c r="S502" s="60">
        <v>1378</v>
      </c>
      <c r="T502" t="s">
        <v>91</v>
      </c>
    </row>
    <row r="503" spans="15:20" x14ac:dyDescent="0.75">
      <c r="O503" t="s">
        <v>107</v>
      </c>
      <c r="P503" t="s">
        <v>118</v>
      </c>
      <c r="Q503" t="s">
        <v>118</v>
      </c>
      <c r="R503" s="48">
        <v>44652</v>
      </c>
      <c r="S503" s="60">
        <v>2278</v>
      </c>
      <c r="T503" t="s">
        <v>91</v>
      </c>
    </row>
    <row r="504" spans="15:20" x14ac:dyDescent="0.75">
      <c r="O504" t="s">
        <v>107</v>
      </c>
      <c r="P504" t="s">
        <v>118</v>
      </c>
      <c r="Q504" t="s">
        <v>118</v>
      </c>
      <c r="R504" s="48">
        <v>44682</v>
      </c>
      <c r="S504" s="60">
        <v>1353</v>
      </c>
      <c r="T504" t="s">
        <v>91</v>
      </c>
    </row>
    <row r="505" spans="15:20" x14ac:dyDescent="0.75">
      <c r="O505" t="s">
        <v>107</v>
      </c>
      <c r="P505" t="s">
        <v>118</v>
      </c>
      <c r="Q505" t="s">
        <v>118</v>
      </c>
      <c r="R505" s="48">
        <v>44713</v>
      </c>
      <c r="S505" s="60">
        <v>1660</v>
      </c>
      <c r="T505" t="s">
        <v>91</v>
      </c>
    </row>
    <row r="506" spans="15:20" x14ac:dyDescent="0.75">
      <c r="O506" t="s">
        <v>107</v>
      </c>
      <c r="P506" t="s">
        <v>118</v>
      </c>
      <c r="Q506" t="s">
        <v>118</v>
      </c>
      <c r="R506" s="48">
        <v>44743</v>
      </c>
      <c r="S506" s="60">
        <v>1821</v>
      </c>
      <c r="T506" t="s">
        <v>91</v>
      </c>
    </row>
    <row r="507" spans="15:20" x14ac:dyDescent="0.75">
      <c r="O507" t="s">
        <v>107</v>
      </c>
      <c r="P507" t="s">
        <v>118</v>
      </c>
      <c r="Q507" t="s">
        <v>118</v>
      </c>
      <c r="R507" s="48">
        <v>44774</v>
      </c>
      <c r="S507" s="60">
        <v>1750</v>
      </c>
      <c r="T507" t="s">
        <v>91</v>
      </c>
    </row>
    <row r="508" spans="15:20" x14ac:dyDescent="0.75">
      <c r="O508" t="s">
        <v>107</v>
      </c>
      <c r="P508" t="s">
        <v>118</v>
      </c>
      <c r="Q508" t="s">
        <v>118</v>
      </c>
      <c r="R508" s="48">
        <v>44805</v>
      </c>
      <c r="S508" s="49">
        <v>1770</v>
      </c>
      <c r="T508" t="s">
        <v>91</v>
      </c>
    </row>
    <row r="509" spans="15:20" x14ac:dyDescent="0.75">
      <c r="O509" t="s">
        <v>107</v>
      </c>
      <c r="P509" t="s">
        <v>118</v>
      </c>
      <c r="Q509" t="s">
        <v>118</v>
      </c>
      <c r="R509" s="48">
        <v>44835</v>
      </c>
      <c r="S509" s="49">
        <v>1848</v>
      </c>
      <c r="T509" t="s">
        <v>91</v>
      </c>
    </row>
    <row r="510" spans="15:20" x14ac:dyDescent="0.75">
      <c r="O510" t="s">
        <v>107</v>
      </c>
      <c r="P510" t="s">
        <v>118</v>
      </c>
      <c r="Q510" t="s">
        <v>118</v>
      </c>
      <c r="R510" s="48">
        <v>44866</v>
      </c>
      <c r="S510" s="49">
        <v>1975</v>
      </c>
      <c r="T510" t="s">
        <v>91</v>
      </c>
    </row>
    <row r="511" spans="15:20" x14ac:dyDescent="0.75">
      <c r="O511" t="s">
        <v>107</v>
      </c>
      <c r="P511" t="s">
        <v>118</v>
      </c>
      <c r="Q511" t="s">
        <v>118</v>
      </c>
      <c r="R511" s="48">
        <v>44896</v>
      </c>
      <c r="S511" s="49">
        <v>2434</v>
      </c>
      <c r="T511" t="s">
        <v>91</v>
      </c>
    </row>
    <row r="512" spans="15:20" x14ac:dyDescent="0.75">
      <c r="O512" t="s">
        <v>107</v>
      </c>
      <c r="P512" t="s">
        <v>118</v>
      </c>
      <c r="Q512" t="s">
        <v>118</v>
      </c>
      <c r="R512" s="48">
        <v>44927</v>
      </c>
      <c r="S512" s="49">
        <v>1537</v>
      </c>
      <c r="T512" t="s">
        <v>91</v>
      </c>
    </row>
    <row r="513" spans="15:20" x14ac:dyDescent="0.75">
      <c r="O513" t="s">
        <v>107</v>
      </c>
      <c r="P513" t="s">
        <v>118</v>
      </c>
      <c r="Q513" t="s">
        <v>118</v>
      </c>
      <c r="R513" s="48">
        <v>44958</v>
      </c>
      <c r="S513" s="49">
        <v>1235</v>
      </c>
      <c r="T513" t="s">
        <v>91</v>
      </c>
    </row>
    <row r="514" spans="15:20" x14ac:dyDescent="0.75">
      <c r="O514" t="s">
        <v>107</v>
      </c>
      <c r="P514" t="s">
        <v>118</v>
      </c>
      <c r="Q514" t="s">
        <v>118</v>
      </c>
      <c r="R514" s="48">
        <v>44986</v>
      </c>
      <c r="S514" s="51">
        <v>1423</v>
      </c>
      <c r="T514" t="s">
        <v>91</v>
      </c>
    </row>
    <row r="515" spans="15:20" x14ac:dyDescent="0.75">
      <c r="O515" t="s">
        <v>107</v>
      </c>
      <c r="P515" t="s">
        <v>118</v>
      </c>
      <c r="Q515" t="s">
        <v>118</v>
      </c>
      <c r="R515" s="48">
        <v>45017</v>
      </c>
      <c r="S515" s="63">
        <v>2333</v>
      </c>
      <c r="T515" t="s">
        <v>91</v>
      </c>
    </row>
    <row r="516" spans="15:20" x14ac:dyDescent="0.75">
      <c r="O516" t="s">
        <v>107</v>
      </c>
      <c r="P516" t="s">
        <v>118</v>
      </c>
      <c r="Q516" t="s">
        <v>118</v>
      </c>
      <c r="R516" s="48">
        <v>45047</v>
      </c>
      <c r="S516" s="63">
        <v>1191</v>
      </c>
      <c r="T516" t="s">
        <v>91</v>
      </c>
    </row>
    <row r="517" spans="15:20" x14ac:dyDescent="0.75">
      <c r="O517" t="s">
        <v>107</v>
      </c>
      <c r="P517" t="s">
        <v>118</v>
      </c>
      <c r="Q517" t="s">
        <v>118</v>
      </c>
      <c r="R517" s="48">
        <v>45078</v>
      </c>
      <c r="S517" s="64">
        <v>2168</v>
      </c>
      <c r="T517" t="s">
        <v>91</v>
      </c>
    </row>
    <row r="518" spans="15:20" x14ac:dyDescent="0.75">
      <c r="O518" t="s">
        <v>107</v>
      </c>
      <c r="P518" t="s">
        <v>118</v>
      </c>
      <c r="Q518" t="s">
        <v>118</v>
      </c>
      <c r="R518" s="48">
        <v>45108</v>
      </c>
      <c r="S518" s="63">
        <v>2005</v>
      </c>
      <c r="T518" t="s">
        <v>91</v>
      </c>
    </row>
    <row r="519" spans="15:20" x14ac:dyDescent="0.75">
      <c r="O519" t="s">
        <v>107</v>
      </c>
      <c r="P519" t="s">
        <v>118</v>
      </c>
      <c r="Q519" t="s">
        <v>118</v>
      </c>
      <c r="R519" s="48">
        <v>45139</v>
      </c>
      <c r="S519" s="51">
        <v>1730</v>
      </c>
      <c r="T519" t="s">
        <v>91</v>
      </c>
    </row>
    <row r="520" spans="15:20" x14ac:dyDescent="0.75">
      <c r="O520" t="s">
        <v>107</v>
      </c>
      <c r="P520" t="s">
        <v>118</v>
      </c>
      <c r="Q520" t="s">
        <v>118</v>
      </c>
      <c r="R520" s="48">
        <v>45170</v>
      </c>
      <c r="S520" s="63">
        <v>1734</v>
      </c>
      <c r="T520" t="s">
        <v>91</v>
      </c>
    </row>
    <row r="521" spans="15:20" x14ac:dyDescent="0.75">
      <c r="O521" t="s">
        <v>107</v>
      </c>
      <c r="P521" t="s">
        <v>118</v>
      </c>
      <c r="Q521" t="s">
        <v>118</v>
      </c>
      <c r="R521" s="48">
        <v>45200</v>
      </c>
      <c r="S521" s="63">
        <v>2372</v>
      </c>
      <c r="T521" t="s">
        <v>91</v>
      </c>
    </row>
    <row r="522" spans="15:20" x14ac:dyDescent="0.75">
      <c r="O522" t="s">
        <v>107</v>
      </c>
      <c r="P522" t="s">
        <v>118</v>
      </c>
      <c r="Q522" t="s">
        <v>118</v>
      </c>
      <c r="R522" s="48">
        <v>45231</v>
      </c>
      <c r="S522" s="63">
        <v>2504</v>
      </c>
      <c r="T522" t="s">
        <v>91</v>
      </c>
    </row>
    <row r="523" spans="15:20" x14ac:dyDescent="0.75">
      <c r="O523" t="s">
        <v>107</v>
      </c>
      <c r="P523" t="s">
        <v>118</v>
      </c>
      <c r="Q523" t="s">
        <v>118</v>
      </c>
      <c r="R523" s="48">
        <v>45261</v>
      </c>
      <c r="S523" s="63">
        <v>2489</v>
      </c>
      <c r="T523" t="s">
        <v>91</v>
      </c>
    </row>
    <row r="524" spans="15:20" x14ac:dyDescent="0.75">
      <c r="O524" t="s">
        <v>107</v>
      </c>
      <c r="P524" t="s">
        <v>118</v>
      </c>
      <c r="Q524" t="s">
        <v>118</v>
      </c>
      <c r="R524" s="48">
        <v>45292</v>
      </c>
      <c r="S524" s="51">
        <v>1954</v>
      </c>
      <c r="T524" t="s">
        <v>91</v>
      </c>
    </row>
    <row r="525" spans="15:20" x14ac:dyDescent="0.75">
      <c r="O525" t="s">
        <v>107</v>
      </c>
      <c r="P525" t="s">
        <v>118</v>
      </c>
      <c r="Q525" t="s">
        <v>118</v>
      </c>
      <c r="R525" s="48">
        <v>45323</v>
      </c>
      <c r="S525" s="51">
        <v>2365</v>
      </c>
      <c r="T525" t="s">
        <v>91</v>
      </c>
    </row>
    <row r="526" spans="15:20" x14ac:dyDescent="0.75">
      <c r="O526" t="s">
        <v>107</v>
      </c>
      <c r="P526" t="s">
        <v>118</v>
      </c>
      <c r="Q526" t="s">
        <v>118</v>
      </c>
      <c r="R526" s="48">
        <v>45352</v>
      </c>
      <c r="S526" s="51">
        <v>2143</v>
      </c>
      <c r="T526" t="s">
        <v>91</v>
      </c>
    </row>
    <row r="527" spans="15:20" x14ac:dyDescent="0.75">
      <c r="O527" t="s">
        <v>107</v>
      </c>
      <c r="P527" t="s">
        <v>118</v>
      </c>
      <c r="Q527" t="s">
        <v>118</v>
      </c>
      <c r="R527" s="48">
        <v>45383</v>
      </c>
      <c r="S527" s="51">
        <v>2330</v>
      </c>
      <c r="T527" t="s">
        <v>91</v>
      </c>
    </row>
    <row r="528" spans="15:20" x14ac:dyDescent="0.75">
      <c r="O528" t="s">
        <v>107</v>
      </c>
      <c r="P528" t="s">
        <v>118</v>
      </c>
      <c r="Q528" t="s">
        <v>118</v>
      </c>
      <c r="R528" s="48">
        <v>45413</v>
      </c>
      <c r="S528" s="51">
        <v>2054</v>
      </c>
      <c r="T528" t="s">
        <v>91</v>
      </c>
    </row>
    <row r="529" spans="15:20" x14ac:dyDescent="0.75">
      <c r="O529" t="s">
        <v>107</v>
      </c>
      <c r="P529" t="s">
        <v>118</v>
      </c>
      <c r="Q529" t="s">
        <v>118</v>
      </c>
      <c r="R529" s="48">
        <v>45444</v>
      </c>
      <c r="S529" s="51">
        <v>1640</v>
      </c>
      <c r="T529" t="s">
        <v>91</v>
      </c>
    </row>
    <row r="530" spans="15:20" x14ac:dyDescent="0.75">
      <c r="O530" t="s">
        <v>107</v>
      </c>
      <c r="P530" t="s">
        <v>118</v>
      </c>
      <c r="Q530" t="s">
        <v>118</v>
      </c>
      <c r="R530" s="48">
        <v>45474</v>
      </c>
      <c r="S530" s="51">
        <v>2602</v>
      </c>
      <c r="T530" t="s">
        <v>91</v>
      </c>
    </row>
    <row r="531" spans="15:20" x14ac:dyDescent="0.75">
      <c r="O531" t="s">
        <v>107</v>
      </c>
      <c r="P531" t="s">
        <v>118</v>
      </c>
      <c r="Q531" t="s">
        <v>118</v>
      </c>
      <c r="R531" s="48">
        <v>45505</v>
      </c>
      <c r="S531" s="51">
        <v>2354</v>
      </c>
      <c r="T531" t="s">
        <v>91</v>
      </c>
    </row>
    <row r="532" spans="15:20" x14ac:dyDescent="0.75">
      <c r="O532" t="s">
        <v>107</v>
      </c>
      <c r="P532" t="s">
        <v>118</v>
      </c>
      <c r="Q532" t="s">
        <v>118</v>
      </c>
      <c r="R532" s="48">
        <v>45536</v>
      </c>
      <c r="S532" s="51">
        <v>2069</v>
      </c>
      <c r="T532" t="s">
        <v>91</v>
      </c>
    </row>
    <row r="533" spans="15:20" x14ac:dyDescent="0.75">
      <c r="O533" t="s">
        <v>107</v>
      </c>
      <c r="P533" t="s">
        <v>118</v>
      </c>
      <c r="Q533" t="s">
        <v>118</v>
      </c>
      <c r="R533" s="48">
        <v>45566</v>
      </c>
      <c r="S533" s="51">
        <v>1150</v>
      </c>
      <c r="T533" t="s">
        <v>91</v>
      </c>
    </row>
    <row r="534" spans="15:20" x14ac:dyDescent="0.75">
      <c r="O534" t="s">
        <v>107</v>
      </c>
      <c r="P534" t="s">
        <v>118</v>
      </c>
      <c r="Q534" t="s">
        <v>118</v>
      </c>
      <c r="R534" s="48">
        <v>45597</v>
      </c>
      <c r="S534" s="51">
        <v>1483</v>
      </c>
      <c r="T534" t="s">
        <v>91</v>
      </c>
    </row>
    <row r="535" spans="15:20" x14ac:dyDescent="0.75">
      <c r="O535" t="s">
        <v>107</v>
      </c>
      <c r="P535" t="s">
        <v>118</v>
      </c>
      <c r="Q535" t="s">
        <v>118</v>
      </c>
      <c r="R535" s="48">
        <v>45627</v>
      </c>
      <c r="S535" s="51">
        <v>1409</v>
      </c>
      <c r="T535" t="s">
        <v>91</v>
      </c>
    </row>
    <row r="536" spans="15:20" x14ac:dyDescent="0.75">
      <c r="O536" t="s">
        <v>107</v>
      </c>
      <c r="P536" t="s">
        <v>118</v>
      </c>
      <c r="Q536" t="s">
        <v>118</v>
      </c>
      <c r="R536" s="48">
        <v>45658</v>
      </c>
      <c r="S536" s="51">
        <v>1658</v>
      </c>
      <c r="T536" t="s">
        <v>91</v>
      </c>
    </row>
    <row r="537" spans="15:20" x14ac:dyDescent="0.75">
      <c r="O537" t="s">
        <v>107</v>
      </c>
      <c r="P537" t="s">
        <v>118</v>
      </c>
      <c r="Q537" t="s">
        <v>118</v>
      </c>
      <c r="R537" s="48">
        <v>45689</v>
      </c>
      <c r="S537" s="51">
        <v>1148</v>
      </c>
      <c r="T537" t="s">
        <v>91</v>
      </c>
    </row>
    <row r="538" spans="15:20" x14ac:dyDescent="0.75">
      <c r="O538" t="s">
        <v>107</v>
      </c>
      <c r="P538" t="s">
        <v>118</v>
      </c>
      <c r="Q538" t="s">
        <v>118</v>
      </c>
      <c r="R538" s="48">
        <v>45717</v>
      </c>
      <c r="S538" s="51">
        <v>1482</v>
      </c>
      <c r="T538" t="s">
        <v>91</v>
      </c>
    </row>
    <row r="539" spans="15:20" x14ac:dyDescent="0.75">
      <c r="O539" t="s">
        <v>107</v>
      </c>
      <c r="P539" t="s">
        <v>118</v>
      </c>
      <c r="Q539" t="s">
        <v>118</v>
      </c>
      <c r="R539" s="48">
        <v>45748</v>
      </c>
      <c r="S539" s="51">
        <v>1408</v>
      </c>
      <c r="T539" t="s">
        <v>91</v>
      </c>
    </row>
    <row r="540" spans="15:20" x14ac:dyDescent="0.75">
      <c r="O540" t="s">
        <v>107</v>
      </c>
      <c r="P540" t="s">
        <v>118</v>
      </c>
      <c r="Q540" t="s">
        <v>118</v>
      </c>
      <c r="R540" s="48">
        <v>45778</v>
      </c>
      <c r="S540" s="51">
        <v>1716</v>
      </c>
      <c r="T540" t="s">
        <v>91</v>
      </c>
    </row>
    <row r="541" spans="15:20" x14ac:dyDescent="0.75">
      <c r="O541" t="s">
        <v>108</v>
      </c>
      <c r="P541" t="s">
        <v>119</v>
      </c>
      <c r="Q541" t="s">
        <v>120</v>
      </c>
      <c r="R541" s="48">
        <v>43466</v>
      </c>
      <c r="S541" s="49">
        <v>1868</v>
      </c>
      <c r="T541" t="s">
        <v>91</v>
      </c>
    </row>
    <row r="542" spans="15:20" x14ac:dyDescent="0.75">
      <c r="O542" t="s">
        <v>108</v>
      </c>
      <c r="P542" t="s">
        <v>119</v>
      </c>
      <c r="Q542" t="s">
        <v>120</v>
      </c>
      <c r="R542" s="48">
        <v>43497</v>
      </c>
      <c r="S542" s="49">
        <v>2115</v>
      </c>
      <c r="T542" t="s">
        <v>91</v>
      </c>
    </row>
    <row r="543" spans="15:20" x14ac:dyDescent="0.75">
      <c r="O543" t="s">
        <v>108</v>
      </c>
      <c r="P543" t="s">
        <v>119</v>
      </c>
      <c r="Q543" t="s">
        <v>120</v>
      </c>
      <c r="R543" s="48">
        <v>43525</v>
      </c>
      <c r="S543" s="49">
        <v>2002</v>
      </c>
      <c r="T543" t="s">
        <v>91</v>
      </c>
    </row>
    <row r="544" spans="15:20" x14ac:dyDescent="0.75">
      <c r="O544" t="s">
        <v>108</v>
      </c>
      <c r="P544" t="s">
        <v>119</v>
      </c>
      <c r="Q544" t="s">
        <v>120</v>
      </c>
      <c r="R544" s="48">
        <v>43556</v>
      </c>
      <c r="S544" s="49">
        <v>2710</v>
      </c>
      <c r="T544" t="s">
        <v>91</v>
      </c>
    </row>
    <row r="545" spans="15:20" x14ac:dyDescent="0.75">
      <c r="O545" t="s">
        <v>108</v>
      </c>
      <c r="P545" t="s">
        <v>119</v>
      </c>
      <c r="Q545" t="s">
        <v>120</v>
      </c>
      <c r="R545" s="48">
        <v>43586</v>
      </c>
      <c r="S545" s="49">
        <v>2064</v>
      </c>
      <c r="T545" t="s">
        <v>91</v>
      </c>
    </row>
    <row r="546" spans="15:20" x14ac:dyDescent="0.75">
      <c r="O546" t="s">
        <v>108</v>
      </c>
      <c r="P546" t="s">
        <v>119</v>
      </c>
      <c r="Q546" t="s">
        <v>120</v>
      </c>
      <c r="R546" s="48">
        <v>43617</v>
      </c>
      <c r="S546" s="49">
        <v>1508</v>
      </c>
      <c r="T546" t="s">
        <v>91</v>
      </c>
    </row>
    <row r="547" spans="15:20" x14ac:dyDescent="0.75">
      <c r="O547" t="s">
        <v>108</v>
      </c>
      <c r="P547" t="s">
        <v>119</v>
      </c>
      <c r="Q547" t="s">
        <v>120</v>
      </c>
      <c r="R547" s="48">
        <v>43647</v>
      </c>
      <c r="S547" s="49">
        <v>2649</v>
      </c>
      <c r="T547" t="s">
        <v>91</v>
      </c>
    </row>
    <row r="548" spans="15:20" x14ac:dyDescent="0.75">
      <c r="O548" t="s">
        <v>108</v>
      </c>
      <c r="P548" t="s">
        <v>119</v>
      </c>
      <c r="Q548" t="s">
        <v>120</v>
      </c>
      <c r="R548" s="48">
        <v>43678</v>
      </c>
      <c r="S548" s="49">
        <v>1073</v>
      </c>
      <c r="T548" t="s">
        <v>91</v>
      </c>
    </row>
    <row r="549" spans="15:20" x14ac:dyDescent="0.75">
      <c r="O549" t="s">
        <v>108</v>
      </c>
      <c r="P549" t="s">
        <v>119</v>
      </c>
      <c r="Q549" t="s">
        <v>120</v>
      </c>
      <c r="R549" s="48">
        <v>43709</v>
      </c>
      <c r="S549" s="49">
        <v>2447</v>
      </c>
      <c r="T549" t="s">
        <v>91</v>
      </c>
    </row>
    <row r="550" spans="15:20" x14ac:dyDescent="0.75">
      <c r="O550" t="s">
        <v>108</v>
      </c>
      <c r="P550" t="s">
        <v>119</v>
      </c>
      <c r="Q550" t="s">
        <v>120</v>
      </c>
      <c r="R550" s="48">
        <v>43739</v>
      </c>
      <c r="S550" s="49">
        <v>1850</v>
      </c>
      <c r="T550" t="s">
        <v>91</v>
      </c>
    </row>
    <row r="551" spans="15:20" x14ac:dyDescent="0.75">
      <c r="O551" t="s">
        <v>108</v>
      </c>
      <c r="P551" t="s">
        <v>119</v>
      </c>
      <c r="Q551" t="s">
        <v>120</v>
      </c>
      <c r="R551" s="48">
        <v>43770</v>
      </c>
      <c r="S551" s="49">
        <v>1339</v>
      </c>
      <c r="T551" t="s">
        <v>91</v>
      </c>
    </row>
    <row r="552" spans="15:20" x14ac:dyDescent="0.75">
      <c r="O552" t="s">
        <v>108</v>
      </c>
      <c r="P552" t="s">
        <v>119</v>
      </c>
      <c r="Q552" t="s">
        <v>120</v>
      </c>
      <c r="R552" s="48">
        <v>43800</v>
      </c>
      <c r="S552" s="49">
        <v>1052</v>
      </c>
      <c r="T552" t="s">
        <v>91</v>
      </c>
    </row>
    <row r="553" spans="15:20" x14ac:dyDescent="0.75">
      <c r="O553" t="s">
        <v>108</v>
      </c>
      <c r="P553" t="s">
        <v>119</v>
      </c>
      <c r="Q553" t="s">
        <v>120</v>
      </c>
      <c r="R553" s="48">
        <v>43831</v>
      </c>
      <c r="S553" s="49">
        <v>2366</v>
      </c>
      <c r="T553" t="s">
        <v>91</v>
      </c>
    </row>
    <row r="554" spans="15:20" x14ac:dyDescent="0.75">
      <c r="O554" t="s">
        <v>108</v>
      </c>
      <c r="P554" t="s">
        <v>119</v>
      </c>
      <c r="Q554" t="s">
        <v>120</v>
      </c>
      <c r="R554" s="48">
        <v>43862</v>
      </c>
      <c r="S554" s="49">
        <v>1505</v>
      </c>
      <c r="T554" t="s">
        <v>91</v>
      </c>
    </row>
    <row r="555" spans="15:20" x14ac:dyDescent="0.75">
      <c r="O555" t="s">
        <v>108</v>
      </c>
      <c r="P555" t="s">
        <v>119</v>
      </c>
      <c r="Q555" t="s">
        <v>120</v>
      </c>
      <c r="R555" s="48">
        <v>43891</v>
      </c>
      <c r="S555" s="49">
        <v>3078</v>
      </c>
      <c r="T555" t="s">
        <v>91</v>
      </c>
    </row>
    <row r="556" spans="15:20" x14ac:dyDescent="0.75">
      <c r="O556" t="s">
        <v>108</v>
      </c>
      <c r="P556" t="s">
        <v>119</v>
      </c>
      <c r="Q556" t="s">
        <v>120</v>
      </c>
      <c r="R556" s="48">
        <v>43922</v>
      </c>
      <c r="S556" s="49">
        <v>3171</v>
      </c>
      <c r="T556" t="s">
        <v>91</v>
      </c>
    </row>
    <row r="557" spans="15:20" x14ac:dyDescent="0.75">
      <c r="O557" t="s">
        <v>108</v>
      </c>
      <c r="P557" t="s">
        <v>119</v>
      </c>
      <c r="Q557" t="s">
        <v>120</v>
      </c>
      <c r="R557" s="48">
        <v>43952</v>
      </c>
      <c r="S557" s="49">
        <v>2068</v>
      </c>
      <c r="T557" t="s">
        <v>91</v>
      </c>
    </row>
    <row r="558" spans="15:20" x14ac:dyDescent="0.75">
      <c r="O558" t="s">
        <v>108</v>
      </c>
      <c r="P558" t="s">
        <v>119</v>
      </c>
      <c r="Q558" t="s">
        <v>120</v>
      </c>
      <c r="R558" s="48">
        <v>43983</v>
      </c>
      <c r="S558" s="49">
        <v>1735</v>
      </c>
      <c r="T558" t="s">
        <v>91</v>
      </c>
    </row>
    <row r="559" spans="15:20" x14ac:dyDescent="0.75">
      <c r="O559" t="s">
        <v>108</v>
      </c>
      <c r="P559" t="s">
        <v>119</v>
      </c>
      <c r="Q559" t="s">
        <v>120</v>
      </c>
      <c r="R559" s="48">
        <v>44013</v>
      </c>
      <c r="S559" s="49">
        <v>1359</v>
      </c>
      <c r="T559" t="s">
        <v>91</v>
      </c>
    </row>
    <row r="560" spans="15:20" x14ac:dyDescent="0.75">
      <c r="O560" t="s">
        <v>108</v>
      </c>
      <c r="P560" t="s">
        <v>119</v>
      </c>
      <c r="Q560" t="s">
        <v>120</v>
      </c>
      <c r="R560" s="48">
        <v>44044</v>
      </c>
      <c r="S560" s="49">
        <v>950</v>
      </c>
      <c r="T560" t="s">
        <v>91</v>
      </c>
    </row>
    <row r="561" spans="15:20" x14ac:dyDescent="0.75">
      <c r="O561" t="s">
        <v>108</v>
      </c>
      <c r="P561" t="s">
        <v>119</v>
      </c>
      <c r="Q561" t="s">
        <v>120</v>
      </c>
      <c r="R561" s="48">
        <v>44075</v>
      </c>
      <c r="S561" s="49">
        <v>2094</v>
      </c>
      <c r="T561" t="s">
        <v>91</v>
      </c>
    </row>
    <row r="562" spans="15:20" x14ac:dyDescent="0.75">
      <c r="O562" t="s">
        <v>108</v>
      </c>
      <c r="P562" t="s">
        <v>119</v>
      </c>
      <c r="Q562" t="s">
        <v>120</v>
      </c>
      <c r="R562" s="48">
        <v>44105</v>
      </c>
      <c r="S562" s="49">
        <v>1096</v>
      </c>
      <c r="T562" t="s">
        <v>91</v>
      </c>
    </row>
    <row r="563" spans="15:20" x14ac:dyDescent="0.75">
      <c r="O563" t="s">
        <v>108</v>
      </c>
      <c r="P563" t="s">
        <v>119</v>
      </c>
      <c r="Q563" t="s">
        <v>120</v>
      </c>
      <c r="R563" s="48">
        <v>44136</v>
      </c>
      <c r="S563" s="49">
        <v>778</v>
      </c>
      <c r="T563" t="s">
        <v>91</v>
      </c>
    </row>
    <row r="564" spans="15:20" x14ac:dyDescent="0.75">
      <c r="O564" t="s">
        <v>108</v>
      </c>
      <c r="P564" t="s">
        <v>119</v>
      </c>
      <c r="Q564" t="s">
        <v>120</v>
      </c>
      <c r="R564" s="48">
        <v>44166</v>
      </c>
      <c r="S564" s="49">
        <v>1338</v>
      </c>
      <c r="T564" t="s">
        <v>91</v>
      </c>
    </row>
    <row r="565" spans="15:20" x14ac:dyDescent="0.75">
      <c r="O565" t="s">
        <v>108</v>
      </c>
      <c r="P565" t="s">
        <v>119</v>
      </c>
      <c r="Q565" t="s">
        <v>120</v>
      </c>
      <c r="R565" s="48">
        <v>44197</v>
      </c>
      <c r="S565" s="49">
        <v>774</v>
      </c>
      <c r="T565" t="s">
        <v>91</v>
      </c>
    </row>
    <row r="566" spans="15:20" x14ac:dyDescent="0.75">
      <c r="O566" t="s">
        <v>108</v>
      </c>
      <c r="P566" t="s">
        <v>119</v>
      </c>
      <c r="Q566" t="s">
        <v>120</v>
      </c>
      <c r="R566" s="48">
        <v>44228</v>
      </c>
      <c r="S566" s="49">
        <v>2292</v>
      </c>
      <c r="T566" t="s">
        <v>91</v>
      </c>
    </row>
    <row r="567" spans="15:20" x14ac:dyDescent="0.75">
      <c r="O567" t="s">
        <v>108</v>
      </c>
      <c r="P567" t="s">
        <v>119</v>
      </c>
      <c r="Q567" t="s">
        <v>120</v>
      </c>
      <c r="R567" s="48">
        <v>44256</v>
      </c>
      <c r="S567" s="49">
        <v>3510</v>
      </c>
      <c r="T567" t="s">
        <v>91</v>
      </c>
    </row>
    <row r="568" spans="15:20" x14ac:dyDescent="0.75">
      <c r="O568" t="s">
        <v>108</v>
      </c>
      <c r="P568" t="s">
        <v>119</v>
      </c>
      <c r="Q568" t="s">
        <v>120</v>
      </c>
      <c r="R568" s="48">
        <v>44287</v>
      </c>
      <c r="S568" s="65">
        <v>1924</v>
      </c>
      <c r="T568" t="s">
        <v>91</v>
      </c>
    </row>
    <row r="569" spans="15:20" x14ac:dyDescent="0.75">
      <c r="O569" t="s">
        <v>108</v>
      </c>
      <c r="P569" t="s">
        <v>119</v>
      </c>
      <c r="Q569" t="s">
        <v>120</v>
      </c>
      <c r="R569" s="48">
        <v>44317</v>
      </c>
      <c r="S569" s="65">
        <v>2338</v>
      </c>
      <c r="T569" t="s">
        <v>91</v>
      </c>
    </row>
    <row r="570" spans="15:20" x14ac:dyDescent="0.75">
      <c r="O570" t="s">
        <v>108</v>
      </c>
      <c r="P570" t="s">
        <v>119</v>
      </c>
      <c r="Q570" t="s">
        <v>120</v>
      </c>
      <c r="R570" s="48">
        <v>44348</v>
      </c>
      <c r="S570" s="65">
        <v>2387</v>
      </c>
      <c r="T570" t="s">
        <v>91</v>
      </c>
    </row>
    <row r="571" spans="15:20" x14ac:dyDescent="0.75">
      <c r="O571" t="s">
        <v>108</v>
      </c>
      <c r="P571" t="s">
        <v>119</v>
      </c>
      <c r="Q571" t="s">
        <v>120</v>
      </c>
      <c r="R571" s="48">
        <v>44378</v>
      </c>
      <c r="S571" s="49">
        <v>2254</v>
      </c>
      <c r="T571" t="s">
        <v>91</v>
      </c>
    </row>
    <row r="572" spans="15:20" x14ac:dyDescent="0.75">
      <c r="O572" t="s">
        <v>108</v>
      </c>
      <c r="P572" t="s">
        <v>119</v>
      </c>
      <c r="Q572" t="s">
        <v>120</v>
      </c>
      <c r="R572" s="48">
        <v>44409</v>
      </c>
      <c r="S572" s="49">
        <v>1616</v>
      </c>
      <c r="T572" t="s">
        <v>91</v>
      </c>
    </row>
    <row r="573" spans="15:20" x14ac:dyDescent="0.75">
      <c r="O573" t="s">
        <v>108</v>
      </c>
      <c r="P573" t="s">
        <v>119</v>
      </c>
      <c r="Q573" t="s">
        <v>120</v>
      </c>
      <c r="R573" s="48">
        <v>44440</v>
      </c>
      <c r="S573" s="49">
        <v>2395</v>
      </c>
      <c r="T573" t="s">
        <v>91</v>
      </c>
    </row>
    <row r="574" spans="15:20" x14ac:dyDescent="0.75">
      <c r="O574" t="s">
        <v>108</v>
      </c>
      <c r="P574" t="s">
        <v>119</v>
      </c>
      <c r="Q574" t="s">
        <v>120</v>
      </c>
      <c r="R574" s="48">
        <v>44470</v>
      </c>
      <c r="S574" s="49">
        <v>2475</v>
      </c>
      <c r="T574" t="s">
        <v>91</v>
      </c>
    </row>
    <row r="575" spans="15:20" x14ac:dyDescent="0.75">
      <c r="O575" t="s">
        <v>108</v>
      </c>
      <c r="P575" t="s">
        <v>119</v>
      </c>
      <c r="Q575" t="s">
        <v>120</v>
      </c>
      <c r="R575" s="48">
        <v>44501</v>
      </c>
      <c r="S575" s="49">
        <v>4395</v>
      </c>
      <c r="T575" t="s">
        <v>91</v>
      </c>
    </row>
    <row r="576" spans="15:20" x14ac:dyDescent="0.75">
      <c r="O576" t="s">
        <v>108</v>
      </c>
      <c r="P576" t="s">
        <v>119</v>
      </c>
      <c r="Q576" t="s">
        <v>120</v>
      </c>
      <c r="R576" s="48">
        <v>44531</v>
      </c>
      <c r="S576" s="65">
        <v>5005</v>
      </c>
      <c r="T576" t="s">
        <v>91</v>
      </c>
    </row>
    <row r="577" spans="15:20" x14ac:dyDescent="0.75">
      <c r="O577" t="s">
        <v>108</v>
      </c>
      <c r="P577" t="s">
        <v>119</v>
      </c>
      <c r="Q577" t="s">
        <v>120</v>
      </c>
      <c r="R577" s="48">
        <v>44562</v>
      </c>
      <c r="S577" s="65">
        <v>3119</v>
      </c>
      <c r="T577" t="s">
        <v>91</v>
      </c>
    </row>
    <row r="578" spans="15:20" x14ac:dyDescent="0.75">
      <c r="O578" t="s">
        <v>108</v>
      </c>
      <c r="P578" t="s">
        <v>119</v>
      </c>
      <c r="Q578" t="s">
        <v>120</v>
      </c>
      <c r="R578" s="48">
        <v>44593</v>
      </c>
      <c r="S578" s="65">
        <v>5263</v>
      </c>
      <c r="T578" t="s">
        <v>91</v>
      </c>
    </row>
    <row r="579" spans="15:20" x14ac:dyDescent="0.75">
      <c r="O579" t="s">
        <v>108</v>
      </c>
      <c r="P579" t="s">
        <v>119</v>
      </c>
      <c r="Q579" t="s">
        <v>120</v>
      </c>
      <c r="R579" s="48">
        <v>44621</v>
      </c>
      <c r="S579" s="49">
        <v>3192</v>
      </c>
      <c r="T579" t="s">
        <v>91</v>
      </c>
    </row>
    <row r="580" spans="15:20" x14ac:dyDescent="0.75">
      <c r="O580" t="s">
        <v>108</v>
      </c>
      <c r="P580" t="s">
        <v>119</v>
      </c>
      <c r="Q580" t="s">
        <v>120</v>
      </c>
      <c r="R580" s="48">
        <v>44652</v>
      </c>
      <c r="S580" s="49">
        <v>2292</v>
      </c>
      <c r="T580" t="s">
        <v>91</v>
      </c>
    </row>
    <row r="581" spans="15:20" x14ac:dyDescent="0.75">
      <c r="O581" t="s">
        <v>108</v>
      </c>
      <c r="P581" t="s">
        <v>119</v>
      </c>
      <c r="Q581" t="s">
        <v>120</v>
      </c>
      <c r="R581" s="48">
        <v>44682</v>
      </c>
      <c r="S581" s="49">
        <v>4800</v>
      </c>
      <c r="T581" t="s">
        <v>91</v>
      </c>
    </row>
    <row r="582" spans="15:20" x14ac:dyDescent="0.75">
      <c r="O582" t="s">
        <v>108</v>
      </c>
      <c r="P582" t="s">
        <v>119</v>
      </c>
      <c r="Q582" t="s">
        <v>120</v>
      </c>
      <c r="R582" s="48">
        <v>44713</v>
      </c>
      <c r="S582" s="49">
        <v>5146</v>
      </c>
      <c r="T582" t="s">
        <v>91</v>
      </c>
    </row>
    <row r="583" spans="15:20" x14ac:dyDescent="0.75">
      <c r="O583" t="s">
        <v>108</v>
      </c>
      <c r="P583" t="s">
        <v>119</v>
      </c>
      <c r="Q583" t="s">
        <v>120</v>
      </c>
      <c r="R583" s="48">
        <v>44743</v>
      </c>
      <c r="S583" s="49">
        <v>4327.75</v>
      </c>
      <c r="T583" t="s">
        <v>91</v>
      </c>
    </row>
    <row r="584" spans="15:20" x14ac:dyDescent="0.75">
      <c r="O584" t="s">
        <v>108</v>
      </c>
      <c r="P584" t="s">
        <v>119</v>
      </c>
      <c r="Q584" t="s">
        <v>120</v>
      </c>
      <c r="R584" s="48">
        <v>44774</v>
      </c>
      <c r="S584" s="49">
        <v>4097</v>
      </c>
      <c r="T584" t="s">
        <v>91</v>
      </c>
    </row>
    <row r="585" spans="15:20" x14ac:dyDescent="0.75">
      <c r="O585" t="s">
        <v>108</v>
      </c>
      <c r="P585" t="s">
        <v>119</v>
      </c>
      <c r="Q585" t="s">
        <v>120</v>
      </c>
      <c r="R585" s="48">
        <v>44805</v>
      </c>
      <c r="S585" s="49">
        <v>3750</v>
      </c>
      <c r="T585" t="s">
        <v>91</v>
      </c>
    </row>
    <row r="586" spans="15:20" x14ac:dyDescent="0.75">
      <c r="O586" t="s">
        <v>108</v>
      </c>
      <c r="P586" t="s">
        <v>119</v>
      </c>
      <c r="Q586" t="s">
        <v>120</v>
      </c>
      <c r="R586" s="48">
        <v>44835</v>
      </c>
      <c r="S586" s="49">
        <v>3727</v>
      </c>
      <c r="T586" t="s">
        <v>91</v>
      </c>
    </row>
    <row r="587" spans="15:20" x14ac:dyDescent="0.75">
      <c r="O587" t="s">
        <v>108</v>
      </c>
      <c r="P587" t="s">
        <v>119</v>
      </c>
      <c r="Q587" t="s">
        <v>120</v>
      </c>
      <c r="R587" s="48">
        <v>44866</v>
      </c>
      <c r="S587" s="49">
        <v>3760</v>
      </c>
      <c r="T587" t="s">
        <v>91</v>
      </c>
    </row>
    <row r="588" spans="15:20" x14ac:dyDescent="0.75">
      <c r="O588" t="s">
        <v>108</v>
      </c>
      <c r="P588" t="s">
        <v>119</v>
      </c>
      <c r="Q588" t="s">
        <v>120</v>
      </c>
      <c r="R588" s="48">
        <v>44896</v>
      </c>
      <c r="S588" s="49">
        <v>3800</v>
      </c>
      <c r="T588" t="s">
        <v>91</v>
      </c>
    </row>
    <row r="589" spans="15:20" x14ac:dyDescent="0.75">
      <c r="O589" t="s">
        <v>108</v>
      </c>
      <c r="P589" t="s">
        <v>119</v>
      </c>
      <c r="Q589" t="s">
        <v>120</v>
      </c>
      <c r="R589" s="48">
        <v>44927</v>
      </c>
      <c r="S589" s="49">
        <v>3137</v>
      </c>
      <c r="T589" t="s">
        <v>91</v>
      </c>
    </row>
    <row r="590" spans="15:20" x14ac:dyDescent="0.75">
      <c r="O590" t="s">
        <v>108</v>
      </c>
      <c r="P590" t="s">
        <v>119</v>
      </c>
      <c r="Q590" t="s">
        <v>120</v>
      </c>
      <c r="R590" s="48">
        <v>44958</v>
      </c>
      <c r="S590" s="49">
        <v>4630</v>
      </c>
      <c r="T590" t="s">
        <v>91</v>
      </c>
    </row>
    <row r="591" spans="15:20" x14ac:dyDescent="0.75">
      <c r="O591" t="s">
        <v>108</v>
      </c>
      <c r="P591" t="s">
        <v>119</v>
      </c>
      <c r="Q591" t="s">
        <v>120</v>
      </c>
      <c r="R591" s="48">
        <v>44986</v>
      </c>
      <c r="S591" s="51">
        <v>4115</v>
      </c>
      <c r="T591" t="s">
        <v>91</v>
      </c>
    </row>
    <row r="592" spans="15:20" x14ac:dyDescent="0.75">
      <c r="O592" t="s">
        <v>108</v>
      </c>
      <c r="P592" t="s">
        <v>119</v>
      </c>
      <c r="Q592" t="s">
        <v>120</v>
      </c>
      <c r="R592" s="48">
        <v>45017</v>
      </c>
      <c r="S592" s="51">
        <v>4730</v>
      </c>
      <c r="T592" t="s">
        <v>91</v>
      </c>
    </row>
    <row r="593" spans="15:20" x14ac:dyDescent="0.75">
      <c r="O593" t="s">
        <v>108</v>
      </c>
      <c r="P593" t="s">
        <v>119</v>
      </c>
      <c r="Q593" t="s">
        <v>120</v>
      </c>
      <c r="R593" s="48">
        <v>45047</v>
      </c>
      <c r="S593" s="51">
        <v>3260</v>
      </c>
      <c r="T593" t="s">
        <v>91</v>
      </c>
    </row>
    <row r="594" spans="15:20" x14ac:dyDescent="0.75">
      <c r="O594" t="s">
        <v>108</v>
      </c>
      <c r="P594" t="s">
        <v>119</v>
      </c>
      <c r="Q594" t="s">
        <v>120</v>
      </c>
      <c r="R594" s="48">
        <v>45078</v>
      </c>
      <c r="S594" s="51">
        <v>4011</v>
      </c>
      <c r="T594" t="s">
        <v>91</v>
      </c>
    </row>
    <row r="595" spans="15:20" x14ac:dyDescent="0.75">
      <c r="O595" t="s">
        <v>108</v>
      </c>
      <c r="P595" t="s">
        <v>119</v>
      </c>
      <c r="Q595" t="s">
        <v>120</v>
      </c>
      <c r="R595" s="48">
        <v>45108</v>
      </c>
      <c r="S595" s="51">
        <v>3155</v>
      </c>
      <c r="T595" t="s">
        <v>91</v>
      </c>
    </row>
    <row r="596" spans="15:20" x14ac:dyDescent="0.75">
      <c r="O596" t="s">
        <v>108</v>
      </c>
      <c r="P596" t="s">
        <v>119</v>
      </c>
      <c r="Q596" t="s">
        <v>120</v>
      </c>
      <c r="R596" s="48">
        <v>45139</v>
      </c>
      <c r="S596" s="51">
        <v>2435</v>
      </c>
      <c r="T596" t="s">
        <v>91</v>
      </c>
    </row>
    <row r="597" spans="15:20" x14ac:dyDescent="0.75">
      <c r="O597" t="s">
        <v>108</v>
      </c>
      <c r="P597" t="s">
        <v>119</v>
      </c>
      <c r="Q597" t="s">
        <v>120</v>
      </c>
      <c r="R597" s="48">
        <v>45170</v>
      </c>
      <c r="S597" s="51">
        <v>2299</v>
      </c>
      <c r="T597" t="s">
        <v>91</v>
      </c>
    </row>
    <row r="598" spans="15:20" x14ac:dyDescent="0.75">
      <c r="O598" t="s">
        <v>108</v>
      </c>
      <c r="P598" t="s">
        <v>119</v>
      </c>
      <c r="Q598" t="s">
        <v>120</v>
      </c>
      <c r="R598" s="48">
        <v>45200</v>
      </c>
      <c r="S598" s="51">
        <v>3111</v>
      </c>
      <c r="T598" t="s">
        <v>91</v>
      </c>
    </row>
    <row r="599" spans="15:20" ht="15.75" x14ac:dyDescent="0.75">
      <c r="O599" t="s">
        <v>108</v>
      </c>
      <c r="P599" t="s">
        <v>119</v>
      </c>
      <c r="Q599" t="s">
        <v>120</v>
      </c>
      <c r="R599" s="48">
        <v>45231</v>
      </c>
      <c r="S599" s="66">
        <v>1474</v>
      </c>
      <c r="T599" t="s">
        <v>91</v>
      </c>
    </row>
    <row r="600" spans="15:20" ht="15.75" x14ac:dyDescent="0.75">
      <c r="O600" t="s">
        <v>108</v>
      </c>
      <c r="P600" t="s">
        <v>119</v>
      </c>
      <c r="Q600" t="s">
        <v>120</v>
      </c>
      <c r="R600" s="48">
        <v>45261</v>
      </c>
      <c r="S600" s="67">
        <v>4828</v>
      </c>
      <c r="T600" t="s">
        <v>91</v>
      </c>
    </row>
    <row r="601" spans="15:20" x14ac:dyDescent="0.75">
      <c r="O601" t="s">
        <v>108</v>
      </c>
      <c r="P601" t="s">
        <v>119</v>
      </c>
      <c r="Q601" t="s">
        <v>120</v>
      </c>
      <c r="R601" s="48">
        <v>45292</v>
      </c>
      <c r="S601" s="51">
        <v>2589</v>
      </c>
      <c r="T601" t="s">
        <v>91</v>
      </c>
    </row>
    <row r="602" spans="15:20" x14ac:dyDescent="0.75">
      <c r="O602" t="s">
        <v>108</v>
      </c>
      <c r="P602" t="s">
        <v>119</v>
      </c>
      <c r="Q602" t="s">
        <v>120</v>
      </c>
      <c r="R602" s="48">
        <v>45323</v>
      </c>
      <c r="S602" s="51">
        <v>4091</v>
      </c>
      <c r="T602" t="s">
        <v>91</v>
      </c>
    </row>
    <row r="603" spans="15:20" x14ac:dyDescent="0.75">
      <c r="O603" t="s">
        <v>108</v>
      </c>
      <c r="P603" t="s">
        <v>119</v>
      </c>
      <c r="Q603" t="s">
        <v>120</v>
      </c>
      <c r="R603" s="48">
        <v>45352</v>
      </c>
      <c r="S603" s="51">
        <v>4203</v>
      </c>
      <c r="T603" t="s">
        <v>91</v>
      </c>
    </row>
    <row r="604" spans="15:20" x14ac:dyDescent="0.75">
      <c r="O604" t="s">
        <v>108</v>
      </c>
      <c r="P604" t="s">
        <v>119</v>
      </c>
      <c r="Q604" t="s">
        <v>120</v>
      </c>
      <c r="R604" s="48">
        <v>45383</v>
      </c>
      <c r="S604" s="51">
        <v>5383</v>
      </c>
      <c r="T604" t="s">
        <v>91</v>
      </c>
    </row>
    <row r="605" spans="15:20" x14ac:dyDescent="0.75">
      <c r="O605" t="s">
        <v>108</v>
      </c>
      <c r="P605" t="s">
        <v>119</v>
      </c>
      <c r="Q605" t="s">
        <v>120</v>
      </c>
      <c r="R605" s="48">
        <v>45413</v>
      </c>
      <c r="S605" s="51">
        <v>4506</v>
      </c>
      <c r="T605" t="s">
        <v>91</v>
      </c>
    </row>
    <row r="606" spans="15:20" x14ac:dyDescent="0.75">
      <c r="O606" t="s">
        <v>108</v>
      </c>
      <c r="P606" t="s">
        <v>119</v>
      </c>
      <c r="Q606" t="s">
        <v>120</v>
      </c>
      <c r="R606" s="48">
        <v>45444</v>
      </c>
      <c r="S606" s="59">
        <v>6952</v>
      </c>
      <c r="T606" t="s">
        <v>91</v>
      </c>
    </row>
    <row r="607" spans="15:20" x14ac:dyDescent="0.75">
      <c r="O607" t="s">
        <v>108</v>
      </c>
      <c r="P607" t="s">
        <v>119</v>
      </c>
      <c r="Q607" t="s">
        <v>120</v>
      </c>
      <c r="R607" s="48">
        <v>45474</v>
      </c>
      <c r="S607" s="59">
        <v>4827</v>
      </c>
      <c r="T607" t="s">
        <v>91</v>
      </c>
    </row>
    <row r="608" spans="15:20" x14ac:dyDescent="0.75">
      <c r="O608" t="s">
        <v>108</v>
      </c>
      <c r="P608" t="s">
        <v>119</v>
      </c>
      <c r="Q608" t="s">
        <v>120</v>
      </c>
      <c r="R608" s="48">
        <v>45505</v>
      </c>
      <c r="S608" s="51">
        <v>4845</v>
      </c>
      <c r="T608" t="s">
        <v>91</v>
      </c>
    </row>
    <row r="609" spans="15:20" x14ac:dyDescent="0.75">
      <c r="O609" t="s">
        <v>108</v>
      </c>
      <c r="P609" t="s">
        <v>119</v>
      </c>
      <c r="Q609" t="s">
        <v>120</v>
      </c>
      <c r="R609" s="48">
        <v>45536</v>
      </c>
      <c r="S609" s="51">
        <v>2584</v>
      </c>
      <c r="T609" t="s">
        <v>91</v>
      </c>
    </row>
    <row r="610" spans="15:20" x14ac:dyDescent="0.75">
      <c r="O610" t="s">
        <v>108</v>
      </c>
      <c r="P610" t="s">
        <v>119</v>
      </c>
      <c r="Q610" t="s">
        <v>120</v>
      </c>
      <c r="R610" s="48">
        <v>45566</v>
      </c>
      <c r="S610" s="51">
        <v>4061</v>
      </c>
      <c r="T610" t="s">
        <v>91</v>
      </c>
    </row>
    <row r="611" spans="15:20" x14ac:dyDescent="0.75">
      <c r="O611" t="s">
        <v>108</v>
      </c>
      <c r="P611" t="s">
        <v>119</v>
      </c>
      <c r="Q611" t="s">
        <v>120</v>
      </c>
      <c r="R611" s="48">
        <v>45597</v>
      </c>
      <c r="S611" s="51">
        <v>4905</v>
      </c>
      <c r="T611" t="s">
        <v>91</v>
      </c>
    </row>
    <row r="612" spans="15:20" x14ac:dyDescent="0.75">
      <c r="O612" t="s">
        <v>108</v>
      </c>
      <c r="P612" t="s">
        <v>119</v>
      </c>
      <c r="Q612" t="s">
        <v>120</v>
      </c>
      <c r="R612" s="48">
        <v>45627</v>
      </c>
      <c r="S612" s="51">
        <v>6840</v>
      </c>
      <c r="T612" t="s">
        <v>91</v>
      </c>
    </row>
    <row r="613" spans="15:20" x14ac:dyDescent="0.75">
      <c r="O613" t="s">
        <v>108</v>
      </c>
      <c r="P613" t="s">
        <v>119</v>
      </c>
      <c r="Q613" t="s">
        <v>120</v>
      </c>
      <c r="R613" s="48">
        <v>45658</v>
      </c>
      <c r="S613" s="51">
        <v>6166</v>
      </c>
      <c r="T613" t="s">
        <v>91</v>
      </c>
    </row>
    <row r="614" spans="15:20" x14ac:dyDescent="0.75">
      <c r="O614" t="s">
        <v>108</v>
      </c>
      <c r="P614" t="s">
        <v>119</v>
      </c>
      <c r="Q614" t="s">
        <v>120</v>
      </c>
      <c r="R614" s="48">
        <v>45689</v>
      </c>
      <c r="S614" s="51">
        <v>6056</v>
      </c>
      <c r="T614" t="s">
        <v>91</v>
      </c>
    </row>
    <row r="615" spans="15:20" x14ac:dyDescent="0.75">
      <c r="O615" t="s">
        <v>108</v>
      </c>
      <c r="P615" t="s">
        <v>119</v>
      </c>
      <c r="Q615" t="s">
        <v>120</v>
      </c>
      <c r="R615" s="48">
        <v>45717</v>
      </c>
      <c r="S615" s="51">
        <v>4893</v>
      </c>
      <c r="T615" t="s">
        <v>91</v>
      </c>
    </row>
    <row r="616" spans="15:20" x14ac:dyDescent="0.75">
      <c r="O616" t="s">
        <v>108</v>
      </c>
      <c r="P616" t="s">
        <v>119</v>
      </c>
      <c r="Q616" t="s">
        <v>120</v>
      </c>
      <c r="R616" s="48">
        <v>45748</v>
      </c>
      <c r="S616" s="51">
        <v>3006</v>
      </c>
      <c r="T616" t="s">
        <v>91</v>
      </c>
    </row>
    <row r="617" spans="15:20" x14ac:dyDescent="0.75">
      <c r="O617" t="s">
        <v>108</v>
      </c>
      <c r="P617" t="s">
        <v>119</v>
      </c>
      <c r="Q617" t="s">
        <v>120</v>
      </c>
      <c r="R617" s="48">
        <v>45778</v>
      </c>
      <c r="S617" s="51">
        <v>2311</v>
      </c>
      <c r="T617" t="s">
        <v>91</v>
      </c>
    </row>
    <row r="618" spans="15:20" x14ac:dyDescent="0.75">
      <c r="O618" t="s">
        <v>109</v>
      </c>
      <c r="P618" t="s">
        <v>121</v>
      </c>
      <c r="Q618" t="s">
        <v>122</v>
      </c>
      <c r="R618" s="48">
        <v>43466</v>
      </c>
      <c r="S618" s="49">
        <v>2216</v>
      </c>
      <c r="T618" t="s">
        <v>91</v>
      </c>
    </row>
    <row r="619" spans="15:20" x14ac:dyDescent="0.75">
      <c r="O619" t="s">
        <v>109</v>
      </c>
      <c r="P619" t="s">
        <v>121</v>
      </c>
      <c r="Q619" t="s">
        <v>122</v>
      </c>
      <c r="R619" s="48">
        <v>43497</v>
      </c>
      <c r="S619" s="49">
        <v>4465</v>
      </c>
      <c r="T619" t="s">
        <v>91</v>
      </c>
    </row>
    <row r="620" spans="15:20" x14ac:dyDescent="0.75">
      <c r="O620" t="s">
        <v>109</v>
      </c>
      <c r="P620" t="s">
        <v>121</v>
      </c>
      <c r="Q620" t="s">
        <v>122</v>
      </c>
      <c r="R620" s="48">
        <v>43525</v>
      </c>
      <c r="S620" s="49">
        <v>9785</v>
      </c>
      <c r="T620" t="s">
        <v>91</v>
      </c>
    </row>
    <row r="621" spans="15:20" x14ac:dyDescent="0.75">
      <c r="O621" t="s">
        <v>109</v>
      </c>
      <c r="P621" t="s">
        <v>121</v>
      </c>
      <c r="Q621" t="s">
        <v>122</v>
      </c>
      <c r="R621" s="48">
        <v>43556</v>
      </c>
      <c r="S621" s="49">
        <v>7386</v>
      </c>
      <c r="T621" t="s">
        <v>91</v>
      </c>
    </row>
    <row r="622" spans="15:20" x14ac:dyDescent="0.75">
      <c r="O622" t="s">
        <v>109</v>
      </c>
      <c r="P622" t="s">
        <v>121</v>
      </c>
      <c r="Q622" t="s">
        <v>122</v>
      </c>
      <c r="R622" s="48">
        <v>43586</v>
      </c>
      <c r="S622" s="49">
        <v>2773</v>
      </c>
      <c r="T622" t="s">
        <v>91</v>
      </c>
    </row>
    <row r="623" spans="15:20" x14ac:dyDescent="0.75">
      <c r="O623" t="s">
        <v>109</v>
      </c>
      <c r="P623" t="s">
        <v>121</v>
      </c>
      <c r="Q623" t="s">
        <v>122</v>
      </c>
      <c r="R623" s="48">
        <v>43617</v>
      </c>
      <c r="S623" s="49">
        <v>4756</v>
      </c>
      <c r="T623" t="s">
        <v>91</v>
      </c>
    </row>
    <row r="624" spans="15:20" x14ac:dyDescent="0.75">
      <c r="O624" t="s">
        <v>109</v>
      </c>
      <c r="P624" t="s">
        <v>121</v>
      </c>
      <c r="Q624" t="s">
        <v>122</v>
      </c>
      <c r="R624" s="48">
        <v>43647</v>
      </c>
      <c r="S624" s="49">
        <v>5401</v>
      </c>
      <c r="T624" t="s">
        <v>91</v>
      </c>
    </row>
    <row r="625" spans="15:20" x14ac:dyDescent="0.75">
      <c r="O625" t="s">
        <v>109</v>
      </c>
      <c r="P625" t="s">
        <v>121</v>
      </c>
      <c r="Q625" t="s">
        <v>122</v>
      </c>
      <c r="R625" s="48">
        <v>43678</v>
      </c>
      <c r="S625" s="49">
        <v>6095</v>
      </c>
      <c r="T625" t="s">
        <v>91</v>
      </c>
    </row>
    <row r="626" spans="15:20" x14ac:dyDescent="0.75">
      <c r="O626" t="s">
        <v>109</v>
      </c>
      <c r="P626" t="s">
        <v>121</v>
      </c>
      <c r="Q626" t="s">
        <v>122</v>
      </c>
      <c r="R626" s="48">
        <v>43709</v>
      </c>
      <c r="S626" s="49">
        <v>8879</v>
      </c>
      <c r="T626" t="s">
        <v>91</v>
      </c>
    </row>
    <row r="627" spans="15:20" x14ac:dyDescent="0.75">
      <c r="O627" t="s">
        <v>109</v>
      </c>
      <c r="P627" t="s">
        <v>121</v>
      </c>
      <c r="Q627" t="s">
        <v>122</v>
      </c>
      <c r="R627" s="48">
        <v>43739</v>
      </c>
      <c r="S627" s="49">
        <v>7678</v>
      </c>
      <c r="T627" t="s">
        <v>91</v>
      </c>
    </row>
    <row r="628" spans="15:20" x14ac:dyDescent="0.75">
      <c r="O628" t="s">
        <v>109</v>
      </c>
      <c r="P628" t="s">
        <v>121</v>
      </c>
      <c r="Q628" t="s">
        <v>122</v>
      </c>
      <c r="R628" s="48">
        <v>43770</v>
      </c>
      <c r="S628" s="68">
        <v>7383</v>
      </c>
      <c r="T628" t="s">
        <v>91</v>
      </c>
    </row>
    <row r="629" spans="15:20" x14ac:dyDescent="0.75">
      <c r="O629" t="s">
        <v>109</v>
      </c>
      <c r="P629" t="s">
        <v>121</v>
      </c>
      <c r="Q629" t="s">
        <v>122</v>
      </c>
      <c r="R629" s="48">
        <v>43800</v>
      </c>
      <c r="S629" s="49">
        <v>9385</v>
      </c>
      <c r="T629" t="s">
        <v>91</v>
      </c>
    </row>
    <row r="630" spans="15:20" x14ac:dyDescent="0.75">
      <c r="O630" t="s">
        <v>109</v>
      </c>
      <c r="P630" t="s">
        <v>121</v>
      </c>
      <c r="Q630" t="s">
        <v>122</v>
      </c>
      <c r="R630" s="48">
        <v>43831</v>
      </c>
      <c r="S630" s="49">
        <v>6950</v>
      </c>
      <c r="T630" t="s">
        <v>91</v>
      </c>
    </row>
    <row r="631" spans="15:20" x14ac:dyDescent="0.75">
      <c r="O631" t="s">
        <v>109</v>
      </c>
      <c r="P631" t="s">
        <v>121</v>
      </c>
      <c r="Q631" t="s">
        <v>122</v>
      </c>
      <c r="R631" s="48">
        <v>43862</v>
      </c>
      <c r="S631" s="49">
        <v>11042</v>
      </c>
      <c r="T631" t="s">
        <v>91</v>
      </c>
    </row>
    <row r="632" spans="15:20" x14ac:dyDescent="0.75">
      <c r="O632" t="s">
        <v>109</v>
      </c>
      <c r="P632" t="s">
        <v>121</v>
      </c>
      <c r="Q632" t="s">
        <v>122</v>
      </c>
      <c r="R632" s="48">
        <v>43891</v>
      </c>
      <c r="S632" s="49">
        <v>15296</v>
      </c>
      <c r="T632" t="s">
        <v>91</v>
      </c>
    </row>
    <row r="633" spans="15:20" x14ac:dyDescent="0.75">
      <c r="O633" t="s">
        <v>109</v>
      </c>
      <c r="P633" t="s">
        <v>121</v>
      </c>
      <c r="Q633" t="s">
        <v>122</v>
      </c>
      <c r="R633" s="48">
        <v>43922</v>
      </c>
      <c r="S633" s="49">
        <v>7874</v>
      </c>
      <c r="T633" t="s">
        <v>91</v>
      </c>
    </row>
    <row r="634" spans="15:20" x14ac:dyDescent="0.75">
      <c r="O634" t="s">
        <v>109</v>
      </c>
      <c r="P634" t="s">
        <v>121</v>
      </c>
      <c r="Q634" t="s">
        <v>122</v>
      </c>
      <c r="R634" s="48">
        <v>43952</v>
      </c>
      <c r="S634" s="49">
        <v>7695</v>
      </c>
      <c r="T634" t="s">
        <v>91</v>
      </c>
    </row>
    <row r="635" spans="15:20" x14ac:dyDescent="0.75">
      <c r="O635" t="s">
        <v>109</v>
      </c>
      <c r="P635" t="s">
        <v>121</v>
      </c>
      <c r="Q635" t="s">
        <v>122</v>
      </c>
      <c r="R635" s="48">
        <v>43983</v>
      </c>
      <c r="S635" s="49">
        <v>7143</v>
      </c>
      <c r="T635" t="s">
        <v>91</v>
      </c>
    </row>
    <row r="636" spans="15:20" x14ac:dyDescent="0.75">
      <c r="O636" t="s">
        <v>109</v>
      </c>
      <c r="P636" t="s">
        <v>121</v>
      </c>
      <c r="Q636" t="s">
        <v>122</v>
      </c>
      <c r="R636" s="48">
        <v>44013</v>
      </c>
      <c r="S636" s="65">
        <v>7509</v>
      </c>
      <c r="T636" t="s">
        <v>91</v>
      </c>
    </row>
    <row r="637" spans="15:20" x14ac:dyDescent="0.75">
      <c r="O637" t="s">
        <v>109</v>
      </c>
      <c r="P637" t="s">
        <v>121</v>
      </c>
      <c r="Q637" t="s">
        <v>122</v>
      </c>
      <c r="R637" s="48">
        <v>44044</v>
      </c>
      <c r="S637" s="49">
        <v>5779</v>
      </c>
      <c r="T637" t="s">
        <v>91</v>
      </c>
    </row>
    <row r="638" spans="15:20" x14ac:dyDescent="0.75">
      <c r="O638" t="s">
        <v>109</v>
      </c>
      <c r="P638" t="s">
        <v>121</v>
      </c>
      <c r="Q638" t="s">
        <v>122</v>
      </c>
      <c r="R638" s="48">
        <v>44075</v>
      </c>
      <c r="S638" s="68">
        <v>4400</v>
      </c>
      <c r="T638" t="s">
        <v>91</v>
      </c>
    </row>
    <row r="639" spans="15:20" x14ac:dyDescent="0.75">
      <c r="O639" t="s">
        <v>109</v>
      </c>
      <c r="P639" t="s">
        <v>121</v>
      </c>
      <c r="Q639" t="s">
        <v>122</v>
      </c>
      <c r="R639" s="48">
        <v>44105</v>
      </c>
      <c r="S639" s="49">
        <v>5854</v>
      </c>
      <c r="T639" t="s">
        <v>91</v>
      </c>
    </row>
    <row r="640" spans="15:20" x14ac:dyDescent="0.75">
      <c r="O640" t="s">
        <v>109</v>
      </c>
      <c r="P640" t="s">
        <v>121</v>
      </c>
      <c r="Q640" t="s">
        <v>122</v>
      </c>
      <c r="R640" s="48">
        <v>44136</v>
      </c>
      <c r="S640" s="49">
        <v>5158</v>
      </c>
      <c r="T640" t="s">
        <v>91</v>
      </c>
    </row>
    <row r="641" spans="15:20" x14ac:dyDescent="0.75">
      <c r="O641" t="s">
        <v>109</v>
      </c>
      <c r="P641" t="s">
        <v>121</v>
      </c>
      <c r="Q641" t="s">
        <v>122</v>
      </c>
      <c r="R641" s="48">
        <v>44166</v>
      </c>
      <c r="S641" s="49">
        <v>5283</v>
      </c>
      <c r="T641" t="s">
        <v>91</v>
      </c>
    </row>
    <row r="642" spans="15:20" x14ac:dyDescent="0.75">
      <c r="O642" t="s">
        <v>109</v>
      </c>
      <c r="P642" t="s">
        <v>121</v>
      </c>
      <c r="Q642" t="s">
        <v>122</v>
      </c>
      <c r="R642" s="48">
        <v>44197</v>
      </c>
      <c r="S642" s="49">
        <v>3498</v>
      </c>
      <c r="T642" t="s">
        <v>91</v>
      </c>
    </row>
    <row r="643" spans="15:20" x14ac:dyDescent="0.75">
      <c r="O643" t="s">
        <v>109</v>
      </c>
      <c r="P643" t="s">
        <v>121</v>
      </c>
      <c r="Q643" t="s">
        <v>122</v>
      </c>
      <c r="R643" s="48">
        <v>44228</v>
      </c>
      <c r="S643" s="49">
        <v>3672</v>
      </c>
      <c r="T643" t="s">
        <v>91</v>
      </c>
    </row>
    <row r="644" spans="15:20" x14ac:dyDescent="0.75">
      <c r="O644" t="s">
        <v>109</v>
      </c>
      <c r="P644" t="s">
        <v>121</v>
      </c>
      <c r="Q644" t="s">
        <v>122</v>
      </c>
      <c r="R644" s="48">
        <v>44256</v>
      </c>
      <c r="S644" s="49">
        <v>6127</v>
      </c>
      <c r="T644" t="s">
        <v>91</v>
      </c>
    </row>
    <row r="645" spans="15:20" x14ac:dyDescent="0.75">
      <c r="O645" t="s">
        <v>109</v>
      </c>
      <c r="P645" t="s">
        <v>121</v>
      </c>
      <c r="Q645" t="s">
        <v>122</v>
      </c>
      <c r="R645" s="48">
        <v>44287</v>
      </c>
      <c r="S645" s="49">
        <v>4984</v>
      </c>
      <c r="T645" t="s">
        <v>91</v>
      </c>
    </row>
    <row r="646" spans="15:20" x14ac:dyDescent="0.75">
      <c r="O646" t="s">
        <v>109</v>
      </c>
      <c r="P646" t="s">
        <v>121</v>
      </c>
      <c r="Q646" t="s">
        <v>122</v>
      </c>
      <c r="R646" s="48">
        <v>44317</v>
      </c>
      <c r="S646" s="65">
        <v>3011</v>
      </c>
      <c r="T646" t="s">
        <v>91</v>
      </c>
    </row>
    <row r="647" spans="15:20" x14ac:dyDescent="0.75">
      <c r="O647" t="s">
        <v>109</v>
      </c>
      <c r="P647" t="s">
        <v>121</v>
      </c>
      <c r="Q647" t="s">
        <v>122</v>
      </c>
      <c r="R647" s="48">
        <v>44348</v>
      </c>
      <c r="S647" s="49">
        <v>3562</v>
      </c>
      <c r="T647" t="s">
        <v>91</v>
      </c>
    </row>
    <row r="648" spans="15:20" x14ac:dyDescent="0.75">
      <c r="O648" t="s">
        <v>109</v>
      </c>
      <c r="P648" t="s">
        <v>121</v>
      </c>
      <c r="Q648" t="s">
        <v>122</v>
      </c>
      <c r="R648" s="48">
        <v>44378</v>
      </c>
      <c r="S648" s="49">
        <v>3597</v>
      </c>
      <c r="T648" t="s">
        <v>91</v>
      </c>
    </row>
    <row r="649" spans="15:20" x14ac:dyDescent="0.75">
      <c r="O649" t="s">
        <v>109</v>
      </c>
      <c r="P649" t="s">
        <v>121</v>
      </c>
      <c r="Q649" t="s">
        <v>122</v>
      </c>
      <c r="R649" s="48">
        <v>44409</v>
      </c>
      <c r="S649" s="49">
        <v>3450</v>
      </c>
      <c r="T649" t="s">
        <v>91</v>
      </c>
    </row>
    <row r="650" spans="15:20" x14ac:dyDescent="0.75">
      <c r="O650" t="s">
        <v>109</v>
      </c>
      <c r="P650" t="s">
        <v>121</v>
      </c>
      <c r="Q650" t="s">
        <v>122</v>
      </c>
      <c r="R650" s="48">
        <v>44440</v>
      </c>
      <c r="S650" s="49">
        <v>2756</v>
      </c>
      <c r="T650" t="s">
        <v>91</v>
      </c>
    </row>
    <row r="651" spans="15:20" x14ac:dyDescent="0.75">
      <c r="O651" t="s">
        <v>109</v>
      </c>
      <c r="P651" t="s">
        <v>121</v>
      </c>
      <c r="Q651" t="s">
        <v>122</v>
      </c>
      <c r="R651" s="48">
        <v>44470</v>
      </c>
      <c r="S651" s="49">
        <v>2402</v>
      </c>
      <c r="T651" t="s">
        <v>91</v>
      </c>
    </row>
    <row r="652" spans="15:20" x14ac:dyDescent="0.75">
      <c r="O652" t="s">
        <v>109</v>
      </c>
      <c r="P652" t="s">
        <v>121</v>
      </c>
      <c r="Q652" t="s">
        <v>122</v>
      </c>
      <c r="R652" s="48">
        <v>44501</v>
      </c>
      <c r="S652" s="49">
        <v>3367</v>
      </c>
      <c r="T652" t="s">
        <v>91</v>
      </c>
    </row>
    <row r="653" spans="15:20" x14ac:dyDescent="0.75">
      <c r="O653" t="s">
        <v>109</v>
      </c>
      <c r="P653" t="s">
        <v>121</v>
      </c>
      <c r="Q653" t="s">
        <v>122</v>
      </c>
      <c r="R653" s="48">
        <v>44531</v>
      </c>
      <c r="S653" s="49">
        <v>2279</v>
      </c>
      <c r="T653" t="s">
        <v>91</v>
      </c>
    </row>
    <row r="654" spans="15:20" x14ac:dyDescent="0.75">
      <c r="O654" t="s">
        <v>109</v>
      </c>
      <c r="P654" t="s">
        <v>121</v>
      </c>
      <c r="Q654" t="s">
        <v>122</v>
      </c>
      <c r="R654" s="48">
        <v>44562</v>
      </c>
      <c r="S654" s="49">
        <v>2569</v>
      </c>
      <c r="T654" t="s">
        <v>91</v>
      </c>
    </row>
    <row r="655" spans="15:20" x14ac:dyDescent="0.75">
      <c r="O655" t="s">
        <v>109</v>
      </c>
      <c r="P655" t="s">
        <v>121</v>
      </c>
      <c r="Q655" t="s">
        <v>122</v>
      </c>
      <c r="R655" s="48">
        <v>44593</v>
      </c>
      <c r="S655" s="49">
        <v>4057</v>
      </c>
      <c r="T655" t="s">
        <v>91</v>
      </c>
    </row>
    <row r="656" spans="15:20" x14ac:dyDescent="0.75">
      <c r="O656" t="s">
        <v>109</v>
      </c>
      <c r="P656" t="s">
        <v>121</v>
      </c>
      <c r="Q656" t="s">
        <v>122</v>
      </c>
      <c r="R656" s="48">
        <v>44621</v>
      </c>
      <c r="S656" s="49">
        <v>5050</v>
      </c>
      <c r="T656" t="s">
        <v>91</v>
      </c>
    </row>
    <row r="657" spans="15:20" x14ac:dyDescent="0.75">
      <c r="O657" t="s">
        <v>109</v>
      </c>
      <c r="P657" t="s">
        <v>121</v>
      </c>
      <c r="Q657" t="s">
        <v>122</v>
      </c>
      <c r="R657" s="48">
        <v>44652</v>
      </c>
      <c r="S657" s="49">
        <v>6330</v>
      </c>
      <c r="T657" t="s">
        <v>91</v>
      </c>
    </row>
    <row r="658" spans="15:20" x14ac:dyDescent="0.75">
      <c r="O658" t="s">
        <v>109</v>
      </c>
      <c r="P658" t="s">
        <v>121</v>
      </c>
      <c r="Q658" t="s">
        <v>122</v>
      </c>
      <c r="R658" s="48">
        <v>44682</v>
      </c>
      <c r="S658" s="49">
        <v>5686</v>
      </c>
      <c r="T658" t="s">
        <v>91</v>
      </c>
    </row>
    <row r="659" spans="15:20" x14ac:dyDescent="0.75">
      <c r="O659" t="s">
        <v>109</v>
      </c>
      <c r="P659" t="s">
        <v>121</v>
      </c>
      <c r="Q659" t="s">
        <v>122</v>
      </c>
      <c r="R659" s="48">
        <v>44713</v>
      </c>
      <c r="S659" s="49">
        <v>4198</v>
      </c>
      <c r="T659" t="s">
        <v>91</v>
      </c>
    </row>
    <row r="660" spans="15:20" x14ac:dyDescent="0.75">
      <c r="O660" t="s">
        <v>109</v>
      </c>
      <c r="P660" t="s">
        <v>121</v>
      </c>
      <c r="Q660" t="s">
        <v>122</v>
      </c>
      <c r="R660" s="48">
        <v>44743</v>
      </c>
      <c r="S660" s="49">
        <v>4574</v>
      </c>
      <c r="T660" t="s">
        <v>91</v>
      </c>
    </row>
    <row r="661" spans="15:20" x14ac:dyDescent="0.75">
      <c r="O661" t="s">
        <v>109</v>
      </c>
      <c r="P661" t="s">
        <v>121</v>
      </c>
      <c r="Q661" t="s">
        <v>122</v>
      </c>
      <c r="R661" s="48">
        <v>44774</v>
      </c>
      <c r="S661" s="49">
        <v>4970</v>
      </c>
      <c r="T661" t="s">
        <v>91</v>
      </c>
    </row>
    <row r="662" spans="15:20" x14ac:dyDescent="0.75">
      <c r="O662" t="s">
        <v>109</v>
      </c>
      <c r="P662" t="s">
        <v>121</v>
      </c>
      <c r="Q662" t="s">
        <v>122</v>
      </c>
      <c r="R662" s="48">
        <v>44805</v>
      </c>
      <c r="S662" s="49">
        <v>3939</v>
      </c>
      <c r="T662" t="s">
        <v>91</v>
      </c>
    </row>
    <row r="663" spans="15:20" x14ac:dyDescent="0.75">
      <c r="O663" t="s">
        <v>109</v>
      </c>
      <c r="P663" t="s">
        <v>121</v>
      </c>
      <c r="Q663" t="s">
        <v>122</v>
      </c>
      <c r="R663" s="48">
        <v>44835</v>
      </c>
      <c r="S663" s="49">
        <v>4534</v>
      </c>
      <c r="T663" t="s">
        <v>91</v>
      </c>
    </row>
    <row r="664" spans="15:20" x14ac:dyDescent="0.75">
      <c r="O664" t="s">
        <v>109</v>
      </c>
      <c r="P664" t="s">
        <v>121</v>
      </c>
      <c r="Q664" t="s">
        <v>122</v>
      </c>
      <c r="R664" s="48">
        <v>44866</v>
      </c>
      <c r="S664" s="49">
        <v>4424</v>
      </c>
      <c r="T664" t="s">
        <v>91</v>
      </c>
    </row>
    <row r="665" spans="15:20" x14ac:dyDescent="0.75">
      <c r="O665" t="s">
        <v>109</v>
      </c>
      <c r="P665" t="s">
        <v>121</v>
      </c>
      <c r="Q665" t="s">
        <v>122</v>
      </c>
      <c r="R665" s="48">
        <v>44896</v>
      </c>
      <c r="S665" s="49">
        <v>3960</v>
      </c>
      <c r="T665" t="s">
        <v>91</v>
      </c>
    </row>
    <row r="666" spans="15:20" x14ac:dyDescent="0.75">
      <c r="O666" t="s">
        <v>109</v>
      </c>
      <c r="P666" t="s">
        <v>121</v>
      </c>
      <c r="Q666" t="s">
        <v>122</v>
      </c>
      <c r="R666" s="48">
        <v>44927</v>
      </c>
      <c r="S666" s="52">
        <v>2649</v>
      </c>
      <c r="T666" t="s">
        <v>91</v>
      </c>
    </row>
    <row r="667" spans="15:20" x14ac:dyDescent="0.75">
      <c r="O667" t="s">
        <v>109</v>
      </c>
      <c r="P667" t="s">
        <v>121</v>
      </c>
      <c r="Q667" t="s">
        <v>122</v>
      </c>
      <c r="R667" s="48">
        <v>44958</v>
      </c>
      <c r="S667" s="52">
        <v>3100</v>
      </c>
      <c r="T667" t="s">
        <v>91</v>
      </c>
    </row>
    <row r="668" spans="15:20" x14ac:dyDescent="0.75">
      <c r="O668" t="s">
        <v>109</v>
      </c>
      <c r="P668" t="s">
        <v>121</v>
      </c>
      <c r="Q668" t="s">
        <v>122</v>
      </c>
      <c r="R668" s="48">
        <v>44986</v>
      </c>
      <c r="S668" s="51">
        <v>4245</v>
      </c>
      <c r="T668" t="s">
        <v>91</v>
      </c>
    </row>
    <row r="669" spans="15:20" x14ac:dyDescent="0.75">
      <c r="O669" t="s">
        <v>109</v>
      </c>
      <c r="P669" t="s">
        <v>121</v>
      </c>
      <c r="Q669" t="s">
        <v>122</v>
      </c>
      <c r="R669" s="48">
        <v>45017</v>
      </c>
      <c r="S669" s="52">
        <v>6571</v>
      </c>
      <c r="T669" t="s">
        <v>91</v>
      </c>
    </row>
    <row r="670" spans="15:20" x14ac:dyDescent="0.75">
      <c r="O670" t="s">
        <v>109</v>
      </c>
      <c r="P670" t="s">
        <v>121</v>
      </c>
      <c r="Q670" t="s">
        <v>122</v>
      </c>
      <c r="R670" s="48">
        <v>45047</v>
      </c>
      <c r="S670" s="52">
        <v>4920</v>
      </c>
      <c r="T670" t="s">
        <v>91</v>
      </c>
    </row>
    <row r="671" spans="15:20" x14ac:dyDescent="0.75">
      <c r="O671" t="s">
        <v>109</v>
      </c>
      <c r="P671" t="s">
        <v>121</v>
      </c>
      <c r="Q671" t="s">
        <v>122</v>
      </c>
      <c r="R671" s="48">
        <v>45078</v>
      </c>
      <c r="S671" s="52">
        <v>5063</v>
      </c>
      <c r="T671" t="s">
        <v>91</v>
      </c>
    </row>
    <row r="672" spans="15:20" x14ac:dyDescent="0.75">
      <c r="O672" t="s">
        <v>109</v>
      </c>
      <c r="P672" t="s">
        <v>121</v>
      </c>
      <c r="Q672" t="s">
        <v>122</v>
      </c>
      <c r="R672" s="48">
        <v>45108</v>
      </c>
      <c r="S672" s="52">
        <v>4104</v>
      </c>
      <c r="T672" t="s">
        <v>91</v>
      </c>
    </row>
    <row r="673" spans="15:20" x14ac:dyDescent="0.75">
      <c r="O673" t="s">
        <v>109</v>
      </c>
      <c r="P673" t="s">
        <v>121</v>
      </c>
      <c r="Q673" t="s">
        <v>122</v>
      </c>
      <c r="R673" s="48">
        <v>45139</v>
      </c>
      <c r="S673" s="52">
        <v>2746</v>
      </c>
      <c r="T673" t="s">
        <v>91</v>
      </c>
    </row>
    <row r="674" spans="15:20" x14ac:dyDescent="0.75">
      <c r="O674" t="s">
        <v>109</v>
      </c>
      <c r="P674" t="s">
        <v>121</v>
      </c>
      <c r="Q674" t="s">
        <v>122</v>
      </c>
      <c r="R674" s="48">
        <v>45170</v>
      </c>
      <c r="S674" s="52">
        <v>2746</v>
      </c>
      <c r="T674" t="s">
        <v>91</v>
      </c>
    </row>
    <row r="675" spans="15:20" x14ac:dyDescent="0.75">
      <c r="O675" t="s">
        <v>109</v>
      </c>
      <c r="P675" t="s">
        <v>121</v>
      </c>
      <c r="Q675" t="s">
        <v>122</v>
      </c>
      <c r="R675" s="48">
        <v>45200</v>
      </c>
      <c r="S675" s="52">
        <v>3500</v>
      </c>
      <c r="T675" t="s">
        <v>91</v>
      </c>
    </row>
    <row r="676" spans="15:20" x14ac:dyDescent="0.75">
      <c r="O676" t="s">
        <v>109</v>
      </c>
      <c r="P676" t="s">
        <v>121</v>
      </c>
      <c r="Q676" t="s">
        <v>122</v>
      </c>
      <c r="R676" s="48">
        <v>45231</v>
      </c>
      <c r="S676" s="52">
        <v>4341</v>
      </c>
      <c r="T676" t="s">
        <v>91</v>
      </c>
    </row>
    <row r="677" spans="15:20" x14ac:dyDescent="0.75">
      <c r="O677" t="s">
        <v>109</v>
      </c>
      <c r="P677" t="s">
        <v>121</v>
      </c>
      <c r="Q677" t="s">
        <v>122</v>
      </c>
      <c r="R677" s="48">
        <v>45261</v>
      </c>
      <c r="S677" s="52">
        <v>2326</v>
      </c>
      <c r="T677" t="s">
        <v>91</v>
      </c>
    </row>
    <row r="678" spans="15:20" x14ac:dyDescent="0.75">
      <c r="O678" t="s">
        <v>109</v>
      </c>
      <c r="P678" t="s">
        <v>121</v>
      </c>
      <c r="Q678" t="s">
        <v>122</v>
      </c>
      <c r="R678" s="48">
        <v>45292</v>
      </c>
      <c r="S678" s="51">
        <v>1042</v>
      </c>
      <c r="T678" t="s">
        <v>91</v>
      </c>
    </row>
    <row r="679" spans="15:20" x14ac:dyDescent="0.75">
      <c r="O679" t="s">
        <v>109</v>
      </c>
      <c r="P679" t="s">
        <v>121</v>
      </c>
      <c r="Q679" t="s">
        <v>122</v>
      </c>
      <c r="R679" s="48">
        <v>45323</v>
      </c>
      <c r="S679" s="51">
        <v>2839</v>
      </c>
      <c r="T679" t="s">
        <v>91</v>
      </c>
    </row>
    <row r="680" spans="15:20" x14ac:dyDescent="0.75">
      <c r="O680" t="s">
        <v>109</v>
      </c>
      <c r="P680" t="s">
        <v>121</v>
      </c>
      <c r="Q680" t="s">
        <v>122</v>
      </c>
      <c r="R680" s="48">
        <v>45352</v>
      </c>
      <c r="S680" s="51">
        <v>4801</v>
      </c>
      <c r="T680" t="s">
        <v>91</v>
      </c>
    </row>
    <row r="681" spans="15:20" x14ac:dyDescent="0.75">
      <c r="O681" t="s">
        <v>109</v>
      </c>
      <c r="P681" t="s">
        <v>121</v>
      </c>
      <c r="Q681" t="s">
        <v>122</v>
      </c>
      <c r="R681" s="48">
        <v>45383</v>
      </c>
      <c r="S681" s="51">
        <v>7485</v>
      </c>
      <c r="T681" t="s">
        <v>91</v>
      </c>
    </row>
    <row r="682" spans="15:20" x14ac:dyDescent="0.75">
      <c r="O682" t="s">
        <v>109</v>
      </c>
      <c r="P682" t="s">
        <v>121</v>
      </c>
      <c r="Q682" t="s">
        <v>122</v>
      </c>
      <c r="R682" s="48">
        <v>45413</v>
      </c>
      <c r="S682" s="51">
        <v>6961</v>
      </c>
      <c r="T682" t="s">
        <v>91</v>
      </c>
    </row>
    <row r="683" spans="15:20" x14ac:dyDescent="0.75">
      <c r="O683" t="s">
        <v>109</v>
      </c>
      <c r="P683" t="s">
        <v>121</v>
      </c>
      <c r="Q683" t="s">
        <v>122</v>
      </c>
      <c r="R683" s="48">
        <v>45444</v>
      </c>
      <c r="S683" s="51">
        <v>5544</v>
      </c>
      <c r="T683" t="s">
        <v>91</v>
      </c>
    </row>
    <row r="684" spans="15:20" x14ac:dyDescent="0.75">
      <c r="O684" t="s">
        <v>109</v>
      </c>
      <c r="P684" t="s">
        <v>121</v>
      </c>
      <c r="Q684" t="s">
        <v>122</v>
      </c>
      <c r="R684" s="48">
        <v>45474</v>
      </c>
      <c r="S684" s="51">
        <v>3638</v>
      </c>
      <c r="T684" t="s">
        <v>91</v>
      </c>
    </row>
    <row r="685" spans="15:20" x14ac:dyDescent="0.75">
      <c r="O685" t="s">
        <v>109</v>
      </c>
      <c r="P685" t="s">
        <v>121</v>
      </c>
      <c r="Q685" t="s">
        <v>122</v>
      </c>
      <c r="R685" s="48">
        <v>45505</v>
      </c>
      <c r="S685" s="51">
        <v>4989</v>
      </c>
      <c r="T685" t="s">
        <v>91</v>
      </c>
    </row>
    <row r="686" spans="15:20" x14ac:dyDescent="0.75">
      <c r="O686" t="s">
        <v>109</v>
      </c>
      <c r="P686" t="s">
        <v>121</v>
      </c>
      <c r="Q686" t="s">
        <v>122</v>
      </c>
      <c r="R686" s="48">
        <v>45536</v>
      </c>
      <c r="S686" s="51">
        <v>4726</v>
      </c>
      <c r="T686" t="s">
        <v>91</v>
      </c>
    </row>
    <row r="687" spans="15:20" x14ac:dyDescent="0.75">
      <c r="O687" t="s">
        <v>109</v>
      </c>
      <c r="P687" t="s">
        <v>121</v>
      </c>
      <c r="Q687" t="s">
        <v>122</v>
      </c>
      <c r="R687" s="48">
        <v>45566</v>
      </c>
      <c r="S687" s="51">
        <v>3040</v>
      </c>
      <c r="T687" t="s">
        <v>91</v>
      </c>
    </row>
    <row r="688" spans="15:20" x14ac:dyDescent="0.75">
      <c r="O688" t="s">
        <v>109</v>
      </c>
      <c r="P688" t="s">
        <v>121</v>
      </c>
      <c r="Q688" t="s">
        <v>122</v>
      </c>
      <c r="R688" s="48">
        <v>45597</v>
      </c>
      <c r="S688" s="51">
        <v>2999</v>
      </c>
      <c r="T688" t="s">
        <v>91</v>
      </c>
    </row>
    <row r="689" spans="15:20" x14ac:dyDescent="0.75">
      <c r="O689" t="s">
        <v>109</v>
      </c>
      <c r="P689" t="s">
        <v>121</v>
      </c>
      <c r="Q689" t="s">
        <v>122</v>
      </c>
      <c r="R689" s="48">
        <v>45627</v>
      </c>
      <c r="S689" s="51">
        <v>3439</v>
      </c>
      <c r="T689" t="s">
        <v>91</v>
      </c>
    </row>
    <row r="690" spans="15:20" x14ac:dyDescent="0.75">
      <c r="O690" t="s">
        <v>109</v>
      </c>
      <c r="P690" t="s">
        <v>121</v>
      </c>
      <c r="Q690" t="s">
        <v>122</v>
      </c>
      <c r="R690" s="48">
        <v>45658</v>
      </c>
      <c r="S690" s="51">
        <v>2618</v>
      </c>
      <c r="T690" t="s">
        <v>91</v>
      </c>
    </row>
    <row r="691" spans="15:20" x14ac:dyDescent="0.75">
      <c r="O691" t="s">
        <v>109</v>
      </c>
      <c r="P691" t="s">
        <v>121</v>
      </c>
      <c r="Q691" t="s">
        <v>122</v>
      </c>
      <c r="R691" s="48">
        <v>45689</v>
      </c>
      <c r="S691" s="51">
        <v>3190</v>
      </c>
      <c r="T691" t="s">
        <v>91</v>
      </c>
    </row>
    <row r="692" spans="15:20" x14ac:dyDescent="0.75">
      <c r="O692" t="s">
        <v>109</v>
      </c>
      <c r="P692" t="s">
        <v>121</v>
      </c>
      <c r="Q692" t="s">
        <v>122</v>
      </c>
      <c r="R692" s="48">
        <v>45717</v>
      </c>
      <c r="S692" s="51">
        <v>6545</v>
      </c>
      <c r="T692" t="s">
        <v>91</v>
      </c>
    </row>
    <row r="693" spans="15:20" x14ac:dyDescent="0.75">
      <c r="O693" t="s">
        <v>109</v>
      </c>
      <c r="P693" t="s">
        <v>121</v>
      </c>
      <c r="Q693" t="s">
        <v>122</v>
      </c>
      <c r="R693" s="48">
        <v>45748</v>
      </c>
      <c r="S693" s="52">
        <v>3017</v>
      </c>
      <c r="T693" t="s">
        <v>91</v>
      </c>
    </row>
    <row r="694" spans="15:20" x14ac:dyDescent="0.75">
      <c r="O694" t="s">
        <v>109</v>
      </c>
      <c r="P694" t="s">
        <v>121</v>
      </c>
      <c r="Q694" t="s">
        <v>122</v>
      </c>
      <c r="R694" s="48">
        <v>45778</v>
      </c>
      <c r="S694" s="51">
        <v>4791</v>
      </c>
      <c r="T694" t="s">
        <v>91</v>
      </c>
    </row>
    <row r="695" spans="15:20" x14ac:dyDescent="0.75">
      <c r="O695" t="s">
        <v>102</v>
      </c>
      <c r="P695" t="s">
        <v>110</v>
      </c>
      <c r="Q695" t="s">
        <v>111</v>
      </c>
      <c r="R695" s="48">
        <v>45809</v>
      </c>
      <c r="S695" s="52">
        <v>22746</v>
      </c>
      <c r="T695" t="s">
        <v>91</v>
      </c>
    </row>
    <row r="696" spans="15:20" x14ac:dyDescent="0.75">
      <c r="O696" t="s">
        <v>103</v>
      </c>
      <c r="P696" t="s">
        <v>112</v>
      </c>
      <c r="Q696" t="s">
        <v>113</v>
      </c>
      <c r="R696" s="48">
        <v>45809</v>
      </c>
      <c r="S696" s="52">
        <v>13098</v>
      </c>
      <c r="T696" t="s">
        <v>91</v>
      </c>
    </row>
    <row r="697" spans="15:20" x14ac:dyDescent="0.75">
      <c r="O697" t="s">
        <v>104</v>
      </c>
      <c r="P697" t="s">
        <v>114</v>
      </c>
      <c r="Q697" t="s">
        <v>113</v>
      </c>
      <c r="R697" s="48">
        <v>45809</v>
      </c>
      <c r="S697" s="52">
        <v>148</v>
      </c>
      <c r="T697" t="s">
        <v>91</v>
      </c>
    </row>
    <row r="698" spans="15:20" x14ac:dyDescent="0.75">
      <c r="O698" t="s">
        <v>105</v>
      </c>
      <c r="P698" t="s">
        <v>115</v>
      </c>
      <c r="Q698" t="s">
        <v>116</v>
      </c>
      <c r="R698" s="48">
        <v>45809</v>
      </c>
      <c r="S698" s="52">
        <v>7925</v>
      </c>
      <c r="T698" t="s">
        <v>91</v>
      </c>
    </row>
    <row r="699" spans="15:20" x14ac:dyDescent="0.75">
      <c r="O699" t="s">
        <v>106</v>
      </c>
      <c r="P699" t="s">
        <v>117</v>
      </c>
      <c r="Q699" t="s">
        <v>113</v>
      </c>
      <c r="R699" s="48">
        <v>45809</v>
      </c>
      <c r="S699" s="69">
        <v>10399.75</v>
      </c>
      <c r="T699" t="s">
        <v>91</v>
      </c>
    </row>
    <row r="700" spans="15:20" x14ac:dyDescent="0.75">
      <c r="O700" t="s">
        <v>108</v>
      </c>
      <c r="P700" t="s">
        <v>119</v>
      </c>
      <c r="Q700" t="s">
        <v>120</v>
      </c>
      <c r="R700" s="48">
        <v>45809</v>
      </c>
      <c r="S700" s="52">
        <v>2319</v>
      </c>
      <c r="T700" t="s">
        <v>91</v>
      </c>
    </row>
    <row r="701" spans="15:20" x14ac:dyDescent="0.75">
      <c r="O701" t="s">
        <v>107</v>
      </c>
      <c r="P701" t="s">
        <v>118</v>
      </c>
      <c r="Q701" t="s">
        <v>118</v>
      </c>
      <c r="R701" s="48">
        <v>45809</v>
      </c>
      <c r="S701" s="51">
        <v>1545</v>
      </c>
      <c r="T701" t="s">
        <v>91</v>
      </c>
    </row>
    <row r="702" spans="15:20" x14ac:dyDescent="0.75">
      <c r="O702" t="s">
        <v>109</v>
      </c>
      <c r="P702" t="s">
        <v>121</v>
      </c>
      <c r="Q702" t="s">
        <v>122</v>
      </c>
      <c r="R702" s="48">
        <v>45809</v>
      </c>
      <c r="S702" s="52">
        <v>4872</v>
      </c>
      <c r="T702" t="s">
        <v>91</v>
      </c>
    </row>
    <row r="703" spans="15:20" x14ac:dyDescent="0.75">
      <c r="O703" t="s">
        <v>88</v>
      </c>
      <c r="P703" t="s">
        <v>89</v>
      </c>
      <c r="Q703" t="s">
        <v>90</v>
      </c>
      <c r="R703" s="48">
        <v>45809</v>
      </c>
      <c r="S703" s="52">
        <v>950</v>
      </c>
      <c r="T703" t="s">
        <v>91</v>
      </c>
    </row>
    <row r="704" spans="15:20" x14ac:dyDescent="0.75">
      <c r="O704" t="s">
        <v>107</v>
      </c>
      <c r="P704" t="s">
        <v>118</v>
      </c>
      <c r="Q704" t="s">
        <v>118</v>
      </c>
      <c r="R704" s="48">
        <v>45839</v>
      </c>
      <c r="S704" s="25">
        <v>1228</v>
      </c>
      <c r="T704" t="s">
        <v>91</v>
      </c>
    </row>
    <row r="705" spans="15:20" x14ac:dyDescent="0.75">
      <c r="O705" t="s">
        <v>88</v>
      </c>
      <c r="P705" t="s">
        <v>89</v>
      </c>
      <c r="Q705" t="s">
        <v>90</v>
      </c>
      <c r="R705" s="48">
        <v>45839</v>
      </c>
      <c r="S705" s="25">
        <v>1495</v>
      </c>
      <c r="T705" t="s">
        <v>91</v>
      </c>
    </row>
    <row r="706" spans="15:20" x14ac:dyDescent="0.75">
      <c r="O706" t="s">
        <v>109</v>
      </c>
      <c r="P706" t="s">
        <v>121</v>
      </c>
      <c r="Q706" t="s">
        <v>122</v>
      </c>
      <c r="R706" s="48">
        <v>45839</v>
      </c>
      <c r="S706" s="25">
        <v>3673</v>
      </c>
      <c r="T706" t="s">
        <v>91</v>
      </c>
    </row>
    <row r="707" spans="15:20" x14ac:dyDescent="0.75">
      <c r="O707" t="s">
        <v>102</v>
      </c>
      <c r="P707" t="s">
        <v>110</v>
      </c>
      <c r="Q707" t="s">
        <v>111</v>
      </c>
      <c r="R707" s="48">
        <v>45839</v>
      </c>
      <c r="S707" s="25">
        <v>23566</v>
      </c>
      <c r="T707" t="s">
        <v>91</v>
      </c>
    </row>
    <row r="708" spans="15:20" x14ac:dyDescent="0.75">
      <c r="O708" t="s">
        <v>103</v>
      </c>
      <c r="P708" t="s">
        <v>112</v>
      </c>
      <c r="Q708" t="s">
        <v>113</v>
      </c>
      <c r="R708" s="48">
        <v>45839</v>
      </c>
      <c r="S708">
        <v>13474</v>
      </c>
      <c r="T708" t="s">
        <v>91</v>
      </c>
    </row>
    <row r="709" spans="15:20" x14ac:dyDescent="0.75">
      <c r="O709" t="s">
        <v>104</v>
      </c>
      <c r="P709" t="s">
        <v>114</v>
      </c>
      <c r="Q709" t="s">
        <v>113</v>
      </c>
      <c r="R709" s="48">
        <v>45839</v>
      </c>
      <c r="S709" s="25">
        <v>503</v>
      </c>
      <c r="T709" t="s">
        <v>91</v>
      </c>
    </row>
    <row r="710" spans="15:20" x14ac:dyDescent="0.75">
      <c r="O710" t="s">
        <v>106</v>
      </c>
      <c r="P710" t="s">
        <v>117</v>
      </c>
      <c r="Q710" t="s">
        <v>113</v>
      </c>
      <c r="R710" s="48">
        <v>45839</v>
      </c>
      <c r="S710" s="70">
        <v>11793</v>
      </c>
      <c r="T710" t="s">
        <v>91</v>
      </c>
    </row>
    <row r="711" spans="15:20" x14ac:dyDescent="0.75">
      <c r="O711" t="s">
        <v>105</v>
      </c>
      <c r="P711" t="s">
        <v>115</v>
      </c>
      <c r="Q711" t="s">
        <v>116</v>
      </c>
      <c r="R711" s="48">
        <v>45839</v>
      </c>
      <c r="S711" s="25">
        <v>8312</v>
      </c>
      <c r="T711" t="s">
        <v>91</v>
      </c>
    </row>
    <row r="712" spans="15:20" x14ac:dyDescent="0.75">
      <c r="O712" t="s">
        <v>108</v>
      </c>
      <c r="P712" t="s">
        <v>119</v>
      </c>
      <c r="Q712" t="s">
        <v>120</v>
      </c>
      <c r="R712" s="48">
        <v>45839</v>
      </c>
      <c r="S712" s="25">
        <v>1842</v>
      </c>
      <c r="T712" t="s">
        <v>91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3A55-F80B-4112-BB6E-A0363B4679F4}">
  <sheetPr>
    <tabColor rgb="FF00B050"/>
  </sheetPr>
  <dimension ref="A1:AC713"/>
  <sheetViews>
    <sheetView workbookViewId="0">
      <selection activeCell="B23" sqref="B23"/>
    </sheetView>
  </sheetViews>
  <sheetFormatPr defaultRowHeight="14.75" x14ac:dyDescent="0.75"/>
  <cols>
    <col min="1" max="1" width="26.1328125" bestFit="1" customWidth="1"/>
    <col min="2" max="2" width="9.86328125" bestFit="1" customWidth="1"/>
    <col min="3" max="3" width="26.1328125" bestFit="1" customWidth="1"/>
    <col min="4" max="10" width="10.86328125" bestFit="1" customWidth="1"/>
    <col min="15" max="15" width="22.40625" style="48" bestFit="1" customWidth="1"/>
    <col min="16" max="16" width="13.1328125" customWidth="1"/>
    <col min="20" max="20" width="26.1328125" bestFit="1" customWidth="1"/>
    <col min="21" max="21" width="15" bestFit="1" customWidth="1"/>
    <col min="22" max="24" width="10.7265625" bestFit="1" customWidth="1"/>
    <col min="25" max="27" width="11.7265625" bestFit="1" customWidth="1"/>
    <col min="28" max="29" width="10.7265625" bestFit="1" customWidth="1"/>
    <col min="30" max="32" width="9.40625" bestFit="1" customWidth="1"/>
    <col min="33" max="41" width="8.40625" bestFit="1" customWidth="1"/>
    <col min="42" max="44" width="9.40625" bestFit="1" customWidth="1"/>
    <col min="45" max="53" width="8.40625" bestFit="1" customWidth="1"/>
    <col min="54" max="56" width="9.40625" bestFit="1" customWidth="1"/>
    <col min="57" max="65" width="8.40625" bestFit="1" customWidth="1"/>
    <col min="66" max="68" width="9.40625" bestFit="1" customWidth="1"/>
    <col min="69" max="77" width="8.40625" bestFit="1" customWidth="1"/>
    <col min="78" max="80" width="9.40625" bestFit="1" customWidth="1"/>
    <col min="81" max="89" width="8.40625" bestFit="1" customWidth="1"/>
    <col min="90" max="92" width="9.40625" bestFit="1" customWidth="1"/>
    <col min="93" max="99" width="8.40625" bestFit="1" customWidth="1"/>
    <col min="100" max="100" width="6.54296875" bestFit="1" customWidth="1"/>
    <col min="101" max="101" width="10.26953125" bestFit="1" customWidth="1"/>
  </cols>
  <sheetData>
    <row r="1" spans="1:29" ht="24.5" x14ac:dyDescent="0.75">
      <c r="A1" s="24" t="str">
        <f>ToC!A9</f>
        <v>Figure 9: TEU Empty Exports by Port, 2022 through 2025</v>
      </c>
    </row>
    <row r="2" spans="1:29" x14ac:dyDescent="0.75">
      <c r="L2" t="s">
        <v>15</v>
      </c>
      <c r="M2" t="s">
        <v>80</v>
      </c>
      <c r="N2" t="s">
        <v>81</v>
      </c>
      <c r="O2" s="48" t="s">
        <v>82</v>
      </c>
      <c r="P2" t="s">
        <v>83</v>
      </c>
      <c r="Q2" t="s">
        <v>84</v>
      </c>
      <c r="T2" s="7" t="s">
        <v>85</v>
      </c>
      <c r="U2" s="7" t="s">
        <v>86</v>
      </c>
    </row>
    <row r="3" spans="1:29" x14ac:dyDescent="0.75">
      <c r="B3" s="1"/>
      <c r="L3" t="s">
        <v>88</v>
      </c>
      <c r="M3" t="s">
        <v>89</v>
      </c>
      <c r="N3" t="s">
        <v>90</v>
      </c>
      <c r="O3" s="48">
        <v>43466</v>
      </c>
      <c r="P3">
        <v>45712</v>
      </c>
      <c r="Q3" t="s">
        <v>123</v>
      </c>
      <c r="U3" t="s">
        <v>124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</row>
    <row r="4" spans="1:29" x14ac:dyDescent="0.75">
      <c r="B4" s="25"/>
      <c r="L4" t="s">
        <v>88</v>
      </c>
      <c r="M4" t="s">
        <v>89</v>
      </c>
      <c r="N4" t="s">
        <v>90</v>
      </c>
      <c r="O4" s="48">
        <v>43497</v>
      </c>
      <c r="P4">
        <v>31869</v>
      </c>
      <c r="Q4" t="s">
        <v>123</v>
      </c>
    </row>
    <row r="5" spans="1:29" x14ac:dyDescent="0.75">
      <c r="B5" s="25"/>
      <c r="L5" t="s">
        <v>88</v>
      </c>
      <c r="M5" t="s">
        <v>89</v>
      </c>
      <c r="N5" t="s">
        <v>90</v>
      </c>
      <c r="O5" s="48">
        <v>43525</v>
      </c>
      <c r="P5">
        <v>37439</v>
      </c>
      <c r="Q5" t="s">
        <v>123</v>
      </c>
    </row>
    <row r="6" spans="1:29" x14ac:dyDescent="0.75">
      <c r="B6" s="25"/>
      <c r="L6" t="s">
        <v>88</v>
      </c>
      <c r="M6" t="s">
        <v>89</v>
      </c>
      <c r="N6" t="s">
        <v>90</v>
      </c>
      <c r="O6" s="48">
        <v>43556</v>
      </c>
      <c r="P6">
        <v>35969</v>
      </c>
      <c r="Q6" t="s">
        <v>123</v>
      </c>
      <c r="T6" s="7" t="s">
        <v>100</v>
      </c>
    </row>
    <row r="7" spans="1:29" x14ac:dyDescent="0.75">
      <c r="B7" s="25"/>
      <c r="L7" t="s">
        <v>88</v>
      </c>
      <c r="M7" t="s">
        <v>89</v>
      </c>
      <c r="N7" t="s">
        <v>90</v>
      </c>
      <c r="O7" s="48">
        <v>43586</v>
      </c>
      <c r="P7">
        <v>38875</v>
      </c>
      <c r="Q7" t="s">
        <v>123</v>
      </c>
      <c r="T7" s="8" t="s">
        <v>88</v>
      </c>
      <c r="V7">
        <v>472649</v>
      </c>
      <c r="W7">
        <v>442222</v>
      </c>
      <c r="X7">
        <v>573033</v>
      </c>
      <c r="Y7">
        <v>718684</v>
      </c>
      <c r="Z7">
        <v>530991</v>
      </c>
      <c r="AA7">
        <v>571875</v>
      </c>
      <c r="AB7">
        <v>401251</v>
      </c>
      <c r="AC7">
        <v>3710705</v>
      </c>
    </row>
    <row r="8" spans="1:29" x14ac:dyDescent="0.75">
      <c r="B8" s="25"/>
      <c r="L8" t="s">
        <v>88</v>
      </c>
      <c r="M8" t="s">
        <v>89</v>
      </c>
      <c r="N8" t="s">
        <v>90</v>
      </c>
      <c r="O8" s="48">
        <v>43617</v>
      </c>
      <c r="P8">
        <v>39463</v>
      </c>
      <c r="Q8" t="s">
        <v>123</v>
      </c>
      <c r="T8" s="8" t="s">
        <v>102</v>
      </c>
      <c r="V8">
        <v>227174</v>
      </c>
      <c r="W8">
        <v>237526</v>
      </c>
      <c r="X8">
        <v>624208</v>
      </c>
      <c r="Y8">
        <v>689069</v>
      </c>
      <c r="Z8">
        <v>484330</v>
      </c>
      <c r="AA8">
        <v>570350</v>
      </c>
      <c r="AB8">
        <v>331673</v>
      </c>
      <c r="AC8">
        <v>3164330</v>
      </c>
    </row>
    <row r="9" spans="1:29" x14ac:dyDescent="0.75">
      <c r="B9" s="25"/>
      <c r="C9" t="s">
        <v>125</v>
      </c>
      <c r="D9" t="s">
        <v>86</v>
      </c>
      <c r="L9" t="s">
        <v>88</v>
      </c>
      <c r="M9" t="s">
        <v>89</v>
      </c>
      <c r="N9" t="s">
        <v>90</v>
      </c>
      <c r="O9" s="48">
        <v>43647</v>
      </c>
      <c r="P9">
        <v>38174</v>
      </c>
      <c r="Q9" t="s">
        <v>123</v>
      </c>
      <c r="T9" s="8" t="s">
        <v>103</v>
      </c>
      <c r="V9">
        <v>2326087</v>
      </c>
      <c r="W9">
        <v>2462720</v>
      </c>
      <c r="X9">
        <v>3210318</v>
      </c>
      <c r="Y9">
        <v>3191779</v>
      </c>
      <c r="Z9">
        <v>2750934</v>
      </c>
      <c r="AA9">
        <v>3616713</v>
      </c>
      <c r="AB9">
        <v>2182391</v>
      </c>
      <c r="AC9">
        <v>19740942</v>
      </c>
    </row>
    <row r="10" spans="1:29" x14ac:dyDescent="0.75">
      <c r="B10" s="25"/>
      <c r="L10" t="s">
        <v>88</v>
      </c>
      <c r="M10" t="s">
        <v>89</v>
      </c>
      <c r="N10" t="s">
        <v>90</v>
      </c>
      <c r="O10" s="48">
        <v>43678</v>
      </c>
      <c r="P10">
        <v>48363</v>
      </c>
      <c r="Q10" t="s">
        <v>123</v>
      </c>
      <c r="T10" s="8" t="s">
        <v>104</v>
      </c>
      <c r="V10">
        <v>2717611.2</v>
      </c>
      <c r="W10">
        <v>2805638.7</v>
      </c>
      <c r="X10">
        <v>3953472.4</v>
      </c>
      <c r="Y10">
        <v>3708759.05</v>
      </c>
      <c r="Z10">
        <v>2867619.25</v>
      </c>
      <c r="AA10">
        <v>3438941.5</v>
      </c>
      <c r="AB10">
        <v>2039094.2</v>
      </c>
      <c r="AC10">
        <v>21531136.300000001</v>
      </c>
    </row>
    <row r="11" spans="1:29" x14ac:dyDescent="0.75">
      <c r="B11" s="25"/>
      <c r="C11" t="s">
        <v>100</v>
      </c>
      <c r="D11" s="45">
        <v>2019</v>
      </c>
      <c r="E11" s="45" t="s">
        <v>93</v>
      </c>
      <c r="F11" s="45" t="s">
        <v>94</v>
      </c>
      <c r="G11" s="45" t="s">
        <v>95</v>
      </c>
      <c r="H11" s="45" t="s">
        <v>96</v>
      </c>
      <c r="I11" s="45" t="s">
        <v>97</v>
      </c>
      <c r="J11" s="45" t="s">
        <v>101</v>
      </c>
      <c r="L11" t="s">
        <v>88</v>
      </c>
      <c r="M11" t="s">
        <v>89</v>
      </c>
      <c r="N11" t="s">
        <v>90</v>
      </c>
      <c r="O11" s="48">
        <v>43709</v>
      </c>
      <c r="P11">
        <v>39408</v>
      </c>
      <c r="Q11" t="s">
        <v>123</v>
      </c>
      <c r="T11" s="8" t="s">
        <v>105</v>
      </c>
      <c r="V11">
        <v>617989</v>
      </c>
      <c r="W11">
        <v>485862</v>
      </c>
      <c r="X11">
        <v>746004</v>
      </c>
      <c r="Y11">
        <v>764461</v>
      </c>
      <c r="Z11">
        <v>493062</v>
      </c>
      <c r="AA11">
        <v>612361</v>
      </c>
      <c r="AB11">
        <v>350858</v>
      </c>
      <c r="AC11">
        <v>4070597</v>
      </c>
    </row>
    <row r="12" spans="1:29" x14ac:dyDescent="0.75">
      <c r="B12" s="25"/>
      <c r="C12" t="s">
        <v>88</v>
      </c>
      <c r="D12" s="25">
        <v>472649</v>
      </c>
      <c r="E12" s="25">
        <v>442222</v>
      </c>
      <c r="F12" s="25">
        <v>573033</v>
      </c>
      <c r="G12" s="25">
        <v>718684</v>
      </c>
      <c r="H12" s="25">
        <v>530991</v>
      </c>
      <c r="I12" s="25">
        <v>571875</v>
      </c>
      <c r="J12" s="25">
        <v>401251</v>
      </c>
      <c r="L12" t="s">
        <v>88</v>
      </c>
      <c r="M12" t="s">
        <v>89</v>
      </c>
      <c r="N12" t="s">
        <v>90</v>
      </c>
      <c r="O12" s="48">
        <v>43739</v>
      </c>
      <c r="P12">
        <v>45191</v>
      </c>
      <c r="Q12" t="s">
        <v>123</v>
      </c>
      <c r="T12" s="8" t="s">
        <v>106</v>
      </c>
      <c r="V12">
        <v>402978</v>
      </c>
      <c r="W12">
        <v>345239</v>
      </c>
      <c r="X12">
        <v>373404</v>
      </c>
      <c r="Y12">
        <v>418314</v>
      </c>
      <c r="Z12">
        <v>318875.75</v>
      </c>
      <c r="AA12">
        <v>358995.75</v>
      </c>
      <c r="AB12">
        <v>215181.5</v>
      </c>
      <c r="AC12">
        <v>2432988</v>
      </c>
    </row>
    <row r="13" spans="1:29" x14ac:dyDescent="0.75">
      <c r="C13" t="s">
        <v>102</v>
      </c>
      <c r="D13" s="25">
        <v>227174</v>
      </c>
      <c r="E13" s="25">
        <v>237526</v>
      </c>
      <c r="F13" s="25">
        <v>624208</v>
      </c>
      <c r="G13" s="25">
        <v>689069</v>
      </c>
      <c r="H13" s="25">
        <v>484330</v>
      </c>
      <c r="I13" s="25">
        <v>570350</v>
      </c>
      <c r="J13" s="25">
        <v>331673</v>
      </c>
      <c r="L13" t="s">
        <v>88</v>
      </c>
      <c r="M13" t="s">
        <v>89</v>
      </c>
      <c r="N13" t="s">
        <v>90</v>
      </c>
      <c r="O13" s="48">
        <v>43770</v>
      </c>
      <c r="P13">
        <v>34357</v>
      </c>
      <c r="Q13" t="s">
        <v>123</v>
      </c>
      <c r="T13" s="8" t="s">
        <v>107</v>
      </c>
      <c r="V13">
        <v>2222205</v>
      </c>
      <c r="W13">
        <v>2318450</v>
      </c>
      <c r="X13">
        <v>3013157</v>
      </c>
      <c r="Y13">
        <v>3366440</v>
      </c>
      <c r="Z13">
        <v>2512011</v>
      </c>
      <c r="AA13">
        <v>2882422</v>
      </c>
      <c r="AB13">
        <v>1713273</v>
      </c>
      <c r="AC13">
        <v>18027958</v>
      </c>
    </row>
    <row r="14" spans="1:29" x14ac:dyDescent="0.75">
      <c r="C14" t="s">
        <v>103</v>
      </c>
      <c r="D14" s="25">
        <v>2326087</v>
      </c>
      <c r="E14" s="25">
        <v>2462720</v>
      </c>
      <c r="F14" s="25">
        <v>3210318</v>
      </c>
      <c r="G14" s="25">
        <v>3191779</v>
      </c>
      <c r="H14" s="25">
        <v>2750934</v>
      </c>
      <c r="I14" s="25">
        <v>3616713</v>
      </c>
      <c r="J14" s="25">
        <v>2182391</v>
      </c>
      <c r="L14" t="s">
        <v>88</v>
      </c>
      <c r="M14" t="s">
        <v>89</v>
      </c>
      <c r="N14" t="s">
        <v>90</v>
      </c>
      <c r="O14" s="48">
        <v>43800</v>
      </c>
      <c r="P14">
        <v>37829</v>
      </c>
      <c r="Q14" t="s">
        <v>123</v>
      </c>
      <c r="T14" s="8" t="s">
        <v>108</v>
      </c>
      <c r="V14">
        <v>582803</v>
      </c>
      <c r="W14">
        <v>534218</v>
      </c>
      <c r="X14">
        <v>762355</v>
      </c>
      <c r="Y14">
        <v>850900.5</v>
      </c>
      <c r="Z14">
        <v>618840.75</v>
      </c>
      <c r="AA14">
        <v>701605</v>
      </c>
      <c r="AB14">
        <v>367967.75</v>
      </c>
      <c r="AC14">
        <v>4418690</v>
      </c>
    </row>
    <row r="15" spans="1:29" x14ac:dyDescent="0.75">
      <c r="C15" t="s">
        <v>104</v>
      </c>
      <c r="D15" s="25">
        <v>2717611.2</v>
      </c>
      <c r="E15" s="25">
        <v>2805638.7</v>
      </c>
      <c r="F15" s="25">
        <v>3953472.4</v>
      </c>
      <c r="G15" s="25">
        <v>3708759.05</v>
      </c>
      <c r="H15" s="25">
        <v>2867619.25</v>
      </c>
      <c r="I15" s="25">
        <v>3438941.5</v>
      </c>
      <c r="J15" s="25">
        <v>2039094.2</v>
      </c>
      <c r="L15" t="s">
        <v>88</v>
      </c>
      <c r="M15" t="s">
        <v>89</v>
      </c>
      <c r="N15" t="s">
        <v>90</v>
      </c>
      <c r="O15" s="48">
        <v>43831</v>
      </c>
      <c r="P15">
        <v>44752</v>
      </c>
      <c r="Q15" t="s">
        <v>123</v>
      </c>
      <c r="T15" s="8" t="s">
        <v>109</v>
      </c>
      <c r="V15">
        <v>833947</v>
      </c>
      <c r="W15">
        <v>870754</v>
      </c>
      <c r="X15">
        <v>1387025</v>
      </c>
      <c r="Y15">
        <v>1615892</v>
      </c>
      <c r="Z15">
        <v>1160724</v>
      </c>
      <c r="AA15">
        <v>1377541</v>
      </c>
      <c r="AB15">
        <v>840957</v>
      </c>
      <c r="AC15">
        <v>8086840</v>
      </c>
    </row>
    <row r="16" spans="1:29" x14ac:dyDescent="0.75">
      <c r="C16" t="s">
        <v>105</v>
      </c>
      <c r="D16" s="25">
        <v>617989</v>
      </c>
      <c r="E16" s="25">
        <v>485862</v>
      </c>
      <c r="F16" s="25">
        <v>746004</v>
      </c>
      <c r="G16" s="25">
        <v>764461</v>
      </c>
      <c r="H16" s="25">
        <v>493062</v>
      </c>
      <c r="I16" s="25">
        <v>612361</v>
      </c>
      <c r="J16" s="25">
        <v>350858</v>
      </c>
      <c r="L16" t="s">
        <v>88</v>
      </c>
      <c r="M16" t="s">
        <v>89</v>
      </c>
      <c r="N16" t="s">
        <v>90</v>
      </c>
      <c r="O16" s="48">
        <v>43862</v>
      </c>
      <c r="P16">
        <v>29117</v>
      </c>
      <c r="Q16" t="s">
        <v>123</v>
      </c>
      <c r="T16" s="8" t="s">
        <v>126</v>
      </c>
    </row>
    <row r="17" spans="3:29" x14ac:dyDescent="0.75">
      <c r="C17" t="s">
        <v>106</v>
      </c>
      <c r="D17" s="25">
        <v>402978</v>
      </c>
      <c r="E17" s="25">
        <v>345239</v>
      </c>
      <c r="F17" s="25">
        <v>373404</v>
      </c>
      <c r="G17" s="25">
        <v>418314</v>
      </c>
      <c r="H17" s="25">
        <v>318875.75</v>
      </c>
      <c r="I17" s="25">
        <v>358995.75</v>
      </c>
      <c r="J17" s="25">
        <v>215181.5</v>
      </c>
      <c r="L17" t="s">
        <v>88</v>
      </c>
      <c r="M17" t="s">
        <v>89</v>
      </c>
      <c r="N17" t="s">
        <v>90</v>
      </c>
      <c r="O17" s="48">
        <v>43891</v>
      </c>
      <c r="P17">
        <v>28911</v>
      </c>
      <c r="Q17" t="s">
        <v>123</v>
      </c>
      <c r="T17" s="8" t="s">
        <v>99</v>
      </c>
      <c r="V17">
        <v>10403443.199999999</v>
      </c>
      <c r="W17">
        <v>10502629.699999999</v>
      </c>
      <c r="X17">
        <v>14642976.4</v>
      </c>
      <c r="Y17">
        <v>15324298.550000001</v>
      </c>
      <c r="Z17">
        <v>11737387.75</v>
      </c>
      <c r="AA17">
        <v>14130804.25</v>
      </c>
      <c r="AB17">
        <v>8442646.4499999993</v>
      </c>
      <c r="AC17">
        <v>85184186.299999997</v>
      </c>
    </row>
    <row r="18" spans="3:29" x14ac:dyDescent="0.75">
      <c r="C18" t="s">
        <v>107</v>
      </c>
      <c r="D18" s="25">
        <v>2222205</v>
      </c>
      <c r="E18" s="25">
        <v>2318450</v>
      </c>
      <c r="F18" s="25">
        <v>3013157</v>
      </c>
      <c r="G18" s="25">
        <v>3366440</v>
      </c>
      <c r="H18" s="25">
        <v>2512011</v>
      </c>
      <c r="I18" s="25">
        <v>2882422</v>
      </c>
      <c r="J18" s="25">
        <v>1713273</v>
      </c>
      <c r="L18" t="s">
        <v>88</v>
      </c>
      <c r="M18" t="s">
        <v>89</v>
      </c>
      <c r="N18" t="s">
        <v>90</v>
      </c>
      <c r="O18" s="48">
        <v>43922</v>
      </c>
      <c r="P18">
        <v>31463</v>
      </c>
      <c r="Q18" t="s">
        <v>123</v>
      </c>
    </row>
    <row r="19" spans="3:29" x14ac:dyDescent="0.75">
      <c r="C19" t="s">
        <v>108</v>
      </c>
      <c r="D19" s="25">
        <v>582803</v>
      </c>
      <c r="E19" s="25">
        <v>534218</v>
      </c>
      <c r="F19" s="25">
        <v>762355</v>
      </c>
      <c r="G19" s="25">
        <v>850900.5</v>
      </c>
      <c r="H19" s="25">
        <v>618840.75</v>
      </c>
      <c r="I19" s="25">
        <v>701605</v>
      </c>
      <c r="J19" s="25">
        <v>367967.75</v>
      </c>
      <c r="L19" t="s">
        <v>88</v>
      </c>
      <c r="M19" t="s">
        <v>89</v>
      </c>
      <c r="N19" t="s">
        <v>90</v>
      </c>
      <c r="O19" s="48">
        <v>43952</v>
      </c>
      <c r="P19">
        <v>32400</v>
      </c>
      <c r="Q19" t="s">
        <v>123</v>
      </c>
    </row>
    <row r="20" spans="3:29" x14ac:dyDescent="0.75">
      <c r="C20" t="s">
        <v>109</v>
      </c>
      <c r="D20" s="25">
        <v>833947</v>
      </c>
      <c r="E20" s="25">
        <v>870754</v>
      </c>
      <c r="F20" s="25">
        <v>1387025</v>
      </c>
      <c r="G20" s="25">
        <v>1615892</v>
      </c>
      <c r="H20" s="25">
        <v>1160724</v>
      </c>
      <c r="I20" s="25">
        <v>1377541</v>
      </c>
      <c r="J20" s="25">
        <v>840957</v>
      </c>
      <c r="L20" t="s">
        <v>88</v>
      </c>
      <c r="M20" t="s">
        <v>89</v>
      </c>
      <c r="N20" t="s">
        <v>90</v>
      </c>
      <c r="O20" s="48">
        <v>43983</v>
      </c>
      <c r="P20">
        <v>25021</v>
      </c>
      <c r="Q20" t="s">
        <v>123</v>
      </c>
    </row>
    <row r="21" spans="3:29" x14ac:dyDescent="0.75">
      <c r="L21" t="s">
        <v>88</v>
      </c>
      <c r="M21" t="s">
        <v>89</v>
      </c>
      <c r="N21" t="s">
        <v>90</v>
      </c>
      <c r="O21" s="48">
        <v>44013</v>
      </c>
      <c r="P21">
        <v>35140</v>
      </c>
      <c r="Q21" t="s">
        <v>123</v>
      </c>
    </row>
    <row r="22" spans="3:29" x14ac:dyDescent="0.75">
      <c r="L22" t="s">
        <v>88</v>
      </c>
      <c r="M22" t="s">
        <v>89</v>
      </c>
      <c r="N22" t="s">
        <v>90</v>
      </c>
      <c r="O22" s="48">
        <v>44044</v>
      </c>
      <c r="P22">
        <v>42817</v>
      </c>
      <c r="Q22" t="s">
        <v>123</v>
      </c>
    </row>
    <row r="23" spans="3:29" x14ac:dyDescent="0.75">
      <c r="L23" t="s">
        <v>88</v>
      </c>
      <c r="M23" t="s">
        <v>89</v>
      </c>
      <c r="N23" t="s">
        <v>90</v>
      </c>
      <c r="O23" s="48">
        <v>44075</v>
      </c>
      <c r="P23">
        <v>38804</v>
      </c>
      <c r="Q23" t="s">
        <v>123</v>
      </c>
    </row>
    <row r="24" spans="3:29" x14ac:dyDescent="0.75">
      <c r="L24" t="s">
        <v>88</v>
      </c>
      <c r="M24" t="s">
        <v>89</v>
      </c>
      <c r="N24" t="s">
        <v>90</v>
      </c>
      <c r="O24" s="48">
        <v>44105</v>
      </c>
      <c r="P24">
        <v>44717</v>
      </c>
      <c r="Q24" t="s">
        <v>123</v>
      </c>
    </row>
    <row r="25" spans="3:29" x14ac:dyDescent="0.75">
      <c r="L25" t="s">
        <v>88</v>
      </c>
      <c r="M25" t="s">
        <v>89</v>
      </c>
      <c r="N25" t="s">
        <v>90</v>
      </c>
      <c r="O25" s="48">
        <v>44136</v>
      </c>
      <c r="P25">
        <v>45090</v>
      </c>
      <c r="Q25" t="s">
        <v>123</v>
      </c>
    </row>
    <row r="26" spans="3:29" x14ac:dyDescent="0.75">
      <c r="L26" t="s">
        <v>88</v>
      </c>
      <c r="M26" t="s">
        <v>89</v>
      </c>
      <c r="N26" t="s">
        <v>90</v>
      </c>
      <c r="O26" s="48">
        <v>44166</v>
      </c>
      <c r="P26">
        <v>43990</v>
      </c>
      <c r="Q26" t="s">
        <v>123</v>
      </c>
    </row>
    <row r="27" spans="3:29" x14ac:dyDescent="0.75">
      <c r="L27" t="s">
        <v>88</v>
      </c>
      <c r="M27" t="s">
        <v>89</v>
      </c>
      <c r="N27" t="s">
        <v>90</v>
      </c>
      <c r="O27" s="48">
        <v>44197</v>
      </c>
      <c r="P27">
        <v>48224</v>
      </c>
      <c r="Q27" t="s">
        <v>123</v>
      </c>
    </row>
    <row r="28" spans="3:29" x14ac:dyDescent="0.75">
      <c r="L28" t="s">
        <v>88</v>
      </c>
      <c r="M28" t="s">
        <v>89</v>
      </c>
      <c r="N28" t="s">
        <v>90</v>
      </c>
      <c r="O28" s="48">
        <v>44228</v>
      </c>
      <c r="P28">
        <v>29293</v>
      </c>
      <c r="Q28" t="s">
        <v>123</v>
      </c>
    </row>
    <row r="29" spans="3:29" x14ac:dyDescent="0.75">
      <c r="L29" t="s">
        <v>88</v>
      </c>
      <c r="M29" t="s">
        <v>89</v>
      </c>
      <c r="N29" t="s">
        <v>90</v>
      </c>
      <c r="O29" s="48">
        <v>44256</v>
      </c>
      <c r="P29">
        <v>46872</v>
      </c>
      <c r="Q29" t="s">
        <v>123</v>
      </c>
    </row>
    <row r="30" spans="3:29" x14ac:dyDescent="0.75">
      <c r="L30" t="s">
        <v>88</v>
      </c>
      <c r="M30" t="s">
        <v>89</v>
      </c>
      <c r="N30" t="s">
        <v>90</v>
      </c>
      <c r="O30" s="48">
        <v>44287</v>
      </c>
      <c r="P30">
        <v>42252</v>
      </c>
      <c r="Q30" t="s">
        <v>123</v>
      </c>
    </row>
    <row r="31" spans="3:29" x14ac:dyDescent="0.75">
      <c r="L31" t="s">
        <v>88</v>
      </c>
      <c r="M31" t="s">
        <v>89</v>
      </c>
      <c r="N31" t="s">
        <v>90</v>
      </c>
      <c r="O31" s="48">
        <v>44317</v>
      </c>
      <c r="P31">
        <v>44445</v>
      </c>
      <c r="Q31" t="s">
        <v>123</v>
      </c>
    </row>
    <row r="32" spans="3:29" x14ac:dyDescent="0.75">
      <c r="L32" t="s">
        <v>88</v>
      </c>
      <c r="M32" t="s">
        <v>89</v>
      </c>
      <c r="N32" t="s">
        <v>90</v>
      </c>
      <c r="O32" s="48">
        <v>44348</v>
      </c>
      <c r="P32">
        <v>48037</v>
      </c>
      <c r="Q32" t="s">
        <v>123</v>
      </c>
    </row>
    <row r="33" spans="12:17" x14ac:dyDescent="0.75">
      <c r="L33" t="s">
        <v>88</v>
      </c>
      <c r="M33" t="s">
        <v>89</v>
      </c>
      <c r="N33" t="s">
        <v>90</v>
      </c>
      <c r="O33" s="48">
        <v>44378</v>
      </c>
      <c r="P33">
        <v>54188</v>
      </c>
      <c r="Q33" t="s">
        <v>123</v>
      </c>
    </row>
    <row r="34" spans="12:17" x14ac:dyDescent="0.75">
      <c r="L34" t="s">
        <v>88</v>
      </c>
      <c r="M34" t="s">
        <v>89</v>
      </c>
      <c r="N34" t="s">
        <v>90</v>
      </c>
      <c r="O34" s="48">
        <v>44409</v>
      </c>
      <c r="P34">
        <v>51084</v>
      </c>
      <c r="Q34" t="s">
        <v>123</v>
      </c>
    </row>
    <row r="35" spans="12:17" x14ac:dyDescent="0.75">
      <c r="L35" t="s">
        <v>88</v>
      </c>
      <c r="M35" t="s">
        <v>89</v>
      </c>
      <c r="N35" t="s">
        <v>90</v>
      </c>
      <c r="O35" s="48">
        <v>44440</v>
      </c>
      <c r="P35">
        <v>42152</v>
      </c>
      <c r="Q35" t="s">
        <v>123</v>
      </c>
    </row>
    <row r="36" spans="12:17" x14ac:dyDescent="0.75">
      <c r="L36" t="s">
        <v>88</v>
      </c>
      <c r="M36" t="s">
        <v>89</v>
      </c>
      <c r="N36" t="s">
        <v>90</v>
      </c>
      <c r="O36" s="48">
        <v>44470</v>
      </c>
      <c r="P36">
        <v>53612</v>
      </c>
      <c r="Q36" t="s">
        <v>123</v>
      </c>
    </row>
    <row r="37" spans="12:17" x14ac:dyDescent="0.75">
      <c r="L37" t="s">
        <v>88</v>
      </c>
      <c r="M37" t="s">
        <v>89</v>
      </c>
      <c r="N37" t="s">
        <v>90</v>
      </c>
      <c r="O37" s="48">
        <v>44501</v>
      </c>
      <c r="P37">
        <v>48819</v>
      </c>
      <c r="Q37" t="s">
        <v>123</v>
      </c>
    </row>
    <row r="38" spans="12:17" x14ac:dyDescent="0.75">
      <c r="L38" t="s">
        <v>88</v>
      </c>
      <c r="M38" t="s">
        <v>89</v>
      </c>
      <c r="N38" t="s">
        <v>90</v>
      </c>
      <c r="O38" s="48">
        <v>44531</v>
      </c>
      <c r="P38">
        <v>64055</v>
      </c>
      <c r="Q38" t="s">
        <v>123</v>
      </c>
    </row>
    <row r="39" spans="12:17" x14ac:dyDescent="0.75">
      <c r="L39" t="s">
        <v>88</v>
      </c>
      <c r="M39" t="s">
        <v>89</v>
      </c>
      <c r="N39" t="s">
        <v>90</v>
      </c>
      <c r="O39" s="48">
        <v>44562</v>
      </c>
      <c r="P39">
        <v>52103</v>
      </c>
      <c r="Q39" t="s">
        <v>123</v>
      </c>
    </row>
    <row r="40" spans="12:17" x14ac:dyDescent="0.75">
      <c r="L40" t="s">
        <v>88</v>
      </c>
      <c r="M40" t="s">
        <v>89</v>
      </c>
      <c r="N40" t="s">
        <v>90</v>
      </c>
      <c r="O40" s="48">
        <v>44593</v>
      </c>
      <c r="P40">
        <v>54141</v>
      </c>
      <c r="Q40" t="s">
        <v>123</v>
      </c>
    </row>
    <row r="41" spans="12:17" x14ac:dyDescent="0.75">
      <c r="L41" t="s">
        <v>88</v>
      </c>
      <c r="M41" t="s">
        <v>89</v>
      </c>
      <c r="N41" t="s">
        <v>90</v>
      </c>
      <c r="O41" s="48">
        <v>44621</v>
      </c>
      <c r="P41">
        <v>61093</v>
      </c>
      <c r="Q41" t="s">
        <v>123</v>
      </c>
    </row>
    <row r="42" spans="12:17" x14ac:dyDescent="0.75">
      <c r="L42" t="s">
        <v>88</v>
      </c>
      <c r="M42" t="s">
        <v>89</v>
      </c>
      <c r="N42" t="s">
        <v>90</v>
      </c>
      <c r="O42" s="48">
        <v>44652</v>
      </c>
      <c r="P42">
        <v>66405</v>
      </c>
      <c r="Q42" t="s">
        <v>123</v>
      </c>
    </row>
    <row r="43" spans="12:17" x14ac:dyDescent="0.75">
      <c r="L43" t="s">
        <v>88</v>
      </c>
      <c r="M43" t="s">
        <v>89</v>
      </c>
      <c r="N43" t="s">
        <v>90</v>
      </c>
      <c r="O43" s="48">
        <v>44682</v>
      </c>
      <c r="P43">
        <v>73638</v>
      </c>
      <c r="Q43" t="s">
        <v>123</v>
      </c>
    </row>
    <row r="44" spans="12:17" x14ac:dyDescent="0.75">
      <c r="L44" t="s">
        <v>88</v>
      </c>
      <c r="M44" t="s">
        <v>89</v>
      </c>
      <c r="N44" t="s">
        <v>90</v>
      </c>
      <c r="O44" s="48">
        <v>44713</v>
      </c>
      <c r="P44">
        <v>59788</v>
      </c>
      <c r="Q44" t="s">
        <v>123</v>
      </c>
    </row>
    <row r="45" spans="12:17" x14ac:dyDescent="0.75">
      <c r="L45" t="s">
        <v>88</v>
      </c>
      <c r="M45" t="s">
        <v>89</v>
      </c>
      <c r="N45" t="s">
        <v>90</v>
      </c>
      <c r="O45" s="48">
        <v>44743</v>
      </c>
      <c r="P45">
        <v>60020</v>
      </c>
      <c r="Q45" t="s">
        <v>123</v>
      </c>
    </row>
    <row r="46" spans="12:17" x14ac:dyDescent="0.75">
      <c r="L46" t="s">
        <v>88</v>
      </c>
      <c r="M46" t="s">
        <v>89</v>
      </c>
      <c r="N46" t="s">
        <v>90</v>
      </c>
      <c r="O46" s="48">
        <v>44774</v>
      </c>
      <c r="P46">
        <v>55630</v>
      </c>
      <c r="Q46" t="s">
        <v>123</v>
      </c>
    </row>
    <row r="47" spans="12:17" x14ac:dyDescent="0.75">
      <c r="L47" t="s">
        <v>88</v>
      </c>
      <c r="M47" t="s">
        <v>89</v>
      </c>
      <c r="N47" t="s">
        <v>90</v>
      </c>
      <c r="O47" s="48">
        <v>44805</v>
      </c>
      <c r="P47">
        <v>60490</v>
      </c>
      <c r="Q47" t="s">
        <v>123</v>
      </c>
    </row>
    <row r="48" spans="12:17" x14ac:dyDescent="0.75">
      <c r="L48" t="s">
        <v>88</v>
      </c>
      <c r="M48" t="s">
        <v>89</v>
      </c>
      <c r="N48" t="s">
        <v>90</v>
      </c>
      <c r="O48" s="48">
        <v>44835</v>
      </c>
      <c r="P48">
        <v>69675</v>
      </c>
      <c r="Q48" t="s">
        <v>123</v>
      </c>
    </row>
    <row r="49" spans="12:17" x14ac:dyDescent="0.75">
      <c r="L49" t="s">
        <v>88</v>
      </c>
      <c r="M49" t="s">
        <v>89</v>
      </c>
      <c r="N49" t="s">
        <v>90</v>
      </c>
      <c r="O49" s="48">
        <v>44866</v>
      </c>
      <c r="P49">
        <v>55312</v>
      </c>
      <c r="Q49" t="s">
        <v>123</v>
      </c>
    </row>
    <row r="50" spans="12:17" x14ac:dyDescent="0.75">
      <c r="L50" t="s">
        <v>88</v>
      </c>
      <c r="M50" t="s">
        <v>89</v>
      </c>
      <c r="N50" t="s">
        <v>90</v>
      </c>
      <c r="O50" s="48">
        <v>44896</v>
      </c>
      <c r="P50">
        <v>50389</v>
      </c>
      <c r="Q50" t="s">
        <v>123</v>
      </c>
    </row>
    <row r="51" spans="12:17" x14ac:dyDescent="0.75">
      <c r="L51" t="s">
        <v>88</v>
      </c>
      <c r="M51" t="s">
        <v>89</v>
      </c>
      <c r="N51" t="s">
        <v>90</v>
      </c>
      <c r="O51" s="48">
        <v>44927</v>
      </c>
      <c r="P51">
        <v>44946</v>
      </c>
      <c r="Q51" t="s">
        <v>123</v>
      </c>
    </row>
    <row r="52" spans="12:17" x14ac:dyDescent="0.75">
      <c r="L52" t="s">
        <v>88</v>
      </c>
      <c r="M52" t="s">
        <v>89</v>
      </c>
      <c r="N52" t="s">
        <v>90</v>
      </c>
      <c r="O52" s="48">
        <v>44958</v>
      </c>
      <c r="P52">
        <v>42536</v>
      </c>
      <c r="Q52" t="s">
        <v>123</v>
      </c>
    </row>
    <row r="53" spans="12:17" x14ac:dyDescent="0.75">
      <c r="L53" t="s">
        <v>88</v>
      </c>
      <c r="M53" t="s">
        <v>89</v>
      </c>
      <c r="N53" t="s">
        <v>90</v>
      </c>
      <c r="O53" s="48">
        <v>44986</v>
      </c>
      <c r="P53">
        <v>39248</v>
      </c>
      <c r="Q53" t="s">
        <v>123</v>
      </c>
    </row>
    <row r="54" spans="12:17" x14ac:dyDescent="0.75">
      <c r="L54" t="s">
        <v>88</v>
      </c>
      <c r="M54" t="s">
        <v>89</v>
      </c>
      <c r="N54" t="s">
        <v>90</v>
      </c>
      <c r="O54" s="48">
        <v>45017</v>
      </c>
      <c r="P54">
        <v>48172</v>
      </c>
      <c r="Q54" t="s">
        <v>123</v>
      </c>
    </row>
    <row r="55" spans="12:17" x14ac:dyDescent="0.75">
      <c r="L55" t="s">
        <v>88</v>
      </c>
      <c r="M55" t="s">
        <v>89</v>
      </c>
      <c r="N55" t="s">
        <v>90</v>
      </c>
      <c r="O55" s="48">
        <v>45047</v>
      </c>
      <c r="P55">
        <v>41185</v>
      </c>
      <c r="Q55" t="s">
        <v>123</v>
      </c>
    </row>
    <row r="56" spans="12:17" x14ac:dyDescent="0.75">
      <c r="L56" t="s">
        <v>88</v>
      </c>
      <c r="M56" t="s">
        <v>89</v>
      </c>
      <c r="N56" t="s">
        <v>90</v>
      </c>
      <c r="O56" s="48">
        <v>45078</v>
      </c>
      <c r="P56">
        <v>44794</v>
      </c>
      <c r="Q56" t="s">
        <v>123</v>
      </c>
    </row>
    <row r="57" spans="12:17" x14ac:dyDescent="0.75">
      <c r="L57" t="s">
        <v>88</v>
      </c>
      <c r="M57" t="s">
        <v>89</v>
      </c>
      <c r="N57" t="s">
        <v>90</v>
      </c>
      <c r="O57" s="48">
        <v>45108</v>
      </c>
      <c r="P57">
        <v>45272</v>
      </c>
      <c r="Q57" t="s">
        <v>123</v>
      </c>
    </row>
    <row r="58" spans="12:17" x14ac:dyDescent="0.75">
      <c r="L58" t="s">
        <v>88</v>
      </c>
      <c r="M58" t="s">
        <v>89</v>
      </c>
      <c r="N58" t="s">
        <v>90</v>
      </c>
      <c r="O58" s="48">
        <v>45139</v>
      </c>
      <c r="P58">
        <v>43116</v>
      </c>
      <c r="Q58" t="s">
        <v>123</v>
      </c>
    </row>
    <row r="59" spans="12:17" x14ac:dyDescent="0.75">
      <c r="L59" t="s">
        <v>88</v>
      </c>
      <c r="M59" t="s">
        <v>89</v>
      </c>
      <c r="N59" t="s">
        <v>90</v>
      </c>
      <c r="O59" s="48">
        <v>45170</v>
      </c>
      <c r="P59">
        <v>43804</v>
      </c>
      <c r="Q59" t="s">
        <v>123</v>
      </c>
    </row>
    <row r="60" spans="12:17" x14ac:dyDescent="0.75">
      <c r="L60" t="s">
        <v>88</v>
      </c>
      <c r="M60" t="s">
        <v>89</v>
      </c>
      <c r="N60" t="s">
        <v>90</v>
      </c>
      <c r="O60" s="48">
        <v>45200</v>
      </c>
      <c r="P60">
        <v>50843</v>
      </c>
      <c r="Q60" t="s">
        <v>123</v>
      </c>
    </row>
    <row r="61" spans="12:17" x14ac:dyDescent="0.75">
      <c r="L61" t="s">
        <v>88</v>
      </c>
      <c r="M61" t="s">
        <v>89</v>
      </c>
      <c r="N61" t="s">
        <v>90</v>
      </c>
      <c r="O61" s="48">
        <v>45231</v>
      </c>
      <c r="P61">
        <v>41323</v>
      </c>
      <c r="Q61" t="s">
        <v>123</v>
      </c>
    </row>
    <row r="62" spans="12:17" x14ac:dyDescent="0.75">
      <c r="L62" t="s">
        <v>88</v>
      </c>
      <c r="M62" t="s">
        <v>89</v>
      </c>
      <c r="N62" t="s">
        <v>90</v>
      </c>
      <c r="O62" s="48">
        <v>45261</v>
      </c>
      <c r="P62">
        <v>45752</v>
      </c>
      <c r="Q62" t="s">
        <v>123</v>
      </c>
    </row>
    <row r="63" spans="12:17" x14ac:dyDescent="0.75">
      <c r="L63" t="s">
        <v>88</v>
      </c>
      <c r="M63" t="s">
        <v>89</v>
      </c>
      <c r="N63" t="s">
        <v>90</v>
      </c>
      <c r="O63" s="48">
        <v>45292</v>
      </c>
      <c r="P63">
        <v>44556</v>
      </c>
      <c r="Q63" t="s">
        <v>123</v>
      </c>
    </row>
    <row r="64" spans="12:17" x14ac:dyDescent="0.75">
      <c r="L64" t="s">
        <v>88</v>
      </c>
      <c r="M64" t="s">
        <v>89</v>
      </c>
      <c r="N64" t="s">
        <v>90</v>
      </c>
      <c r="O64" s="48">
        <v>45323</v>
      </c>
      <c r="P64">
        <v>37198</v>
      </c>
      <c r="Q64" t="s">
        <v>123</v>
      </c>
    </row>
    <row r="65" spans="12:17" x14ac:dyDescent="0.75">
      <c r="L65" t="s">
        <v>88</v>
      </c>
      <c r="M65" t="s">
        <v>89</v>
      </c>
      <c r="N65" t="s">
        <v>90</v>
      </c>
      <c r="O65" s="48">
        <v>45352</v>
      </c>
      <c r="P65">
        <v>47511</v>
      </c>
      <c r="Q65" t="s">
        <v>123</v>
      </c>
    </row>
    <row r="66" spans="12:17" x14ac:dyDescent="0.75">
      <c r="L66" t="s">
        <v>88</v>
      </c>
      <c r="M66" t="s">
        <v>89</v>
      </c>
      <c r="N66" t="s">
        <v>90</v>
      </c>
      <c r="O66" s="48">
        <v>45383</v>
      </c>
      <c r="P66">
        <v>47424</v>
      </c>
      <c r="Q66" t="s">
        <v>123</v>
      </c>
    </row>
    <row r="67" spans="12:17" x14ac:dyDescent="0.75">
      <c r="L67" t="s">
        <v>88</v>
      </c>
      <c r="M67" t="s">
        <v>89</v>
      </c>
      <c r="N67" t="s">
        <v>90</v>
      </c>
      <c r="O67" s="48">
        <v>45413</v>
      </c>
      <c r="P67">
        <v>37362</v>
      </c>
      <c r="Q67" t="s">
        <v>123</v>
      </c>
    </row>
    <row r="68" spans="12:17" x14ac:dyDescent="0.75">
      <c r="L68" t="s">
        <v>88</v>
      </c>
      <c r="M68" t="s">
        <v>89</v>
      </c>
      <c r="N68" t="s">
        <v>90</v>
      </c>
      <c r="O68" s="48">
        <v>45444</v>
      </c>
      <c r="P68">
        <v>48017</v>
      </c>
      <c r="Q68" t="s">
        <v>123</v>
      </c>
    </row>
    <row r="69" spans="12:17" x14ac:dyDescent="0.75">
      <c r="L69" t="s">
        <v>88</v>
      </c>
      <c r="M69" t="s">
        <v>89</v>
      </c>
      <c r="N69" t="s">
        <v>90</v>
      </c>
      <c r="O69" s="48">
        <v>45474</v>
      </c>
      <c r="P69">
        <v>56512</v>
      </c>
      <c r="Q69" t="s">
        <v>123</v>
      </c>
    </row>
    <row r="70" spans="12:17" x14ac:dyDescent="0.75">
      <c r="L70" t="s">
        <v>88</v>
      </c>
      <c r="M70" t="s">
        <v>89</v>
      </c>
      <c r="N70" t="s">
        <v>90</v>
      </c>
      <c r="O70" s="48">
        <v>45505</v>
      </c>
      <c r="P70">
        <v>46916</v>
      </c>
      <c r="Q70" t="s">
        <v>123</v>
      </c>
    </row>
    <row r="71" spans="12:17" x14ac:dyDescent="0.75">
      <c r="L71" t="s">
        <v>88</v>
      </c>
      <c r="M71" t="s">
        <v>89</v>
      </c>
      <c r="N71" t="s">
        <v>90</v>
      </c>
      <c r="O71" s="48">
        <v>45536</v>
      </c>
      <c r="P71">
        <v>46735</v>
      </c>
      <c r="Q71" t="s">
        <v>123</v>
      </c>
    </row>
    <row r="72" spans="12:17" x14ac:dyDescent="0.75">
      <c r="L72" t="s">
        <v>88</v>
      </c>
      <c r="M72" t="s">
        <v>89</v>
      </c>
      <c r="N72" t="s">
        <v>90</v>
      </c>
      <c r="O72" s="48">
        <v>45566</v>
      </c>
      <c r="P72">
        <v>59268</v>
      </c>
      <c r="Q72" t="s">
        <v>123</v>
      </c>
    </row>
    <row r="73" spans="12:17" x14ac:dyDescent="0.75">
      <c r="L73" t="s">
        <v>88</v>
      </c>
      <c r="M73" t="s">
        <v>89</v>
      </c>
      <c r="N73" t="s">
        <v>90</v>
      </c>
      <c r="O73" s="48">
        <v>45597</v>
      </c>
      <c r="P73">
        <v>50698</v>
      </c>
      <c r="Q73" t="s">
        <v>123</v>
      </c>
    </row>
    <row r="74" spans="12:17" x14ac:dyDescent="0.75">
      <c r="L74" t="s">
        <v>88</v>
      </c>
      <c r="M74" t="s">
        <v>89</v>
      </c>
      <c r="N74" t="s">
        <v>90</v>
      </c>
      <c r="O74" s="48">
        <v>45627</v>
      </c>
      <c r="P74">
        <v>49678</v>
      </c>
      <c r="Q74" t="s">
        <v>123</v>
      </c>
    </row>
    <row r="75" spans="12:17" x14ac:dyDescent="0.75">
      <c r="L75" t="s">
        <v>88</v>
      </c>
      <c r="M75" t="s">
        <v>89</v>
      </c>
      <c r="N75" t="s">
        <v>90</v>
      </c>
      <c r="O75" s="48">
        <v>45658</v>
      </c>
      <c r="P75">
        <v>52214</v>
      </c>
      <c r="Q75" t="s">
        <v>123</v>
      </c>
    </row>
    <row r="76" spans="12:17" x14ac:dyDescent="0.75">
      <c r="L76" t="s">
        <v>88</v>
      </c>
      <c r="M76" t="s">
        <v>89</v>
      </c>
      <c r="N76" t="s">
        <v>90</v>
      </c>
      <c r="O76" s="48">
        <v>45689</v>
      </c>
      <c r="P76">
        <v>56883</v>
      </c>
      <c r="Q76" t="s">
        <v>123</v>
      </c>
    </row>
    <row r="77" spans="12:17" x14ac:dyDescent="0.75">
      <c r="L77" t="s">
        <v>88</v>
      </c>
      <c r="M77" t="s">
        <v>89</v>
      </c>
      <c r="N77" t="s">
        <v>90</v>
      </c>
      <c r="O77" s="48">
        <v>45717</v>
      </c>
      <c r="P77">
        <v>64613</v>
      </c>
      <c r="Q77" t="s">
        <v>123</v>
      </c>
    </row>
    <row r="78" spans="12:17" x14ac:dyDescent="0.75">
      <c r="L78" t="s">
        <v>88</v>
      </c>
      <c r="M78" t="s">
        <v>89</v>
      </c>
      <c r="N78" t="s">
        <v>90</v>
      </c>
      <c r="O78" s="48">
        <v>45748</v>
      </c>
      <c r="P78">
        <v>63857</v>
      </c>
      <c r="Q78" t="s">
        <v>123</v>
      </c>
    </row>
    <row r="79" spans="12:17" x14ac:dyDescent="0.75">
      <c r="L79" t="s">
        <v>88</v>
      </c>
      <c r="M79" t="s">
        <v>89</v>
      </c>
      <c r="N79" t="s">
        <v>90</v>
      </c>
      <c r="O79" s="48">
        <v>45778</v>
      </c>
      <c r="P79">
        <v>55208</v>
      </c>
      <c r="Q79" t="s">
        <v>123</v>
      </c>
    </row>
    <row r="80" spans="12:17" x14ac:dyDescent="0.75">
      <c r="L80" t="s">
        <v>102</v>
      </c>
      <c r="M80" t="s">
        <v>110</v>
      </c>
      <c r="N80" t="s">
        <v>111</v>
      </c>
      <c r="O80" s="48">
        <v>43466</v>
      </c>
      <c r="P80">
        <v>20698</v>
      </c>
      <c r="Q80" t="s">
        <v>123</v>
      </c>
    </row>
    <row r="81" spans="12:17" x14ac:dyDescent="0.75">
      <c r="L81" t="s">
        <v>102</v>
      </c>
      <c r="M81" t="s">
        <v>110</v>
      </c>
      <c r="N81" t="s">
        <v>111</v>
      </c>
      <c r="O81" s="48">
        <v>43497</v>
      </c>
      <c r="P81">
        <v>15322</v>
      </c>
      <c r="Q81" t="s">
        <v>123</v>
      </c>
    </row>
    <row r="82" spans="12:17" x14ac:dyDescent="0.75">
      <c r="L82" t="s">
        <v>102</v>
      </c>
      <c r="M82" t="s">
        <v>110</v>
      </c>
      <c r="N82" t="s">
        <v>111</v>
      </c>
      <c r="O82" s="48">
        <v>43525</v>
      </c>
      <c r="P82">
        <v>17489</v>
      </c>
      <c r="Q82" t="s">
        <v>123</v>
      </c>
    </row>
    <row r="83" spans="12:17" x14ac:dyDescent="0.75">
      <c r="L83" t="s">
        <v>102</v>
      </c>
      <c r="M83" t="s">
        <v>110</v>
      </c>
      <c r="N83" t="s">
        <v>111</v>
      </c>
      <c r="O83" s="48">
        <v>43556</v>
      </c>
      <c r="P83">
        <v>18230</v>
      </c>
      <c r="Q83" t="s">
        <v>123</v>
      </c>
    </row>
    <row r="84" spans="12:17" x14ac:dyDescent="0.75">
      <c r="L84" t="s">
        <v>102</v>
      </c>
      <c r="M84" t="s">
        <v>110</v>
      </c>
      <c r="N84" t="s">
        <v>111</v>
      </c>
      <c r="O84" s="48">
        <v>43586</v>
      </c>
      <c r="P84">
        <v>17953</v>
      </c>
      <c r="Q84" t="s">
        <v>123</v>
      </c>
    </row>
    <row r="85" spans="12:17" x14ac:dyDescent="0.75">
      <c r="L85" t="s">
        <v>102</v>
      </c>
      <c r="M85" t="s">
        <v>110</v>
      </c>
      <c r="N85" t="s">
        <v>111</v>
      </c>
      <c r="O85" s="48">
        <v>43617</v>
      </c>
      <c r="P85">
        <v>19897</v>
      </c>
      <c r="Q85" t="s">
        <v>123</v>
      </c>
    </row>
    <row r="86" spans="12:17" x14ac:dyDescent="0.75">
      <c r="L86" t="s">
        <v>102</v>
      </c>
      <c r="M86" t="s">
        <v>110</v>
      </c>
      <c r="N86" t="s">
        <v>111</v>
      </c>
      <c r="O86" s="48">
        <v>43647</v>
      </c>
      <c r="P86">
        <v>24035</v>
      </c>
      <c r="Q86" t="s">
        <v>123</v>
      </c>
    </row>
    <row r="87" spans="12:17" x14ac:dyDescent="0.75">
      <c r="L87" t="s">
        <v>102</v>
      </c>
      <c r="M87" t="s">
        <v>110</v>
      </c>
      <c r="N87" t="s">
        <v>111</v>
      </c>
      <c r="O87" s="48">
        <v>43678</v>
      </c>
      <c r="P87">
        <v>22418</v>
      </c>
      <c r="Q87" t="s">
        <v>123</v>
      </c>
    </row>
    <row r="88" spans="12:17" x14ac:dyDescent="0.75">
      <c r="L88" t="s">
        <v>102</v>
      </c>
      <c r="M88" t="s">
        <v>110</v>
      </c>
      <c r="N88" t="s">
        <v>111</v>
      </c>
      <c r="O88" s="48">
        <v>43709</v>
      </c>
      <c r="P88">
        <v>20777</v>
      </c>
      <c r="Q88" t="s">
        <v>123</v>
      </c>
    </row>
    <row r="89" spans="12:17" x14ac:dyDescent="0.75">
      <c r="L89" t="s">
        <v>102</v>
      </c>
      <c r="M89" t="s">
        <v>110</v>
      </c>
      <c r="N89" t="s">
        <v>111</v>
      </c>
      <c r="O89" s="48">
        <v>43739</v>
      </c>
      <c r="P89">
        <v>20904</v>
      </c>
      <c r="Q89" t="s">
        <v>123</v>
      </c>
    </row>
    <row r="90" spans="12:17" x14ac:dyDescent="0.75">
      <c r="L90" t="s">
        <v>102</v>
      </c>
      <c r="M90" t="s">
        <v>110</v>
      </c>
      <c r="N90" t="s">
        <v>111</v>
      </c>
      <c r="O90" s="48">
        <v>43770</v>
      </c>
      <c r="P90">
        <v>14129</v>
      </c>
      <c r="Q90" t="s">
        <v>123</v>
      </c>
    </row>
    <row r="91" spans="12:17" x14ac:dyDescent="0.75">
      <c r="L91" t="s">
        <v>102</v>
      </c>
      <c r="M91" t="s">
        <v>110</v>
      </c>
      <c r="N91" t="s">
        <v>111</v>
      </c>
      <c r="O91" s="48">
        <v>43800</v>
      </c>
      <c r="P91">
        <v>15322</v>
      </c>
      <c r="Q91" t="s">
        <v>123</v>
      </c>
    </row>
    <row r="92" spans="12:17" x14ac:dyDescent="0.75">
      <c r="L92" t="s">
        <v>102</v>
      </c>
      <c r="M92" t="s">
        <v>110</v>
      </c>
      <c r="N92" t="s">
        <v>111</v>
      </c>
      <c r="O92" s="48">
        <v>43831</v>
      </c>
      <c r="P92">
        <v>14692</v>
      </c>
      <c r="Q92" t="s">
        <v>123</v>
      </c>
    </row>
    <row r="93" spans="12:17" x14ac:dyDescent="0.75">
      <c r="L93" t="s">
        <v>102</v>
      </c>
      <c r="M93" t="s">
        <v>110</v>
      </c>
      <c r="N93" t="s">
        <v>111</v>
      </c>
      <c r="O93" s="48">
        <v>43862</v>
      </c>
      <c r="P93">
        <v>10137</v>
      </c>
      <c r="Q93" t="s">
        <v>123</v>
      </c>
    </row>
    <row r="94" spans="12:17" x14ac:dyDescent="0.75">
      <c r="L94" t="s">
        <v>102</v>
      </c>
      <c r="M94" t="s">
        <v>110</v>
      </c>
      <c r="N94" t="s">
        <v>111</v>
      </c>
      <c r="O94" s="48">
        <v>43891</v>
      </c>
      <c r="P94">
        <v>8118</v>
      </c>
      <c r="Q94" t="s">
        <v>123</v>
      </c>
    </row>
    <row r="95" spans="12:17" x14ac:dyDescent="0.75">
      <c r="L95" t="s">
        <v>102</v>
      </c>
      <c r="M95" t="s">
        <v>110</v>
      </c>
      <c r="N95" t="s">
        <v>111</v>
      </c>
      <c r="O95" s="48">
        <v>43922</v>
      </c>
      <c r="P95">
        <v>11276</v>
      </c>
      <c r="Q95" t="s">
        <v>123</v>
      </c>
    </row>
    <row r="96" spans="12:17" x14ac:dyDescent="0.75">
      <c r="L96" t="s">
        <v>102</v>
      </c>
      <c r="M96" t="s">
        <v>110</v>
      </c>
      <c r="N96" t="s">
        <v>111</v>
      </c>
      <c r="O96" s="48">
        <v>43952</v>
      </c>
      <c r="P96">
        <v>13244</v>
      </c>
      <c r="Q96" t="s">
        <v>123</v>
      </c>
    </row>
    <row r="97" spans="12:17" x14ac:dyDescent="0.75">
      <c r="L97" t="s">
        <v>102</v>
      </c>
      <c r="M97" t="s">
        <v>110</v>
      </c>
      <c r="N97" t="s">
        <v>111</v>
      </c>
      <c r="O97" s="48">
        <v>43983</v>
      </c>
      <c r="P97">
        <v>9392</v>
      </c>
      <c r="Q97" t="s">
        <v>123</v>
      </c>
    </row>
    <row r="98" spans="12:17" x14ac:dyDescent="0.75">
      <c r="L98" t="s">
        <v>102</v>
      </c>
      <c r="M98" t="s">
        <v>110</v>
      </c>
      <c r="N98" t="s">
        <v>111</v>
      </c>
      <c r="O98" s="48">
        <v>44013</v>
      </c>
      <c r="P98">
        <v>12212</v>
      </c>
      <c r="Q98" t="s">
        <v>123</v>
      </c>
    </row>
    <row r="99" spans="12:17" x14ac:dyDescent="0.75">
      <c r="L99" t="s">
        <v>102</v>
      </c>
      <c r="M99" t="s">
        <v>110</v>
      </c>
      <c r="N99" t="s">
        <v>111</v>
      </c>
      <c r="O99" s="48">
        <v>44044</v>
      </c>
      <c r="P99">
        <v>21394</v>
      </c>
      <c r="Q99" t="s">
        <v>123</v>
      </c>
    </row>
    <row r="100" spans="12:17" x14ac:dyDescent="0.75">
      <c r="L100" t="s">
        <v>102</v>
      </c>
      <c r="M100" t="s">
        <v>110</v>
      </c>
      <c r="N100" t="s">
        <v>111</v>
      </c>
      <c r="O100" s="48">
        <v>44075</v>
      </c>
      <c r="P100">
        <v>29781</v>
      </c>
      <c r="Q100" t="s">
        <v>123</v>
      </c>
    </row>
    <row r="101" spans="12:17" x14ac:dyDescent="0.75">
      <c r="L101" t="s">
        <v>102</v>
      </c>
      <c r="M101" t="s">
        <v>110</v>
      </c>
      <c r="N101" t="s">
        <v>111</v>
      </c>
      <c r="O101" s="48">
        <v>44105</v>
      </c>
      <c r="P101">
        <v>50979</v>
      </c>
      <c r="Q101" t="s">
        <v>123</v>
      </c>
    </row>
    <row r="102" spans="12:17" x14ac:dyDescent="0.75">
      <c r="L102" t="s">
        <v>102</v>
      </c>
      <c r="M102" t="s">
        <v>110</v>
      </c>
      <c r="N102" t="s">
        <v>111</v>
      </c>
      <c r="O102" s="48">
        <v>44136</v>
      </c>
      <c r="P102">
        <v>29682</v>
      </c>
      <c r="Q102" t="s">
        <v>123</v>
      </c>
    </row>
    <row r="103" spans="12:17" x14ac:dyDescent="0.75">
      <c r="L103" t="s">
        <v>102</v>
      </c>
      <c r="M103" t="s">
        <v>110</v>
      </c>
      <c r="N103" t="s">
        <v>111</v>
      </c>
      <c r="O103" s="48">
        <v>44166</v>
      </c>
      <c r="P103">
        <v>26619</v>
      </c>
      <c r="Q103" t="s">
        <v>123</v>
      </c>
    </row>
    <row r="104" spans="12:17" x14ac:dyDescent="0.75">
      <c r="L104" t="s">
        <v>102</v>
      </c>
      <c r="M104" t="s">
        <v>110</v>
      </c>
      <c r="N104" t="s">
        <v>111</v>
      </c>
      <c r="O104" s="48">
        <v>44197</v>
      </c>
      <c r="P104">
        <v>23503</v>
      </c>
      <c r="Q104" t="s">
        <v>123</v>
      </c>
    </row>
    <row r="105" spans="12:17" x14ac:dyDescent="0.75">
      <c r="L105" t="s">
        <v>102</v>
      </c>
      <c r="M105" t="s">
        <v>110</v>
      </c>
      <c r="N105" t="s">
        <v>111</v>
      </c>
      <c r="O105" s="48">
        <v>44228</v>
      </c>
      <c r="P105">
        <v>17227</v>
      </c>
      <c r="Q105" t="s">
        <v>123</v>
      </c>
    </row>
    <row r="106" spans="12:17" x14ac:dyDescent="0.75">
      <c r="L106" t="s">
        <v>102</v>
      </c>
      <c r="M106" t="s">
        <v>110</v>
      </c>
      <c r="N106" t="s">
        <v>111</v>
      </c>
      <c r="O106" s="48">
        <v>44256</v>
      </c>
      <c r="P106">
        <v>37869</v>
      </c>
      <c r="Q106" t="s">
        <v>123</v>
      </c>
    </row>
    <row r="107" spans="12:17" x14ac:dyDescent="0.75">
      <c r="L107" t="s">
        <v>102</v>
      </c>
      <c r="M107" t="s">
        <v>110</v>
      </c>
      <c r="N107" t="s">
        <v>111</v>
      </c>
      <c r="O107" s="48">
        <v>44287</v>
      </c>
      <c r="P107">
        <v>40809</v>
      </c>
      <c r="Q107" t="s">
        <v>123</v>
      </c>
    </row>
    <row r="108" spans="12:17" x14ac:dyDescent="0.75">
      <c r="L108" t="s">
        <v>102</v>
      </c>
      <c r="M108" t="s">
        <v>110</v>
      </c>
      <c r="N108" t="s">
        <v>111</v>
      </c>
      <c r="O108" s="48">
        <v>44317</v>
      </c>
      <c r="P108">
        <v>51202</v>
      </c>
      <c r="Q108" t="s">
        <v>123</v>
      </c>
    </row>
    <row r="109" spans="12:17" x14ac:dyDescent="0.75">
      <c r="L109" t="s">
        <v>102</v>
      </c>
      <c r="M109" t="s">
        <v>110</v>
      </c>
      <c r="N109" t="s">
        <v>111</v>
      </c>
      <c r="O109" s="48">
        <v>44348</v>
      </c>
      <c r="P109">
        <v>56337</v>
      </c>
      <c r="Q109" t="s">
        <v>123</v>
      </c>
    </row>
    <row r="110" spans="12:17" x14ac:dyDescent="0.75">
      <c r="L110" t="s">
        <v>102</v>
      </c>
      <c r="M110" t="s">
        <v>110</v>
      </c>
      <c r="N110" t="s">
        <v>111</v>
      </c>
      <c r="O110" s="48">
        <v>44378</v>
      </c>
      <c r="P110">
        <v>75964</v>
      </c>
      <c r="Q110" t="s">
        <v>123</v>
      </c>
    </row>
    <row r="111" spans="12:17" x14ac:dyDescent="0.75">
      <c r="L111" t="s">
        <v>102</v>
      </c>
      <c r="M111" t="s">
        <v>110</v>
      </c>
      <c r="N111" t="s">
        <v>111</v>
      </c>
      <c r="O111" s="48">
        <v>44409</v>
      </c>
      <c r="P111">
        <v>65983</v>
      </c>
      <c r="Q111" t="s">
        <v>123</v>
      </c>
    </row>
    <row r="112" spans="12:17" x14ac:dyDescent="0.75">
      <c r="L112" t="s">
        <v>102</v>
      </c>
      <c r="M112" t="s">
        <v>110</v>
      </c>
      <c r="N112" t="s">
        <v>111</v>
      </c>
      <c r="O112" s="48">
        <v>44440</v>
      </c>
      <c r="P112">
        <v>66234</v>
      </c>
      <c r="Q112" t="s">
        <v>123</v>
      </c>
    </row>
    <row r="113" spans="12:17" x14ac:dyDescent="0.75">
      <c r="L113" t="s">
        <v>102</v>
      </c>
      <c r="M113" t="s">
        <v>110</v>
      </c>
      <c r="N113" t="s">
        <v>111</v>
      </c>
      <c r="O113" s="48">
        <v>44470</v>
      </c>
      <c r="P113">
        <v>69633</v>
      </c>
      <c r="Q113" t="s">
        <v>123</v>
      </c>
    </row>
    <row r="114" spans="12:17" x14ac:dyDescent="0.75">
      <c r="L114" t="s">
        <v>102</v>
      </c>
      <c r="M114" t="s">
        <v>110</v>
      </c>
      <c r="N114" t="s">
        <v>111</v>
      </c>
      <c r="O114" s="48">
        <v>44501</v>
      </c>
      <c r="P114">
        <v>58655</v>
      </c>
      <c r="Q114" t="s">
        <v>123</v>
      </c>
    </row>
    <row r="115" spans="12:17" x14ac:dyDescent="0.75">
      <c r="L115" t="s">
        <v>102</v>
      </c>
      <c r="M115" t="s">
        <v>110</v>
      </c>
      <c r="N115" t="s">
        <v>111</v>
      </c>
      <c r="O115" s="48">
        <v>44531</v>
      </c>
      <c r="P115">
        <v>60792</v>
      </c>
      <c r="Q115" t="s">
        <v>123</v>
      </c>
    </row>
    <row r="116" spans="12:17" x14ac:dyDescent="0.75">
      <c r="L116" t="s">
        <v>102</v>
      </c>
      <c r="M116" t="s">
        <v>110</v>
      </c>
      <c r="N116" t="s">
        <v>111</v>
      </c>
      <c r="O116" s="48">
        <v>44562</v>
      </c>
      <c r="P116">
        <v>73181</v>
      </c>
      <c r="Q116" t="s">
        <v>123</v>
      </c>
    </row>
    <row r="117" spans="12:17" x14ac:dyDescent="0.75">
      <c r="L117" t="s">
        <v>102</v>
      </c>
      <c r="M117" t="s">
        <v>110</v>
      </c>
      <c r="N117" t="s">
        <v>111</v>
      </c>
      <c r="O117" s="48">
        <v>44593</v>
      </c>
      <c r="P117">
        <v>56230</v>
      </c>
      <c r="Q117" t="s">
        <v>123</v>
      </c>
    </row>
    <row r="118" spans="12:17" x14ac:dyDescent="0.75">
      <c r="L118" t="s">
        <v>102</v>
      </c>
      <c r="M118" t="s">
        <v>110</v>
      </c>
      <c r="N118" t="s">
        <v>111</v>
      </c>
      <c r="O118" s="48">
        <v>44621</v>
      </c>
      <c r="P118">
        <v>42740</v>
      </c>
      <c r="Q118" t="s">
        <v>123</v>
      </c>
    </row>
    <row r="119" spans="12:17" x14ac:dyDescent="0.75">
      <c r="L119" t="s">
        <v>102</v>
      </c>
      <c r="M119" t="s">
        <v>110</v>
      </c>
      <c r="N119" t="s">
        <v>111</v>
      </c>
      <c r="O119" s="48">
        <v>44652</v>
      </c>
      <c r="P119">
        <v>43155</v>
      </c>
      <c r="Q119" t="s">
        <v>123</v>
      </c>
    </row>
    <row r="120" spans="12:17" x14ac:dyDescent="0.75">
      <c r="L120" t="s">
        <v>102</v>
      </c>
      <c r="M120" t="s">
        <v>110</v>
      </c>
      <c r="N120" t="s">
        <v>111</v>
      </c>
      <c r="O120" s="48">
        <v>44682</v>
      </c>
      <c r="P120">
        <v>56741</v>
      </c>
      <c r="Q120" t="s">
        <v>123</v>
      </c>
    </row>
    <row r="121" spans="12:17" x14ac:dyDescent="0.75">
      <c r="L121" t="s">
        <v>102</v>
      </c>
      <c r="M121" t="s">
        <v>110</v>
      </c>
      <c r="N121" t="s">
        <v>111</v>
      </c>
      <c r="O121" s="48">
        <v>44713</v>
      </c>
      <c r="P121">
        <v>53392</v>
      </c>
      <c r="Q121" t="s">
        <v>123</v>
      </c>
    </row>
    <row r="122" spans="12:17" x14ac:dyDescent="0.75">
      <c r="L122" t="s">
        <v>102</v>
      </c>
      <c r="M122" t="s">
        <v>110</v>
      </c>
      <c r="N122" t="s">
        <v>111</v>
      </c>
      <c r="O122" s="48">
        <v>44743</v>
      </c>
      <c r="P122">
        <v>57663</v>
      </c>
      <c r="Q122" t="s">
        <v>123</v>
      </c>
    </row>
    <row r="123" spans="12:17" x14ac:dyDescent="0.75">
      <c r="L123" t="s">
        <v>102</v>
      </c>
      <c r="M123" t="s">
        <v>110</v>
      </c>
      <c r="N123" t="s">
        <v>111</v>
      </c>
      <c r="O123" s="48">
        <v>44774</v>
      </c>
      <c r="P123">
        <v>78094</v>
      </c>
      <c r="Q123" t="s">
        <v>123</v>
      </c>
    </row>
    <row r="124" spans="12:17" x14ac:dyDescent="0.75">
      <c r="L124" t="s">
        <v>102</v>
      </c>
      <c r="M124" t="s">
        <v>110</v>
      </c>
      <c r="N124" t="s">
        <v>111</v>
      </c>
      <c r="O124" s="48">
        <v>44805</v>
      </c>
      <c r="P124">
        <v>62837</v>
      </c>
      <c r="Q124" t="s">
        <v>123</v>
      </c>
    </row>
    <row r="125" spans="12:17" x14ac:dyDescent="0.75">
      <c r="L125" t="s">
        <v>102</v>
      </c>
      <c r="M125" t="s">
        <v>110</v>
      </c>
      <c r="N125" t="s">
        <v>111</v>
      </c>
      <c r="O125" s="48">
        <v>44835</v>
      </c>
      <c r="P125">
        <v>63823</v>
      </c>
      <c r="Q125" t="s">
        <v>123</v>
      </c>
    </row>
    <row r="126" spans="12:17" x14ac:dyDescent="0.75">
      <c r="L126" t="s">
        <v>102</v>
      </c>
      <c r="M126" t="s">
        <v>110</v>
      </c>
      <c r="N126" t="s">
        <v>111</v>
      </c>
      <c r="O126" s="48">
        <v>44866</v>
      </c>
      <c r="P126">
        <v>59436</v>
      </c>
      <c r="Q126" t="s">
        <v>123</v>
      </c>
    </row>
    <row r="127" spans="12:17" x14ac:dyDescent="0.75">
      <c r="L127" t="s">
        <v>102</v>
      </c>
      <c r="M127" t="s">
        <v>110</v>
      </c>
      <c r="N127" t="s">
        <v>111</v>
      </c>
      <c r="O127" s="48">
        <v>44896</v>
      </c>
      <c r="P127">
        <v>41777</v>
      </c>
      <c r="Q127" t="s">
        <v>123</v>
      </c>
    </row>
    <row r="128" spans="12:17" x14ac:dyDescent="0.75">
      <c r="L128" t="s">
        <v>102</v>
      </c>
      <c r="M128" t="s">
        <v>110</v>
      </c>
      <c r="N128" t="s">
        <v>111</v>
      </c>
      <c r="O128" s="48">
        <v>44927</v>
      </c>
      <c r="P128">
        <v>35067</v>
      </c>
      <c r="Q128" t="s">
        <v>123</v>
      </c>
    </row>
    <row r="129" spans="12:17" x14ac:dyDescent="0.75">
      <c r="L129" t="s">
        <v>102</v>
      </c>
      <c r="M129" t="s">
        <v>110</v>
      </c>
      <c r="N129" t="s">
        <v>111</v>
      </c>
      <c r="O129" s="48">
        <v>44958</v>
      </c>
      <c r="P129">
        <v>37400</v>
      </c>
      <c r="Q129" t="s">
        <v>123</v>
      </c>
    </row>
    <row r="130" spans="12:17" x14ac:dyDescent="0.75">
      <c r="L130" t="s">
        <v>102</v>
      </c>
      <c r="M130" t="s">
        <v>110</v>
      </c>
      <c r="N130" t="s">
        <v>111</v>
      </c>
      <c r="O130" s="48">
        <v>44986</v>
      </c>
      <c r="P130">
        <v>36905</v>
      </c>
      <c r="Q130" t="s">
        <v>123</v>
      </c>
    </row>
    <row r="131" spans="12:17" x14ac:dyDescent="0.75">
      <c r="L131" t="s">
        <v>102</v>
      </c>
      <c r="M131" t="s">
        <v>110</v>
      </c>
      <c r="N131" t="s">
        <v>111</v>
      </c>
      <c r="O131" s="48">
        <v>45017</v>
      </c>
      <c r="P131">
        <v>42433</v>
      </c>
      <c r="Q131" t="s">
        <v>123</v>
      </c>
    </row>
    <row r="132" spans="12:17" x14ac:dyDescent="0.75">
      <c r="L132" t="s">
        <v>102</v>
      </c>
      <c r="M132" t="s">
        <v>110</v>
      </c>
      <c r="N132" t="s">
        <v>111</v>
      </c>
      <c r="O132" s="48">
        <v>45047</v>
      </c>
      <c r="P132">
        <v>39430</v>
      </c>
      <c r="Q132" t="s">
        <v>123</v>
      </c>
    </row>
    <row r="133" spans="12:17" x14ac:dyDescent="0.75">
      <c r="L133" t="s">
        <v>102</v>
      </c>
      <c r="M133" t="s">
        <v>110</v>
      </c>
      <c r="N133" t="s">
        <v>111</v>
      </c>
      <c r="O133" s="48">
        <v>45078</v>
      </c>
      <c r="P133">
        <v>46961</v>
      </c>
      <c r="Q133" t="s">
        <v>123</v>
      </c>
    </row>
    <row r="134" spans="12:17" x14ac:dyDescent="0.75">
      <c r="L134" t="s">
        <v>102</v>
      </c>
      <c r="M134" t="s">
        <v>110</v>
      </c>
      <c r="N134" t="s">
        <v>111</v>
      </c>
      <c r="O134" s="48">
        <v>45108</v>
      </c>
      <c r="P134">
        <v>49482</v>
      </c>
      <c r="Q134" t="s">
        <v>123</v>
      </c>
    </row>
    <row r="135" spans="12:17" x14ac:dyDescent="0.75">
      <c r="L135" t="s">
        <v>102</v>
      </c>
      <c r="M135" t="s">
        <v>110</v>
      </c>
      <c r="N135" t="s">
        <v>111</v>
      </c>
      <c r="O135" s="48">
        <v>45139</v>
      </c>
      <c r="P135">
        <v>40398</v>
      </c>
      <c r="Q135" t="s">
        <v>123</v>
      </c>
    </row>
    <row r="136" spans="12:17" x14ac:dyDescent="0.75">
      <c r="L136" t="s">
        <v>102</v>
      </c>
      <c r="M136" t="s">
        <v>110</v>
      </c>
      <c r="N136" t="s">
        <v>111</v>
      </c>
      <c r="O136" s="48">
        <v>45170</v>
      </c>
      <c r="P136">
        <v>28480</v>
      </c>
      <c r="Q136" t="s">
        <v>123</v>
      </c>
    </row>
    <row r="137" spans="12:17" x14ac:dyDescent="0.75">
      <c r="L137" t="s">
        <v>102</v>
      </c>
      <c r="M137" t="s">
        <v>110</v>
      </c>
      <c r="N137" t="s">
        <v>111</v>
      </c>
      <c r="O137" s="48">
        <v>45200</v>
      </c>
      <c r="P137">
        <v>52947</v>
      </c>
      <c r="Q137" t="s">
        <v>123</v>
      </c>
    </row>
    <row r="138" spans="12:17" x14ac:dyDescent="0.75">
      <c r="L138" t="s">
        <v>102</v>
      </c>
      <c r="M138" t="s">
        <v>110</v>
      </c>
      <c r="N138" t="s">
        <v>111</v>
      </c>
      <c r="O138" s="48">
        <v>45231</v>
      </c>
      <c r="P138">
        <v>35239</v>
      </c>
      <c r="Q138" t="s">
        <v>123</v>
      </c>
    </row>
    <row r="139" spans="12:17" x14ac:dyDescent="0.75">
      <c r="L139" t="s">
        <v>102</v>
      </c>
      <c r="M139" t="s">
        <v>110</v>
      </c>
      <c r="N139" t="s">
        <v>111</v>
      </c>
      <c r="O139" s="48">
        <v>45261</v>
      </c>
      <c r="P139">
        <v>39588</v>
      </c>
      <c r="Q139" t="s">
        <v>123</v>
      </c>
    </row>
    <row r="140" spans="12:17" x14ac:dyDescent="0.75">
      <c r="L140" t="s">
        <v>102</v>
      </c>
      <c r="M140" t="s">
        <v>110</v>
      </c>
      <c r="N140" t="s">
        <v>111</v>
      </c>
      <c r="O140" s="48">
        <v>45292</v>
      </c>
      <c r="P140">
        <v>38543</v>
      </c>
      <c r="Q140" t="s">
        <v>123</v>
      </c>
    </row>
    <row r="141" spans="12:17" x14ac:dyDescent="0.75">
      <c r="L141" t="s">
        <v>102</v>
      </c>
      <c r="M141" t="s">
        <v>110</v>
      </c>
      <c r="N141" t="s">
        <v>111</v>
      </c>
      <c r="O141" s="48">
        <v>45323</v>
      </c>
      <c r="P141">
        <v>45198</v>
      </c>
      <c r="Q141" t="s">
        <v>123</v>
      </c>
    </row>
    <row r="142" spans="12:17" x14ac:dyDescent="0.75">
      <c r="L142" t="s">
        <v>102</v>
      </c>
      <c r="M142" t="s">
        <v>110</v>
      </c>
      <c r="N142" t="s">
        <v>111</v>
      </c>
      <c r="O142" s="48">
        <v>45352</v>
      </c>
      <c r="P142">
        <v>47867</v>
      </c>
      <c r="Q142" t="s">
        <v>123</v>
      </c>
    </row>
    <row r="143" spans="12:17" x14ac:dyDescent="0.75">
      <c r="L143" t="s">
        <v>102</v>
      </c>
      <c r="M143" t="s">
        <v>110</v>
      </c>
      <c r="N143" t="s">
        <v>111</v>
      </c>
      <c r="O143" s="48">
        <v>45383</v>
      </c>
      <c r="P143">
        <v>44109</v>
      </c>
      <c r="Q143" t="s">
        <v>123</v>
      </c>
    </row>
    <row r="144" spans="12:17" x14ac:dyDescent="0.75">
      <c r="L144" t="s">
        <v>102</v>
      </c>
      <c r="M144" t="s">
        <v>110</v>
      </c>
      <c r="N144" t="s">
        <v>111</v>
      </c>
      <c r="O144" s="48">
        <v>45413</v>
      </c>
      <c r="P144">
        <v>52147</v>
      </c>
      <c r="Q144" t="s">
        <v>123</v>
      </c>
    </row>
    <row r="145" spans="12:17" x14ac:dyDescent="0.75">
      <c r="L145" t="s">
        <v>102</v>
      </c>
      <c r="M145" t="s">
        <v>110</v>
      </c>
      <c r="N145" t="s">
        <v>111</v>
      </c>
      <c r="O145" s="48">
        <v>45444</v>
      </c>
      <c r="P145">
        <v>59447</v>
      </c>
      <c r="Q145" t="s">
        <v>123</v>
      </c>
    </row>
    <row r="146" spans="12:17" x14ac:dyDescent="0.75">
      <c r="L146" t="s">
        <v>102</v>
      </c>
      <c r="M146" t="s">
        <v>110</v>
      </c>
      <c r="N146" t="s">
        <v>111</v>
      </c>
      <c r="O146" s="48">
        <v>45474</v>
      </c>
      <c r="P146">
        <v>42378</v>
      </c>
      <c r="Q146" t="s">
        <v>123</v>
      </c>
    </row>
    <row r="147" spans="12:17" x14ac:dyDescent="0.75">
      <c r="L147" t="s">
        <v>102</v>
      </c>
      <c r="M147" t="s">
        <v>110</v>
      </c>
      <c r="N147" t="s">
        <v>111</v>
      </c>
      <c r="O147" s="48">
        <v>45505</v>
      </c>
      <c r="P147">
        <v>57029</v>
      </c>
      <c r="Q147" t="s">
        <v>123</v>
      </c>
    </row>
    <row r="148" spans="12:17" x14ac:dyDescent="0.75">
      <c r="L148" t="s">
        <v>102</v>
      </c>
      <c r="M148" t="s">
        <v>110</v>
      </c>
      <c r="N148" t="s">
        <v>111</v>
      </c>
      <c r="O148" s="48">
        <v>45536</v>
      </c>
      <c r="P148">
        <v>40983</v>
      </c>
      <c r="Q148" t="s">
        <v>123</v>
      </c>
    </row>
    <row r="149" spans="12:17" x14ac:dyDescent="0.75">
      <c r="L149" t="s">
        <v>102</v>
      </c>
      <c r="M149" t="s">
        <v>110</v>
      </c>
      <c r="N149" t="s">
        <v>111</v>
      </c>
      <c r="O149" s="48">
        <v>45566</v>
      </c>
      <c r="P149">
        <v>49971</v>
      </c>
      <c r="Q149" t="s">
        <v>123</v>
      </c>
    </row>
    <row r="150" spans="12:17" x14ac:dyDescent="0.75">
      <c r="L150" t="s">
        <v>102</v>
      </c>
      <c r="M150" t="s">
        <v>110</v>
      </c>
      <c r="N150" t="s">
        <v>111</v>
      </c>
      <c r="O150" s="48">
        <v>45597</v>
      </c>
      <c r="P150">
        <v>56184</v>
      </c>
      <c r="Q150" t="s">
        <v>123</v>
      </c>
    </row>
    <row r="151" spans="12:17" x14ac:dyDescent="0.75">
      <c r="L151" t="s">
        <v>102</v>
      </c>
      <c r="M151" t="s">
        <v>110</v>
      </c>
      <c r="N151" t="s">
        <v>111</v>
      </c>
      <c r="O151" s="48">
        <v>45627</v>
      </c>
      <c r="P151">
        <v>36494</v>
      </c>
      <c r="Q151" t="s">
        <v>123</v>
      </c>
    </row>
    <row r="152" spans="12:17" x14ac:dyDescent="0.75">
      <c r="L152" t="s">
        <v>102</v>
      </c>
      <c r="M152" t="s">
        <v>110</v>
      </c>
      <c r="N152" t="s">
        <v>111</v>
      </c>
      <c r="O152" s="48">
        <v>45658</v>
      </c>
      <c r="P152">
        <v>47165</v>
      </c>
      <c r="Q152" t="s">
        <v>123</v>
      </c>
    </row>
    <row r="153" spans="12:17" x14ac:dyDescent="0.75">
      <c r="L153" t="s">
        <v>102</v>
      </c>
      <c r="M153" t="s">
        <v>110</v>
      </c>
      <c r="N153" t="s">
        <v>111</v>
      </c>
      <c r="O153" s="48">
        <v>45689</v>
      </c>
      <c r="P153">
        <v>37955</v>
      </c>
      <c r="Q153" t="s">
        <v>123</v>
      </c>
    </row>
    <row r="154" spans="12:17" x14ac:dyDescent="0.75">
      <c r="L154" t="s">
        <v>102</v>
      </c>
      <c r="M154" t="s">
        <v>110</v>
      </c>
      <c r="N154" t="s">
        <v>111</v>
      </c>
      <c r="O154" s="48">
        <v>45717</v>
      </c>
      <c r="P154">
        <v>44346</v>
      </c>
      <c r="Q154" t="s">
        <v>123</v>
      </c>
    </row>
    <row r="155" spans="12:17" x14ac:dyDescent="0.75">
      <c r="L155" t="s">
        <v>102</v>
      </c>
      <c r="M155" t="s">
        <v>110</v>
      </c>
      <c r="N155" t="s">
        <v>111</v>
      </c>
      <c r="O155" s="48">
        <v>45748</v>
      </c>
      <c r="P155">
        <v>52446</v>
      </c>
      <c r="Q155" t="s">
        <v>123</v>
      </c>
    </row>
    <row r="156" spans="12:17" x14ac:dyDescent="0.75">
      <c r="L156" t="s">
        <v>102</v>
      </c>
      <c r="M156" t="s">
        <v>110</v>
      </c>
      <c r="N156" t="s">
        <v>111</v>
      </c>
      <c r="O156" s="48">
        <v>45778</v>
      </c>
      <c r="P156">
        <v>64377</v>
      </c>
      <c r="Q156" t="s">
        <v>123</v>
      </c>
    </row>
    <row r="157" spans="12:17" x14ac:dyDescent="0.75">
      <c r="L157" t="s">
        <v>103</v>
      </c>
      <c r="M157" t="s">
        <v>112</v>
      </c>
      <c r="N157" t="s">
        <v>113</v>
      </c>
      <c r="O157" s="48">
        <v>43466</v>
      </c>
      <c r="P157">
        <v>209870</v>
      </c>
      <c r="Q157" t="s">
        <v>123</v>
      </c>
    </row>
    <row r="158" spans="12:17" x14ac:dyDescent="0.75">
      <c r="L158" t="s">
        <v>103</v>
      </c>
      <c r="M158" t="s">
        <v>112</v>
      </c>
      <c r="N158" t="s">
        <v>113</v>
      </c>
      <c r="O158" s="48">
        <v>43497</v>
      </c>
      <c r="P158">
        <v>182731</v>
      </c>
      <c r="Q158" t="s">
        <v>123</v>
      </c>
    </row>
    <row r="159" spans="12:17" x14ac:dyDescent="0.75">
      <c r="L159" t="s">
        <v>103</v>
      </c>
      <c r="M159" t="s">
        <v>112</v>
      </c>
      <c r="N159" t="s">
        <v>113</v>
      </c>
      <c r="O159" s="48">
        <v>43525</v>
      </c>
      <c r="P159">
        <v>165313</v>
      </c>
      <c r="Q159" t="s">
        <v>123</v>
      </c>
    </row>
    <row r="160" spans="12:17" x14ac:dyDescent="0.75">
      <c r="L160" t="s">
        <v>103</v>
      </c>
      <c r="M160" t="s">
        <v>112</v>
      </c>
      <c r="N160" t="s">
        <v>113</v>
      </c>
      <c r="O160" s="48">
        <v>43556</v>
      </c>
      <c r="P160">
        <v>179721</v>
      </c>
      <c r="Q160" t="s">
        <v>123</v>
      </c>
    </row>
    <row r="161" spans="12:17" x14ac:dyDescent="0.75">
      <c r="L161" t="s">
        <v>103</v>
      </c>
      <c r="M161" t="s">
        <v>112</v>
      </c>
      <c r="N161" t="s">
        <v>113</v>
      </c>
      <c r="O161" s="48">
        <v>43586</v>
      </c>
      <c r="P161">
        <v>157592</v>
      </c>
      <c r="Q161" t="s">
        <v>123</v>
      </c>
    </row>
    <row r="162" spans="12:17" x14ac:dyDescent="0.75">
      <c r="L162" t="s">
        <v>103</v>
      </c>
      <c r="M162" t="s">
        <v>112</v>
      </c>
      <c r="N162" t="s">
        <v>113</v>
      </c>
      <c r="O162" s="48">
        <v>43617</v>
      </c>
      <c r="P162">
        <v>205497</v>
      </c>
      <c r="Q162" t="s">
        <v>123</v>
      </c>
    </row>
    <row r="163" spans="12:17" x14ac:dyDescent="0.75">
      <c r="L163" t="s">
        <v>103</v>
      </c>
      <c r="M163" t="s">
        <v>112</v>
      </c>
      <c r="N163" t="s">
        <v>113</v>
      </c>
      <c r="O163" s="48">
        <v>43647</v>
      </c>
      <c r="P163">
        <v>191914</v>
      </c>
      <c r="Q163" t="s">
        <v>123</v>
      </c>
    </row>
    <row r="164" spans="12:17" x14ac:dyDescent="0.75">
      <c r="L164" t="s">
        <v>103</v>
      </c>
      <c r="M164" t="s">
        <v>112</v>
      </c>
      <c r="N164" t="s">
        <v>113</v>
      </c>
      <c r="O164" s="48">
        <v>43678</v>
      </c>
      <c r="P164">
        <v>209078</v>
      </c>
      <c r="Q164" t="s">
        <v>123</v>
      </c>
    </row>
    <row r="165" spans="12:17" x14ac:dyDescent="0.75">
      <c r="L165" t="s">
        <v>103</v>
      </c>
      <c r="M165" t="s">
        <v>112</v>
      </c>
      <c r="N165" t="s">
        <v>113</v>
      </c>
      <c r="O165" s="48">
        <v>43709</v>
      </c>
      <c r="P165">
        <v>224215</v>
      </c>
      <c r="Q165" t="s">
        <v>123</v>
      </c>
    </row>
    <row r="166" spans="12:17" x14ac:dyDescent="0.75">
      <c r="L166" t="s">
        <v>103</v>
      </c>
      <c r="M166" t="s">
        <v>112</v>
      </c>
      <c r="N166" t="s">
        <v>113</v>
      </c>
      <c r="O166" s="48">
        <v>43739</v>
      </c>
      <c r="P166">
        <v>214574</v>
      </c>
      <c r="Q166" t="s">
        <v>123</v>
      </c>
    </row>
    <row r="167" spans="12:17" x14ac:dyDescent="0.75">
      <c r="L167" t="s">
        <v>103</v>
      </c>
      <c r="M167" t="s">
        <v>112</v>
      </c>
      <c r="N167" t="s">
        <v>113</v>
      </c>
      <c r="O167" s="48">
        <v>43770</v>
      </c>
      <c r="P167">
        <v>176730</v>
      </c>
      <c r="Q167" t="s">
        <v>123</v>
      </c>
    </row>
    <row r="168" spans="12:17" x14ac:dyDescent="0.75">
      <c r="L168" t="s">
        <v>103</v>
      </c>
      <c r="M168" t="s">
        <v>112</v>
      </c>
      <c r="N168" t="s">
        <v>113</v>
      </c>
      <c r="O168" s="48">
        <v>43800</v>
      </c>
      <c r="P168">
        <v>208852</v>
      </c>
      <c r="Q168" t="s">
        <v>123</v>
      </c>
    </row>
    <row r="169" spans="12:17" x14ac:dyDescent="0.75">
      <c r="L169" t="s">
        <v>103</v>
      </c>
      <c r="M169" t="s">
        <v>112</v>
      </c>
      <c r="N169" t="s">
        <v>113</v>
      </c>
      <c r="O169" s="48">
        <v>43831</v>
      </c>
      <c r="P169">
        <v>200807</v>
      </c>
      <c r="Q169" t="s">
        <v>123</v>
      </c>
    </row>
    <row r="170" spans="12:17" x14ac:dyDescent="0.75">
      <c r="L170" t="s">
        <v>103</v>
      </c>
      <c r="M170" t="s">
        <v>112</v>
      </c>
      <c r="N170" t="s">
        <v>113</v>
      </c>
      <c r="O170" s="48">
        <v>43862</v>
      </c>
      <c r="P170">
        <v>154986</v>
      </c>
      <c r="Q170" t="s">
        <v>123</v>
      </c>
    </row>
    <row r="171" spans="12:17" x14ac:dyDescent="0.75">
      <c r="L171" t="s">
        <v>103</v>
      </c>
      <c r="M171" t="s">
        <v>112</v>
      </c>
      <c r="N171" t="s">
        <v>113</v>
      </c>
      <c r="O171" s="48">
        <v>43891</v>
      </c>
      <c r="P171">
        <v>125300</v>
      </c>
      <c r="Q171" t="s">
        <v>123</v>
      </c>
    </row>
    <row r="172" spans="12:17" x14ac:dyDescent="0.75">
      <c r="L172" t="s">
        <v>103</v>
      </c>
      <c r="M172" t="s">
        <v>112</v>
      </c>
      <c r="N172" t="s">
        <v>113</v>
      </c>
      <c r="O172" s="48">
        <v>43922</v>
      </c>
      <c r="P172">
        <v>145931</v>
      </c>
      <c r="Q172" t="s">
        <v>123</v>
      </c>
    </row>
    <row r="173" spans="12:17" x14ac:dyDescent="0.75">
      <c r="L173" t="s">
        <v>103</v>
      </c>
      <c r="M173" t="s">
        <v>112</v>
      </c>
      <c r="N173" t="s">
        <v>113</v>
      </c>
      <c r="O173" s="48">
        <v>43952</v>
      </c>
      <c r="P173">
        <v>171841</v>
      </c>
      <c r="Q173" t="s">
        <v>123</v>
      </c>
    </row>
    <row r="174" spans="12:17" x14ac:dyDescent="0.75">
      <c r="L174" t="s">
        <v>103</v>
      </c>
      <c r="M174" t="s">
        <v>112</v>
      </c>
      <c r="N174" t="s">
        <v>113</v>
      </c>
      <c r="O174" s="48">
        <v>43983</v>
      </c>
      <c r="P174">
        <v>172628</v>
      </c>
      <c r="Q174" t="s">
        <v>123</v>
      </c>
    </row>
    <row r="175" spans="12:17" x14ac:dyDescent="0.75">
      <c r="L175" t="s">
        <v>103</v>
      </c>
      <c r="M175" t="s">
        <v>112</v>
      </c>
      <c r="N175" t="s">
        <v>113</v>
      </c>
      <c r="O175" s="48">
        <v>44013</v>
      </c>
      <c r="P175">
        <v>224918</v>
      </c>
      <c r="Q175" t="s">
        <v>123</v>
      </c>
    </row>
    <row r="176" spans="12:17" x14ac:dyDescent="0.75">
      <c r="L176" t="s">
        <v>103</v>
      </c>
      <c r="M176" t="s">
        <v>112</v>
      </c>
      <c r="N176" t="s">
        <v>113</v>
      </c>
      <c r="O176" s="48">
        <v>44044</v>
      </c>
      <c r="P176">
        <v>220951</v>
      </c>
      <c r="Q176" t="s">
        <v>123</v>
      </c>
    </row>
    <row r="177" spans="12:17" x14ac:dyDescent="0.75">
      <c r="L177" t="s">
        <v>103</v>
      </c>
      <c r="M177" t="s">
        <v>112</v>
      </c>
      <c r="N177" t="s">
        <v>113</v>
      </c>
      <c r="O177" s="48">
        <v>44075</v>
      </c>
      <c r="P177">
        <v>266071</v>
      </c>
      <c r="Q177" t="s">
        <v>123</v>
      </c>
    </row>
    <row r="178" spans="12:17" x14ac:dyDescent="0.75">
      <c r="L178" t="s">
        <v>103</v>
      </c>
      <c r="M178" t="s">
        <v>112</v>
      </c>
      <c r="N178" t="s">
        <v>113</v>
      </c>
      <c r="O178" s="48">
        <v>44105</v>
      </c>
      <c r="P178">
        <v>274988</v>
      </c>
      <c r="Q178" t="s">
        <v>123</v>
      </c>
    </row>
    <row r="179" spans="12:17" x14ac:dyDescent="0.75">
      <c r="L179" t="s">
        <v>103</v>
      </c>
      <c r="M179" t="s">
        <v>112</v>
      </c>
      <c r="N179" t="s">
        <v>113</v>
      </c>
      <c r="O179" s="48">
        <v>44136</v>
      </c>
      <c r="P179">
        <v>240447</v>
      </c>
      <c r="Q179" t="s">
        <v>123</v>
      </c>
    </row>
    <row r="180" spans="12:17" x14ac:dyDescent="0.75">
      <c r="L180" t="s">
        <v>103</v>
      </c>
      <c r="M180" t="s">
        <v>112</v>
      </c>
      <c r="N180" t="s">
        <v>113</v>
      </c>
      <c r="O180" s="48">
        <v>44166</v>
      </c>
      <c r="P180">
        <v>263852</v>
      </c>
      <c r="Q180" t="s">
        <v>123</v>
      </c>
    </row>
    <row r="181" spans="12:17" x14ac:dyDescent="0.75">
      <c r="L181" t="s">
        <v>103</v>
      </c>
      <c r="M181" t="s">
        <v>112</v>
      </c>
      <c r="N181" t="s">
        <v>113</v>
      </c>
      <c r="O181" s="48">
        <v>44197</v>
      </c>
      <c r="P181">
        <v>270221</v>
      </c>
      <c r="Q181" t="s">
        <v>123</v>
      </c>
    </row>
    <row r="182" spans="12:17" x14ac:dyDescent="0.75">
      <c r="L182" t="s">
        <v>103</v>
      </c>
      <c r="M182" t="s">
        <v>112</v>
      </c>
      <c r="N182" t="s">
        <v>113</v>
      </c>
      <c r="O182" s="48">
        <v>44228</v>
      </c>
      <c r="P182">
        <v>265431</v>
      </c>
      <c r="Q182" t="s">
        <v>123</v>
      </c>
    </row>
    <row r="183" spans="12:17" x14ac:dyDescent="0.75">
      <c r="L183" t="s">
        <v>103</v>
      </c>
      <c r="M183" t="s">
        <v>112</v>
      </c>
      <c r="N183" t="s">
        <v>113</v>
      </c>
      <c r="O183" s="48">
        <v>44256</v>
      </c>
      <c r="P183">
        <v>279016</v>
      </c>
      <c r="Q183" t="s">
        <v>123</v>
      </c>
    </row>
    <row r="184" spans="12:17" x14ac:dyDescent="0.75">
      <c r="L184" t="s">
        <v>103</v>
      </c>
      <c r="M184" t="s">
        <v>112</v>
      </c>
      <c r="N184" t="s">
        <v>113</v>
      </c>
      <c r="O184" s="48">
        <v>44287</v>
      </c>
      <c r="P184">
        <v>243392</v>
      </c>
      <c r="Q184" t="s">
        <v>123</v>
      </c>
    </row>
    <row r="185" spans="12:17" x14ac:dyDescent="0.75">
      <c r="L185" t="s">
        <v>103</v>
      </c>
      <c r="M185" t="s">
        <v>112</v>
      </c>
      <c r="N185" t="s">
        <v>113</v>
      </c>
      <c r="O185" s="48">
        <v>44317</v>
      </c>
      <c r="P185">
        <v>314070</v>
      </c>
      <c r="Q185" t="s">
        <v>123</v>
      </c>
    </row>
    <row r="186" spans="12:17" x14ac:dyDescent="0.75">
      <c r="L186" t="s">
        <v>103</v>
      </c>
      <c r="M186" t="s">
        <v>112</v>
      </c>
      <c r="N186" t="s">
        <v>113</v>
      </c>
      <c r="O186" s="48">
        <v>44348</v>
      </c>
      <c r="P186">
        <v>237615</v>
      </c>
      <c r="Q186" t="s">
        <v>123</v>
      </c>
    </row>
    <row r="187" spans="12:17" x14ac:dyDescent="0.75">
      <c r="L187" t="s">
        <v>103</v>
      </c>
      <c r="M187" t="s">
        <v>112</v>
      </c>
      <c r="N187" t="s">
        <v>113</v>
      </c>
      <c r="O187" s="48">
        <v>44378</v>
      </c>
      <c r="P187">
        <v>276363</v>
      </c>
      <c r="Q187" t="s">
        <v>123</v>
      </c>
    </row>
    <row r="188" spans="12:17" x14ac:dyDescent="0.75">
      <c r="L188" t="s">
        <v>103</v>
      </c>
      <c r="M188" t="s">
        <v>112</v>
      </c>
      <c r="N188" t="s">
        <v>113</v>
      </c>
      <c r="O188" s="48">
        <v>44409</v>
      </c>
      <c r="P188">
        <v>268505</v>
      </c>
      <c r="Q188" t="s">
        <v>123</v>
      </c>
    </row>
    <row r="189" spans="12:17" x14ac:dyDescent="0.75">
      <c r="L189" t="s">
        <v>103</v>
      </c>
      <c r="M189" t="s">
        <v>112</v>
      </c>
      <c r="N189" t="s">
        <v>113</v>
      </c>
      <c r="O189" s="48">
        <v>44440</v>
      </c>
      <c r="P189">
        <v>253964</v>
      </c>
      <c r="Q189" t="s">
        <v>123</v>
      </c>
    </row>
    <row r="190" spans="12:17" x14ac:dyDescent="0.75">
      <c r="L190" t="s">
        <v>103</v>
      </c>
      <c r="M190" t="s">
        <v>112</v>
      </c>
      <c r="N190" t="s">
        <v>113</v>
      </c>
      <c r="O190" s="48">
        <v>44470</v>
      </c>
      <c r="P190">
        <v>270373</v>
      </c>
      <c r="Q190" t="s">
        <v>123</v>
      </c>
    </row>
    <row r="191" spans="12:17" x14ac:dyDescent="0.75">
      <c r="L191" t="s">
        <v>103</v>
      </c>
      <c r="M191" t="s">
        <v>112</v>
      </c>
      <c r="N191" t="s">
        <v>113</v>
      </c>
      <c r="O191" s="48">
        <v>44501</v>
      </c>
      <c r="P191">
        <v>262184</v>
      </c>
      <c r="Q191" t="s">
        <v>123</v>
      </c>
    </row>
    <row r="192" spans="12:17" x14ac:dyDescent="0.75">
      <c r="L192" t="s">
        <v>103</v>
      </c>
      <c r="M192" t="s">
        <v>112</v>
      </c>
      <c r="N192" t="s">
        <v>113</v>
      </c>
      <c r="O192" s="48">
        <v>44531</v>
      </c>
      <c r="P192">
        <v>269184</v>
      </c>
      <c r="Q192" t="s">
        <v>123</v>
      </c>
    </row>
    <row r="193" spans="12:17" x14ac:dyDescent="0.75">
      <c r="L193" t="s">
        <v>103</v>
      </c>
      <c r="M193" t="s">
        <v>112</v>
      </c>
      <c r="N193" t="s">
        <v>113</v>
      </c>
      <c r="O193" s="48">
        <v>44562</v>
      </c>
      <c r="P193">
        <v>276058</v>
      </c>
      <c r="Q193" t="s">
        <v>123</v>
      </c>
    </row>
    <row r="194" spans="12:17" x14ac:dyDescent="0.75">
      <c r="L194" t="s">
        <v>103</v>
      </c>
      <c r="M194" t="s">
        <v>112</v>
      </c>
      <c r="N194" t="s">
        <v>113</v>
      </c>
      <c r="O194" s="48">
        <v>44593</v>
      </c>
      <c r="P194">
        <v>276673</v>
      </c>
      <c r="Q194" t="s">
        <v>123</v>
      </c>
    </row>
    <row r="195" spans="12:17" x14ac:dyDescent="0.75">
      <c r="L195" t="s">
        <v>103</v>
      </c>
      <c r="M195" t="s">
        <v>112</v>
      </c>
      <c r="N195" t="s">
        <v>113</v>
      </c>
      <c r="O195" s="48">
        <v>44621</v>
      </c>
      <c r="P195">
        <v>310094</v>
      </c>
      <c r="Q195" t="s">
        <v>123</v>
      </c>
    </row>
    <row r="196" spans="12:17" x14ac:dyDescent="0.75">
      <c r="L196" t="s">
        <v>103</v>
      </c>
      <c r="M196" t="s">
        <v>112</v>
      </c>
      <c r="N196" t="s">
        <v>113</v>
      </c>
      <c r="O196" s="48">
        <v>44652</v>
      </c>
      <c r="P196">
        <v>285145</v>
      </c>
      <c r="Q196" t="s">
        <v>123</v>
      </c>
    </row>
    <row r="197" spans="12:17" x14ac:dyDescent="0.75">
      <c r="L197" t="s">
        <v>103</v>
      </c>
      <c r="M197" t="s">
        <v>112</v>
      </c>
      <c r="N197" t="s">
        <v>113</v>
      </c>
      <c r="O197" s="48">
        <v>44682</v>
      </c>
      <c r="P197">
        <v>325105</v>
      </c>
      <c r="Q197" t="s">
        <v>123</v>
      </c>
    </row>
    <row r="198" spans="12:17" x14ac:dyDescent="0.75">
      <c r="L198" t="s">
        <v>103</v>
      </c>
      <c r="M198" t="s">
        <v>112</v>
      </c>
      <c r="N198" t="s">
        <v>113</v>
      </c>
      <c r="O198" s="48">
        <v>44713</v>
      </c>
      <c r="P198">
        <v>289788</v>
      </c>
      <c r="Q198" t="s">
        <v>123</v>
      </c>
    </row>
    <row r="199" spans="12:17" x14ac:dyDescent="0.75">
      <c r="L199" t="s">
        <v>103</v>
      </c>
      <c r="M199" t="s">
        <v>112</v>
      </c>
      <c r="N199" t="s">
        <v>113</v>
      </c>
      <c r="O199" s="48">
        <v>44743</v>
      </c>
      <c r="P199">
        <v>285370</v>
      </c>
      <c r="Q199" t="s">
        <v>123</v>
      </c>
    </row>
    <row r="200" spans="12:17" x14ac:dyDescent="0.75">
      <c r="L200" t="s">
        <v>103</v>
      </c>
      <c r="M200" t="s">
        <v>112</v>
      </c>
      <c r="N200" t="s">
        <v>113</v>
      </c>
      <c r="O200" s="48">
        <v>44774</v>
      </c>
      <c r="P200">
        <v>288558</v>
      </c>
      <c r="Q200" t="s">
        <v>123</v>
      </c>
    </row>
    <row r="201" spans="12:17" x14ac:dyDescent="0.75">
      <c r="L201" t="s">
        <v>103</v>
      </c>
      <c r="M201" t="s">
        <v>112</v>
      </c>
      <c r="N201" t="s">
        <v>113</v>
      </c>
      <c r="O201" s="48">
        <v>44805</v>
      </c>
      <c r="P201">
        <v>269519</v>
      </c>
      <c r="Q201" t="s">
        <v>123</v>
      </c>
    </row>
    <row r="202" spans="12:17" x14ac:dyDescent="0.75">
      <c r="L202" t="s">
        <v>103</v>
      </c>
      <c r="M202" t="s">
        <v>112</v>
      </c>
      <c r="N202" t="s">
        <v>113</v>
      </c>
      <c r="O202" s="48">
        <v>44835</v>
      </c>
      <c r="P202">
        <v>228225</v>
      </c>
      <c r="Q202" t="s">
        <v>123</v>
      </c>
    </row>
    <row r="203" spans="12:17" x14ac:dyDescent="0.75">
      <c r="L203" t="s">
        <v>103</v>
      </c>
      <c r="M203" t="s">
        <v>112</v>
      </c>
      <c r="N203" t="s">
        <v>113</v>
      </c>
      <c r="O203" s="48">
        <v>44866</v>
      </c>
      <c r="P203">
        <v>186546</v>
      </c>
      <c r="Q203" t="s">
        <v>123</v>
      </c>
    </row>
    <row r="204" spans="12:17" x14ac:dyDescent="0.75">
      <c r="L204" t="s">
        <v>103</v>
      </c>
      <c r="M204" t="s">
        <v>112</v>
      </c>
      <c r="N204" t="s">
        <v>113</v>
      </c>
      <c r="O204" s="48">
        <v>44896</v>
      </c>
      <c r="P204">
        <v>170698</v>
      </c>
      <c r="Q204" t="s">
        <v>123</v>
      </c>
    </row>
    <row r="205" spans="12:17" x14ac:dyDescent="0.75">
      <c r="L205" t="s">
        <v>103</v>
      </c>
      <c r="M205" t="s">
        <v>112</v>
      </c>
      <c r="N205" t="s">
        <v>113</v>
      </c>
      <c r="O205" s="48">
        <v>44927</v>
      </c>
      <c r="P205">
        <v>191458</v>
      </c>
      <c r="Q205" t="s">
        <v>123</v>
      </c>
    </row>
    <row r="206" spans="12:17" x14ac:dyDescent="0.75">
      <c r="L206" t="s">
        <v>103</v>
      </c>
      <c r="M206" t="s">
        <v>112</v>
      </c>
      <c r="N206" t="s">
        <v>113</v>
      </c>
      <c r="O206" s="48">
        <v>44958</v>
      </c>
      <c r="P206">
        <v>164529</v>
      </c>
      <c r="Q206" t="s">
        <v>123</v>
      </c>
    </row>
    <row r="207" spans="12:17" x14ac:dyDescent="0.75">
      <c r="L207" t="s">
        <v>103</v>
      </c>
      <c r="M207" t="s">
        <v>112</v>
      </c>
      <c r="N207" t="s">
        <v>113</v>
      </c>
      <c r="O207" s="48">
        <v>44986</v>
      </c>
      <c r="P207">
        <v>176907</v>
      </c>
      <c r="Q207" t="s">
        <v>123</v>
      </c>
    </row>
    <row r="208" spans="12:17" x14ac:dyDescent="0.75">
      <c r="L208" t="s">
        <v>103</v>
      </c>
      <c r="M208" t="s">
        <v>112</v>
      </c>
      <c r="N208" t="s">
        <v>113</v>
      </c>
      <c r="O208" s="48">
        <v>45017</v>
      </c>
      <c r="P208">
        <v>203127</v>
      </c>
      <c r="Q208" t="s">
        <v>123</v>
      </c>
    </row>
    <row r="209" spans="12:17" x14ac:dyDescent="0.75">
      <c r="L209" t="s">
        <v>103</v>
      </c>
      <c r="M209" t="s">
        <v>112</v>
      </c>
      <c r="N209" t="s">
        <v>113</v>
      </c>
      <c r="O209" s="48">
        <v>45047</v>
      </c>
      <c r="P209">
        <v>255725</v>
      </c>
      <c r="Q209" t="s">
        <v>123</v>
      </c>
    </row>
    <row r="210" spans="12:17" x14ac:dyDescent="0.75">
      <c r="L210" t="s">
        <v>103</v>
      </c>
      <c r="M210" t="s">
        <v>112</v>
      </c>
      <c r="N210" t="s">
        <v>113</v>
      </c>
      <c r="O210" s="48">
        <v>45078</v>
      </c>
      <c r="P210">
        <v>214128</v>
      </c>
      <c r="Q210" t="s">
        <v>123</v>
      </c>
    </row>
    <row r="211" spans="12:17" x14ac:dyDescent="0.75">
      <c r="L211" t="s">
        <v>103</v>
      </c>
      <c r="M211" t="s">
        <v>112</v>
      </c>
      <c r="N211" t="s">
        <v>113</v>
      </c>
      <c r="O211" s="48">
        <v>45108</v>
      </c>
      <c r="P211">
        <v>200096</v>
      </c>
      <c r="Q211" t="s">
        <v>123</v>
      </c>
    </row>
    <row r="212" spans="12:17" x14ac:dyDescent="0.75">
      <c r="L212" t="s">
        <v>103</v>
      </c>
      <c r="M212" t="s">
        <v>112</v>
      </c>
      <c r="N212" t="s">
        <v>113</v>
      </c>
      <c r="O212" s="48">
        <v>45139</v>
      </c>
      <c r="P212">
        <v>248198</v>
      </c>
      <c r="Q212" t="s">
        <v>123</v>
      </c>
    </row>
    <row r="213" spans="12:17" x14ac:dyDescent="0.75">
      <c r="L213" t="s">
        <v>103</v>
      </c>
      <c r="M213" t="s">
        <v>112</v>
      </c>
      <c r="N213" t="s">
        <v>113</v>
      </c>
      <c r="O213" s="48">
        <v>45170</v>
      </c>
      <c r="P213">
        <v>300807</v>
      </c>
      <c r="Q213" t="s">
        <v>123</v>
      </c>
    </row>
    <row r="214" spans="12:17" x14ac:dyDescent="0.75">
      <c r="L214" t="s">
        <v>103</v>
      </c>
      <c r="M214" t="s">
        <v>112</v>
      </c>
      <c r="N214" t="s">
        <v>113</v>
      </c>
      <c r="O214" s="48">
        <v>45200</v>
      </c>
      <c r="P214">
        <v>286960</v>
      </c>
      <c r="Q214" t="s">
        <v>123</v>
      </c>
    </row>
    <row r="215" spans="12:17" x14ac:dyDescent="0.75">
      <c r="L215" t="s">
        <v>103</v>
      </c>
      <c r="M215" t="s">
        <v>112</v>
      </c>
      <c r="N215" t="s">
        <v>113</v>
      </c>
      <c r="O215" s="48">
        <v>45231</v>
      </c>
      <c r="P215">
        <v>251833</v>
      </c>
      <c r="Q215" t="s">
        <v>123</v>
      </c>
    </row>
    <row r="216" spans="12:17" x14ac:dyDescent="0.75">
      <c r="L216" t="s">
        <v>103</v>
      </c>
      <c r="M216" t="s">
        <v>112</v>
      </c>
      <c r="N216" t="s">
        <v>113</v>
      </c>
      <c r="O216" s="48">
        <v>45261</v>
      </c>
      <c r="P216">
        <v>257166</v>
      </c>
      <c r="Q216" t="s">
        <v>123</v>
      </c>
    </row>
    <row r="217" spans="12:17" x14ac:dyDescent="0.75">
      <c r="L217" t="s">
        <v>103</v>
      </c>
      <c r="M217" t="s">
        <v>112</v>
      </c>
      <c r="N217" t="s">
        <v>113</v>
      </c>
      <c r="O217" s="48">
        <v>45292</v>
      </c>
      <c r="P217">
        <v>249169</v>
      </c>
      <c r="Q217" t="s">
        <v>123</v>
      </c>
    </row>
    <row r="218" spans="12:17" x14ac:dyDescent="0.75">
      <c r="L218" t="s">
        <v>103</v>
      </c>
      <c r="M218" t="s">
        <v>112</v>
      </c>
      <c r="N218" t="s">
        <v>113</v>
      </c>
      <c r="O218" s="48">
        <v>45323</v>
      </c>
      <c r="P218">
        <v>244470</v>
      </c>
      <c r="Q218" t="s">
        <v>123</v>
      </c>
    </row>
    <row r="219" spans="12:17" x14ac:dyDescent="0.75">
      <c r="L219" t="s">
        <v>103</v>
      </c>
      <c r="M219" t="s">
        <v>112</v>
      </c>
      <c r="N219" t="s">
        <v>113</v>
      </c>
      <c r="O219" s="48">
        <v>45352</v>
      </c>
      <c r="P219">
        <v>230750</v>
      </c>
      <c r="Q219" t="s">
        <v>123</v>
      </c>
    </row>
    <row r="220" spans="12:17" x14ac:dyDescent="0.75">
      <c r="L220" t="s">
        <v>103</v>
      </c>
      <c r="M220" t="s">
        <v>112</v>
      </c>
      <c r="N220" t="s">
        <v>113</v>
      </c>
      <c r="O220" s="48">
        <v>45383</v>
      </c>
      <c r="P220">
        <v>274223</v>
      </c>
      <c r="Q220" t="s">
        <v>123</v>
      </c>
    </row>
    <row r="221" spans="12:17" x14ac:dyDescent="0.75">
      <c r="L221" t="s">
        <v>103</v>
      </c>
      <c r="M221" t="s">
        <v>112</v>
      </c>
      <c r="N221" t="s">
        <v>113</v>
      </c>
      <c r="O221" s="48">
        <v>45413</v>
      </c>
      <c r="P221">
        <v>310542</v>
      </c>
      <c r="Q221" t="s">
        <v>123</v>
      </c>
    </row>
    <row r="222" spans="12:17" x14ac:dyDescent="0.75">
      <c r="L222" t="s">
        <v>103</v>
      </c>
      <c r="M222" t="s">
        <v>112</v>
      </c>
      <c r="N222" t="s">
        <v>113</v>
      </c>
      <c r="O222" s="48">
        <v>45444</v>
      </c>
      <c r="P222">
        <v>310542</v>
      </c>
      <c r="Q222" t="s">
        <v>123</v>
      </c>
    </row>
    <row r="223" spans="12:17" x14ac:dyDescent="0.75">
      <c r="L223" t="s">
        <v>103</v>
      </c>
      <c r="M223" t="s">
        <v>112</v>
      </c>
      <c r="N223" t="s">
        <v>113</v>
      </c>
      <c r="O223" s="48">
        <v>45474</v>
      </c>
      <c r="P223">
        <v>325503</v>
      </c>
      <c r="Q223" t="s">
        <v>123</v>
      </c>
    </row>
    <row r="224" spans="12:17" x14ac:dyDescent="0.75">
      <c r="L224" t="s">
        <v>103</v>
      </c>
      <c r="M224" t="s">
        <v>112</v>
      </c>
      <c r="N224" t="s">
        <v>113</v>
      </c>
      <c r="O224" s="48">
        <v>45505</v>
      </c>
      <c r="P224">
        <v>338750</v>
      </c>
      <c r="Q224" t="s">
        <v>123</v>
      </c>
    </row>
    <row r="225" spans="12:17" x14ac:dyDescent="0.75">
      <c r="L225" t="s">
        <v>103</v>
      </c>
      <c r="M225" t="s">
        <v>112</v>
      </c>
      <c r="N225" t="s">
        <v>113</v>
      </c>
      <c r="O225" s="48">
        <v>45536</v>
      </c>
      <c r="P225">
        <v>310829</v>
      </c>
      <c r="Q225" t="s">
        <v>123</v>
      </c>
    </row>
    <row r="226" spans="12:17" x14ac:dyDescent="0.75">
      <c r="L226" t="s">
        <v>103</v>
      </c>
      <c r="M226" t="s">
        <v>112</v>
      </c>
      <c r="N226" t="s">
        <v>113</v>
      </c>
      <c r="O226" s="48">
        <v>45566</v>
      </c>
      <c r="P226">
        <v>372136</v>
      </c>
      <c r="Q226" t="s">
        <v>123</v>
      </c>
    </row>
    <row r="227" spans="12:17" x14ac:dyDescent="0.75">
      <c r="L227" t="s">
        <v>103</v>
      </c>
      <c r="M227" t="s">
        <v>112</v>
      </c>
      <c r="N227" t="s">
        <v>113</v>
      </c>
      <c r="O227" s="48">
        <v>45597</v>
      </c>
      <c r="P227">
        <v>316944</v>
      </c>
      <c r="Q227" t="s">
        <v>123</v>
      </c>
    </row>
    <row r="228" spans="12:17" x14ac:dyDescent="0.75">
      <c r="L228" t="s">
        <v>103</v>
      </c>
      <c r="M228" t="s">
        <v>112</v>
      </c>
      <c r="N228" t="s">
        <v>113</v>
      </c>
      <c r="O228" s="48">
        <v>45627</v>
      </c>
      <c r="P228">
        <v>332855</v>
      </c>
      <c r="Q228" t="s">
        <v>123</v>
      </c>
    </row>
    <row r="229" spans="12:17" x14ac:dyDescent="0.75">
      <c r="L229" t="s">
        <v>103</v>
      </c>
      <c r="M229" t="s">
        <v>112</v>
      </c>
      <c r="N229" t="s">
        <v>113</v>
      </c>
      <c r="O229" s="48">
        <v>45658</v>
      </c>
      <c r="P229">
        <v>369205</v>
      </c>
      <c r="Q229" t="s">
        <v>123</v>
      </c>
    </row>
    <row r="230" spans="12:17" x14ac:dyDescent="0.75">
      <c r="L230" t="s">
        <v>103</v>
      </c>
      <c r="M230" t="s">
        <v>112</v>
      </c>
      <c r="N230" t="s">
        <v>113</v>
      </c>
      <c r="O230" s="48">
        <v>45689</v>
      </c>
      <c r="P230">
        <v>292293</v>
      </c>
      <c r="Q230" t="s">
        <v>123</v>
      </c>
    </row>
    <row r="231" spans="12:17" x14ac:dyDescent="0.75">
      <c r="L231" t="s">
        <v>103</v>
      </c>
      <c r="M231" t="s">
        <v>112</v>
      </c>
      <c r="N231" t="s">
        <v>113</v>
      </c>
      <c r="O231" s="48">
        <v>45717</v>
      </c>
      <c r="P231">
        <v>315619</v>
      </c>
      <c r="Q231" t="s">
        <v>123</v>
      </c>
    </row>
    <row r="232" spans="12:17" x14ac:dyDescent="0.75">
      <c r="L232" t="s">
        <v>103</v>
      </c>
      <c r="M232" t="s">
        <v>112</v>
      </c>
      <c r="N232" t="s">
        <v>113</v>
      </c>
      <c r="O232" s="48">
        <v>45748</v>
      </c>
      <c r="P232">
        <v>336456</v>
      </c>
      <c r="Q232" t="s">
        <v>123</v>
      </c>
    </row>
    <row r="233" spans="12:17" x14ac:dyDescent="0.75">
      <c r="L233" t="s">
        <v>103</v>
      </c>
      <c r="M233" t="s">
        <v>112</v>
      </c>
      <c r="N233" t="s">
        <v>113</v>
      </c>
      <c r="O233" s="48">
        <v>45778</v>
      </c>
      <c r="P233">
        <v>242471</v>
      </c>
      <c r="Q233" t="s">
        <v>123</v>
      </c>
    </row>
    <row r="234" spans="12:17" x14ac:dyDescent="0.75">
      <c r="L234" t="s">
        <v>104</v>
      </c>
      <c r="M234" t="s">
        <v>114</v>
      </c>
      <c r="N234" t="s">
        <v>113</v>
      </c>
      <c r="O234" s="48">
        <v>43466</v>
      </c>
      <c r="P234">
        <v>261726</v>
      </c>
      <c r="Q234" t="s">
        <v>123</v>
      </c>
    </row>
    <row r="235" spans="12:17" x14ac:dyDescent="0.75">
      <c r="L235" t="s">
        <v>104</v>
      </c>
      <c r="M235" t="s">
        <v>114</v>
      </c>
      <c r="N235" t="s">
        <v>113</v>
      </c>
      <c r="O235" s="48">
        <v>43497</v>
      </c>
      <c r="P235">
        <v>198201.5</v>
      </c>
      <c r="Q235" t="s">
        <v>123</v>
      </c>
    </row>
    <row r="236" spans="12:17" x14ac:dyDescent="0.75">
      <c r="L236" t="s">
        <v>104</v>
      </c>
      <c r="M236" t="s">
        <v>114</v>
      </c>
      <c r="N236" t="s">
        <v>113</v>
      </c>
      <c r="O236" s="48">
        <v>43525</v>
      </c>
      <c r="P236">
        <v>180999.5</v>
      </c>
      <c r="Q236" t="s">
        <v>123</v>
      </c>
    </row>
    <row r="237" spans="12:17" x14ac:dyDescent="0.75">
      <c r="L237" t="s">
        <v>104</v>
      </c>
      <c r="M237" t="s">
        <v>114</v>
      </c>
      <c r="N237" t="s">
        <v>113</v>
      </c>
      <c r="O237" s="48">
        <v>43556</v>
      </c>
      <c r="P237">
        <v>202589.7</v>
      </c>
      <c r="Q237" t="s">
        <v>123</v>
      </c>
    </row>
    <row r="238" spans="12:17" x14ac:dyDescent="0.75">
      <c r="L238" t="s">
        <v>104</v>
      </c>
      <c r="M238" t="s">
        <v>114</v>
      </c>
      <c r="N238" t="s">
        <v>113</v>
      </c>
      <c r="O238" s="48">
        <v>43586</v>
      </c>
      <c r="P238">
        <v>220991.5</v>
      </c>
      <c r="Q238" t="s">
        <v>123</v>
      </c>
    </row>
    <row r="239" spans="12:17" x14ac:dyDescent="0.75">
      <c r="L239" t="s">
        <v>104</v>
      </c>
      <c r="M239" t="s">
        <v>114</v>
      </c>
      <c r="N239" t="s">
        <v>113</v>
      </c>
      <c r="O239" s="48">
        <v>43617</v>
      </c>
      <c r="P239">
        <v>219635.25</v>
      </c>
      <c r="Q239" t="s">
        <v>123</v>
      </c>
    </row>
    <row r="240" spans="12:17" x14ac:dyDescent="0.75">
      <c r="L240" t="s">
        <v>104</v>
      </c>
      <c r="M240" t="s">
        <v>114</v>
      </c>
      <c r="N240" t="s">
        <v>113</v>
      </c>
      <c r="O240" s="48">
        <v>43647</v>
      </c>
      <c r="P240">
        <v>263209</v>
      </c>
      <c r="Q240" t="s">
        <v>123</v>
      </c>
    </row>
    <row r="241" spans="12:17" x14ac:dyDescent="0.75">
      <c r="L241" t="s">
        <v>104</v>
      </c>
      <c r="M241" t="s">
        <v>114</v>
      </c>
      <c r="N241" t="s">
        <v>113</v>
      </c>
      <c r="O241" s="48">
        <v>43678</v>
      </c>
      <c r="P241">
        <v>265711</v>
      </c>
      <c r="Q241" t="s">
        <v>123</v>
      </c>
    </row>
    <row r="242" spans="12:17" x14ac:dyDescent="0.75">
      <c r="L242" t="s">
        <v>104</v>
      </c>
      <c r="M242" t="s">
        <v>114</v>
      </c>
      <c r="N242" t="s">
        <v>113</v>
      </c>
      <c r="O242" s="48">
        <v>43709</v>
      </c>
      <c r="P242">
        <v>234453.5</v>
      </c>
      <c r="Q242" t="s">
        <v>123</v>
      </c>
    </row>
    <row r="243" spans="12:17" x14ac:dyDescent="0.75">
      <c r="L243" t="s">
        <v>104</v>
      </c>
      <c r="M243" t="s">
        <v>114</v>
      </c>
      <c r="N243" t="s">
        <v>113</v>
      </c>
      <c r="O243" s="48">
        <v>43739</v>
      </c>
      <c r="P243">
        <v>227431.5</v>
      </c>
      <c r="Q243" t="s">
        <v>123</v>
      </c>
    </row>
    <row r="244" spans="12:17" x14ac:dyDescent="0.75">
      <c r="L244" t="s">
        <v>104</v>
      </c>
      <c r="M244" t="s">
        <v>114</v>
      </c>
      <c r="N244" t="s">
        <v>113</v>
      </c>
      <c r="O244" s="48">
        <v>43770</v>
      </c>
      <c r="P244">
        <v>209935.75</v>
      </c>
      <c r="Q244" t="s">
        <v>123</v>
      </c>
    </row>
    <row r="245" spans="12:17" x14ac:dyDescent="0.75">
      <c r="L245" t="s">
        <v>104</v>
      </c>
      <c r="M245" t="s">
        <v>114</v>
      </c>
      <c r="N245" t="s">
        <v>113</v>
      </c>
      <c r="O245" s="48">
        <v>43800</v>
      </c>
      <c r="P245">
        <v>232727</v>
      </c>
      <c r="Q245" t="s">
        <v>123</v>
      </c>
    </row>
    <row r="246" spans="12:17" x14ac:dyDescent="0.75">
      <c r="L246" t="s">
        <v>104</v>
      </c>
      <c r="M246" t="s">
        <v>114</v>
      </c>
      <c r="N246" t="s">
        <v>113</v>
      </c>
      <c r="O246" s="48">
        <v>43831</v>
      </c>
      <c r="P246">
        <v>232176.25</v>
      </c>
      <c r="Q246" t="s">
        <v>123</v>
      </c>
    </row>
    <row r="247" spans="12:17" x14ac:dyDescent="0.75">
      <c r="L247" t="s">
        <v>104</v>
      </c>
      <c r="M247" t="s">
        <v>114</v>
      </c>
      <c r="N247" t="s">
        <v>113</v>
      </c>
      <c r="O247" s="48">
        <v>43862</v>
      </c>
      <c r="P247">
        <v>130833.75</v>
      </c>
      <c r="Q247" t="s">
        <v>123</v>
      </c>
    </row>
    <row r="248" spans="12:17" x14ac:dyDescent="0.75">
      <c r="L248" t="s">
        <v>104</v>
      </c>
      <c r="M248" t="s">
        <v>114</v>
      </c>
      <c r="N248" t="s">
        <v>113</v>
      </c>
      <c r="O248" s="48">
        <v>43891</v>
      </c>
      <c r="P248">
        <v>96815</v>
      </c>
      <c r="Q248" t="s">
        <v>123</v>
      </c>
    </row>
    <row r="249" spans="12:17" x14ac:dyDescent="0.75">
      <c r="L249" t="s">
        <v>104</v>
      </c>
      <c r="M249" t="s">
        <v>114</v>
      </c>
      <c r="N249" t="s">
        <v>113</v>
      </c>
      <c r="O249" s="48">
        <v>43922</v>
      </c>
      <c r="P249">
        <v>184491.75</v>
      </c>
      <c r="Q249" t="s">
        <v>123</v>
      </c>
    </row>
    <row r="250" spans="12:17" x14ac:dyDescent="0.75">
      <c r="L250" t="s">
        <v>104</v>
      </c>
      <c r="M250" t="s">
        <v>114</v>
      </c>
      <c r="N250" t="s">
        <v>113</v>
      </c>
      <c r="O250" s="48">
        <v>43952</v>
      </c>
      <c r="P250">
        <v>170916.75</v>
      </c>
      <c r="Q250" t="s">
        <v>123</v>
      </c>
    </row>
    <row r="251" spans="12:17" x14ac:dyDescent="0.75">
      <c r="L251" t="s">
        <v>104</v>
      </c>
      <c r="M251" t="s">
        <v>114</v>
      </c>
      <c r="N251" t="s">
        <v>113</v>
      </c>
      <c r="O251" s="48">
        <v>43983</v>
      </c>
      <c r="P251">
        <v>212632.75</v>
      </c>
      <c r="Q251" t="s">
        <v>123</v>
      </c>
    </row>
    <row r="252" spans="12:17" x14ac:dyDescent="0.75">
      <c r="L252" t="s">
        <v>104</v>
      </c>
      <c r="M252" t="s">
        <v>114</v>
      </c>
      <c r="N252" t="s">
        <v>113</v>
      </c>
      <c r="O252" s="48">
        <v>44013</v>
      </c>
      <c r="P252">
        <v>272838.7</v>
      </c>
      <c r="Q252" t="s">
        <v>123</v>
      </c>
    </row>
    <row r="253" spans="12:17" x14ac:dyDescent="0.75">
      <c r="L253" t="s">
        <v>104</v>
      </c>
      <c r="M253" t="s">
        <v>114</v>
      </c>
      <c r="N253" t="s">
        <v>113</v>
      </c>
      <c r="O253" s="48">
        <v>44044</v>
      </c>
      <c r="P253">
        <v>313379.25</v>
      </c>
      <c r="Q253" t="s">
        <v>123</v>
      </c>
    </row>
    <row r="254" spans="12:17" x14ac:dyDescent="0.75">
      <c r="L254" t="s">
        <v>104</v>
      </c>
      <c r="M254" t="s">
        <v>114</v>
      </c>
      <c r="N254" t="s">
        <v>113</v>
      </c>
      <c r="O254" s="48">
        <v>44075</v>
      </c>
      <c r="P254">
        <v>276546.5</v>
      </c>
      <c r="Q254" t="s">
        <v>123</v>
      </c>
    </row>
    <row r="255" spans="12:17" x14ac:dyDescent="0.75">
      <c r="L255" t="s">
        <v>104</v>
      </c>
      <c r="M255" t="s">
        <v>114</v>
      </c>
      <c r="N255" t="s">
        <v>113</v>
      </c>
      <c r="O255" s="48">
        <v>44105</v>
      </c>
      <c r="P255">
        <v>325980</v>
      </c>
      <c r="Q255" t="s">
        <v>123</v>
      </c>
    </row>
    <row r="256" spans="12:17" x14ac:dyDescent="0.75">
      <c r="L256" t="s">
        <v>104</v>
      </c>
      <c r="M256" t="s">
        <v>114</v>
      </c>
      <c r="N256" t="s">
        <v>113</v>
      </c>
      <c r="O256" s="48">
        <v>44136</v>
      </c>
      <c r="P256">
        <v>292762.25</v>
      </c>
      <c r="Q256" t="s">
        <v>123</v>
      </c>
    </row>
    <row r="257" spans="12:17" x14ac:dyDescent="0.75">
      <c r="L257" t="s">
        <v>104</v>
      </c>
      <c r="M257" t="s">
        <v>114</v>
      </c>
      <c r="N257" t="s">
        <v>113</v>
      </c>
      <c r="O257" s="48">
        <v>44166</v>
      </c>
      <c r="P257">
        <v>296265.75</v>
      </c>
      <c r="Q257" t="s">
        <v>123</v>
      </c>
    </row>
    <row r="258" spans="12:17" x14ac:dyDescent="0.75">
      <c r="L258" t="s">
        <v>104</v>
      </c>
      <c r="M258" t="s">
        <v>114</v>
      </c>
      <c r="N258" t="s">
        <v>113</v>
      </c>
      <c r="O258" s="48">
        <v>44197</v>
      </c>
      <c r="P258">
        <v>278326.25</v>
      </c>
      <c r="Q258" t="s">
        <v>123</v>
      </c>
    </row>
    <row r="259" spans="12:17" x14ac:dyDescent="0.75">
      <c r="L259" t="s">
        <v>104</v>
      </c>
      <c r="M259" t="s">
        <v>114</v>
      </c>
      <c r="N259" t="s">
        <v>113</v>
      </c>
      <c r="O259" s="48">
        <v>44228</v>
      </c>
      <c r="P259">
        <v>283952.75</v>
      </c>
      <c r="Q259" t="s">
        <v>123</v>
      </c>
    </row>
    <row r="260" spans="12:17" x14ac:dyDescent="0.75">
      <c r="L260" t="s">
        <v>104</v>
      </c>
      <c r="M260" t="s">
        <v>114</v>
      </c>
      <c r="N260" t="s">
        <v>113</v>
      </c>
      <c r="O260" s="48">
        <v>44256</v>
      </c>
      <c r="P260">
        <v>341235</v>
      </c>
      <c r="Q260" t="s">
        <v>123</v>
      </c>
    </row>
    <row r="261" spans="12:17" x14ac:dyDescent="0.75">
      <c r="L261" t="s">
        <v>104</v>
      </c>
      <c r="M261" t="s">
        <v>114</v>
      </c>
      <c r="N261" t="s">
        <v>113</v>
      </c>
      <c r="O261" s="48">
        <v>44287</v>
      </c>
      <c r="P261">
        <v>337836.25</v>
      </c>
      <c r="Q261" t="s">
        <v>123</v>
      </c>
    </row>
    <row r="262" spans="12:17" x14ac:dyDescent="0.75">
      <c r="L262" t="s">
        <v>104</v>
      </c>
      <c r="M262" t="s">
        <v>114</v>
      </c>
      <c r="N262" t="s">
        <v>113</v>
      </c>
      <c r="O262" s="48">
        <v>44317</v>
      </c>
      <c r="P262">
        <v>361358.75</v>
      </c>
      <c r="Q262" t="s">
        <v>123</v>
      </c>
    </row>
    <row r="263" spans="12:17" x14ac:dyDescent="0.75">
      <c r="L263" t="s">
        <v>104</v>
      </c>
      <c r="M263" t="s">
        <v>114</v>
      </c>
      <c r="N263" t="s">
        <v>113</v>
      </c>
      <c r="O263" s="48">
        <v>44348</v>
      </c>
      <c r="P263">
        <v>310810</v>
      </c>
      <c r="Q263" t="s">
        <v>123</v>
      </c>
    </row>
    <row r="264" spans="12:17" x14ac:dyDescent="0.75">
      <c r="L264" t="s">
        <v>104</v>
      </c>
      <c r="M264" t="s">
        <v>114</v>
      </c>
      <c r="N264" t="s">
        <v>113</v>
      </c>
      <c r="O264" s="48">
        <v>44378</v>
      </c>
      <c r="P264">
        <v>329878.75</v>
      </c>
      <c r="Q264" t="s">
        <v>123</v>
      </c>
    </row>
    <row r="265" spans="12:17" x14ac:dyDescent="0.75">
      <c r="L265" t="s">
        <v>104</v>
      </c>
      <c r="M265" t="s">
        <v>114</v>
      </c>
      <c r="N265" t="s">
        <v>113</v>
      </c>
      <c r="O265" s="48">
        <v>44409</v>
      </c>
      <c r="P265">
        <v>364211.5</v>
      </c>
      <c r="Q265" t="s">
        <v>123</v>
      </c>
    </row>
    <row r="266" spans="12:17" x14ac:dyDescent="0.75">
      <c r="L266" t="s">
        <v>104</v>
      </c>
      <c r="M266" t="s">
        <v>114</v>
      </c>
      <c r="N266" t="s">
        <v>113</v>
      </c>
      <c r="O266" s="48">
        <v>44440</v>
      </c>
      <c r="P266">
        <v>358581</v>
      </c>
      <c r="Q266" t="s">
        <v>123</v>
      </c>
    </row>
    <row r="267" spans="12:17" x14ac:dyDescent="0.75">
      <c r="L267" t="s">
        <v>104</v>
      </c>
      <c r="M267" t="s">
        <v>114</v>
      </c>
      <c r="N267" t="s">
        <v>113</v>
      </c>
      <c r="O267" s="48">
        <v>44470</v>
      </c>
      <c r="P267">
        <v>335679.05</v>
      </c>
      <c r="Q267" t="s">
        <v>123</v>
      </c>
    </row>
    <row r="268" spans="12:17" x14ac:dyDescent="0.75">
      <c r="L268" t="s">
        <v>104</v>
      </c>
      <c r="M268" t="s">
        <v>114</v>
      </c>
      <c r="N268" t="s">
        <v>113</v>
      </c>
      <c r="O268" s="48">
        <v>44501</v>
      </c>
      <c r="P268">
        <v>323409.25</v>
      </c>
      <c r="Q268" t="s">
        <v>123</v>
      </c>
    </row>
    <row r="269" spans="12:17" x14ac:dyDescent="0.75">
      <c r="L269" t="s">
        <v>104</v>
      </c>
      <c r="M269" t="s">
        <v>114</v>
      </c>
      <c r="N269" t="s">
        <v>113</v>
      </c>
      <c r="O269" s="48">
        <v>44531</v>
      </c>
      <c r="P269">
        <v>328193.84999999998</v>
      </c>
      <c r="Q269" t="s">
        <v>123</v>
      </c>
    </row>
    <row r="270" spans="12:17" x14ac:dyDescent="0.75">
      <c r="L270" t="s">
        <v>104</v>
      </c>
      <c r="M270" t="s">
        <v>114</v>
      </c>
      <c r="N270" t="s">
        <v>113</v>
      </c>
      <c r="O270" s="48">
        <v>44562</v>
      </c>
      <c r="P270">
        <v>336935.85</v>
      </c>
      <c r="Q270" t="s">
        <v>123</v>
      </c>
    </row>
    <row r="271" spans="12:17" x14ac:dyDescent="0.75">
      <c r="L271" t="s">
        <v>104</v>
      </c>
      <c r="M271" t="s">
        <v>114</v>
      </c>
      <c r="N271" t="s">
        <v>113</v>
      </c>
      <c r="O271" s="48">
        <v>44593</v>
      </c>
      <c r="P271">
        <v>335510.95</v>
      </c>
      <c r="Q271" t="s">
        <v>123</v>
      </c>
    </row>
    <row r="272" spans="12:17" x14ac:dyDescent="0.75">
      <c r="L272" t="s">
        <v>104</v>
      </c>
      <c r="M272" t="s">
        <v>114</v>
      </c>
      <c r="N272" t="s">
        <v>113</v>
      </c>
      <c r="O272" s="48">
        <v>44621</v>
      </c>
      <c r="P272">
        <v>349116.95</v>
      </c>
      <c r="Q272" t="s">
        <v>123</v>
      </c>
    </row>
    <row r="273" spans="12:17" x14ac:dyDescent="0.75">
      <c r="L273" t="s">
        <v>104</v>
      </c>
      <c r="M273" t="s">
        <v>114</v>
      </c>
      <c r="N273" t="s">
        <v>113</v>
      </c>
      <c r="O273" s="48">
        <v>44652</v>
      </c>
      <c r="P273">
        <v>329215.3</v>
      </c>
      <c r="Q273" t="s">
        <v>123</v>
      </c>
    </row>
    <row r="274" spans="12:17" x14ac:dyDescent="0.75">
      <c r="L274" t="s">
        <v>104</v>
      </c>
      <c r="M274" t="s">
        <v>114</v>
      </c>
      <c r="N274" t="s">
        <v>113</v>
      </c>
      <c r="O274" s="48">
        <v>44682</v>
      </c>
      <c r="P274">
        <v>340565.35</v>
      </c>
      <c r="Q274" t="s">
        <v>123</v>
      </c>
    </row>
    <row r="275" spans="12:17" x14ac:dyDescent="0.75">
      <c r="L275" t="s">
        <v>104</v>
      </c>
      <c r="M275" t="s">
        <v>114</v>
      </c>
      <c r="N275" t="s">
        <v>113</v>
      </c>
      <c r="O275" s="48">
        <v>44713</v>
      </c>
      <c r="P275">
        <v>334454.45</v>
      </c>
      <c r="Q275" t="s">
        <v>123</v>
      </c>
    </row>
    <row r="276" spans="12:17" x14ac:dyDescent="0.75">
      <c r="L276" t="s">
        <v>104</v>
      </c>
      <c r="M276" t="s">
        <v>114</v>
      </c>
      <c r="N276" t="s">
        <v>113</v>
      </c>
      <c r="O276" s="48">
        <v>44743</v>
      </c>
      <c r="P276">
        <v>340815.95</v>
      </c>
      <c r="Q276" t="s">
        <v>123</v>
      </c>
    </row>
    <row r="277" spans="12:17" x14ac:dyDescent="0.75">
      <c r="L277" t="s">
        <v>104</v>
      </c>
      <c r="M277" t="s">
        <v>114</v>
      </c>
      <c r="N277" t="s">
        <v>113</v>
      </c>
      <c r="O277" s="48">
        <v>44774</v>
      </c>
      <c r="P277">
        <v>297328.75</v>
      </c>
      <c r="Q277" t="s">
        <v>123</v>
      </c>
    </row>
    <row r="278" spans="12:17" x14ac:dyDescent="0.75">
      <c r="L278" t="s">
        <v>104</v>
      </c>
      <c r="M278" t="s">
        <v>114</v>
      </c>
      <c r="N278" t="s">
        <v>113</v>
      </c>
      <c r="O278" s="48">
        <v>44805</v>
      </c>
      <c r="P278">
        <v>286618</v>
      </c>
      <c r="Q278" t="s">
        <v>123</v>
      </c>
    </row>
    <row r="279" spans="12:17" x14ac:dyDescent="0.75">
      <c r="L279" t="s">
        <v>104</v>
      </c>
      <c r="M279" t="s">
        <v>114</v>
      </c>
      <c r="N279" t="s">
        <v>113</v>
      </c>
      <c r="O279" s="48">
        <v>44835</v>
      </c>
      <c r="P279">
        <v>248044</v>
      </c>
      <c r="Q279" t="s">
        <v>123</v>
      </c>
    </row>
    <row r="280" spans="12:17" x14ac:dyDescent="0.75">
      <c r="L280" t="s">
        <v>104</v>
      </c>
      <c r="M280" t="s">
        <v>114</v>
      </c>
      <c r="N280" t="s">
        <v>113</v>
      </c>
      <c r="O280" s="48">
        <v>44866</v>
      </c>
      <c r="P280">
        <v>237672.25</v>
      </c>
      <c r="Q280" t="s">
        <v>123</v>
      </c>
    </row>
    <row r="281" spans="12:17" x14ac:dyDescent="0.75">
      <c r="L281" t="s">
        <v>104</v>
      </c>
      <c r="M281" t="s">
        <v>114</v>
      </c>
      <c r="N281" t="s">
        <v>113</v>
      </c>
      <c r="O281" s="48">
        <v>44896</v>
      </c>
      <c r="P281">
        <v>272481.25</v>
      </c>
      <c r="Q281" t="s">
        <v>123</v>
      </c>
    </row>
    <row r="282" spans="12:17" x14ac:dyDescent="0.75">
      <c r="L282" t="s">
        <v>104</v>
      </c>
      <c r="M282" t="s">
        <v>114</v>
      </c>
      <c r="N282" t="s">
        <v>113</v>
      </c>
      <c r="O282" s="48">
        <v>44927</v>
      </c>
      <c r="P282">
        <v>244770</v>
      </c>
      <c r="Q282" t="s">
        <v>123</v>
      </c>
    </row>
    <row r="283" spans="12:17" x14ac:dyDescent="0.75">
      <c r="L283" t="s">
        <v>104</v>
      </c>
      <c r="M283" t="s">
        <v>114</v>
      </c>
      <c r="N283" t="s">
        <v>113</v>
      </c>
      <c r="O283" s="48">
        <v>44958</v>
      </c>
      <c r="P283">
        <v>153859.5</v>
      </c>
      <c r="Q283" t="s">
        <v>123</v>
      </c>
    </row>
    <row r="284" spans="12:17" x14ac:dyDescent="0.75">
      <c r="L284" t="s">
        <v>104</v>
      </c>
      <c r="M284" t="s">
        <v>114</v>
      </c>
      <c r="N284" t="s">
        <v>113</v>
      </c>
      <c r="O284" s="48">
        <v>44986</v>
      </c>
      <c r="P284">
        <v>199003</v>
      </c>
      <c r="Q284" t="s">
        <v>123</v>
      </c>
    </row>
    <row r="285" spans="12:17" x14ac:dyDescent="0.75">
      <c r="L285" t="s">
        <v>104</v>
      </c>
      <c r="M285" t="s">
        <v>114</v>
      </c>
      <c r="N285" t="s">
        <v>113</v>
      </c>
      <c r="O285" s="48">
        <v>45017</v>
      </c>
      <c r="P285">
        <v>252024.25</v>
      </c>
      <c r="Q285" t="s">
        <v>123</v>
      </c>
    </row>
    <row r="286" spans="12:17" x14ac:dyDescent="0.75">
      <c r="L286" t="s">
        <v>104</v>
      </c>
      <c r="M286" t="s">
        <v>114</v>
      </c>
      <c r="N286" t="s">
        <v>113</v>
      </c>
      <c r="O286" s="48">
        <v>45047</v>
      </c>
      <c r="P286">
        <v>265713.25</v>
      </c>
      <c r="Q286" t="s">
        <v>123</v>
      </c>
    </row>
    <row r="287" spans="12:17" x14ac:dyDescent="0.75">
      <c r="L287" t="s">
        <v>104</v>
      </c>
      <c r="M287" t="s">
        <v>114</v>
      </c>
      <c r="N287" t="s">
        <v>113</v>
      </c>
      <c r="O287" s="48">
        <v>45078</v>
      </c>
      <c r="P287">
        <v>287609.75</v>
      </c>
      <c r="Q287" t="s">
        <v>123</v>
      </c>
    </row>
    <row r="288" spans="12:17" x14ac:dyDescent="0.75">
      <c r="L288" t="s">
        <v>104</v>
      </c>
      <c r="M288" t="s">
        <v>114</v>
      </c>
      <c r="N288" t="s">
        <v>113</v>
      </c>
      <c r="O288" s="48">
        <v>45108</v>
      </c>
      <c r="P288">
        <v>209068.25</v>
      </c>
      <c r="Q288" t="s">
        <v>123</v>
      </c>
    </row>
    <row r="289" spans="12:17" x14ac:dyDescent="0.75">
      <c r="L289" t="s">
        <v>104</v>
      </c>
      <c r="M289" t="s">
        <v>114</v>
      </c>
      <c r="N289" t="s">
        <v>113</v>
      </c>
      <c r="O289" s="48">
        <v>45139</v>
      </c>
      <c r="P289">
        <v>267045</v>
      </c>
      <c r="Q289" t="s">
        <v>123</v>
      </c>
    </row>
    <row r="290" spans="12:17" x14ac:dyDescent="0.75">
      <c r="L290" t="s">
        <v>104</v>
      </c>
      <c r="M290" t="s">
        <v>114</v>
      </c>
      <c r="N290" t="s">
        <v>113</v>
      </c>
      <c r="O290" s="48">
        <v>45170</v>
      </c>
      <c r="P290">
        <v>233752.5</v>
      </c>
      <c r="Q290" t="s">
        <v>123</v>
      </c>
    </row>
    <row r="291" spans="12:17" x14ac:dyDescent="0.75">
      <c r="L291" t="s">
        <v>104</v>
      </c>
      <c r="M291" t="s">
        <v>114</v>
      </c>
      <c r="N291" t="s">
        <v>113</v>
      </c>
      <c r="O291" s="48">
        <v>45200</v>
      </c>
      <c r="P291">
        <v>231934.25</v>
      </c>
      <c r="Q291" t="s">
        <v>123</v>
      </c>
    </row>
    <row r="292" spans="12:17" x14ac:dyDescent="0.75">
      <c r="L292" t="s">
        <v>104</v>
      </c>
      <c r="M292" t="s">
        <v>114</v>
      </c>
      <c r="N292" t="s">
        <v>113</v>
      </c>
      <c r="O292" s="48">
        <v>45231</v>
      </c>
      <c r="P292">
        <v>266747.25</v>
      </c>
      <c r="Q292" t="s">
        <v>123</v>
      </c>
    </row>
    <row r="293" spans="12:17" x14ac:dyDescent="0.75">
      <c r="L293" t="s">
        <v>104</v>
      </c>
      <c r="M293" t="s">
        <v>114</v>
      </c>
      <c r="N293" t="s">
        <v>113</v>
      </c>
      <c r="O293" s="48">
        <v>45261</v>
      </c>
      <c r="P293">
        <v>256092.25</v>
      </c>
      <c r="Q293" t="s">
        <v>123</v>
      </c>
    </row>
    <row r="294" spans="12:17" x14ac:dyDescent="0.75">
      <c r="L294" t="s">
        <v>104</v>
      </c>
      <c r="M294" t="s">
        <v>114</v>
      </c>
      <c r="N294" t="s">
        <v>113</v>
      </c>
      <c r="O294" s="48">
        <v>45292</v>
      </c>
      <c r="P294">
        <v>287156.5</v>
      </c>
      <c r="Q294" t="s">
        <v>123</v>
      </c>
    </row>
    <row r="295" spans="12:17" x14ac:dyDescent="0.75">
      <c r="L295" t="s">
        <v>104</v>
      </c>
      <c r="M295" t="s">
        <v>114</v>
      </c>
      <c r="N295" t="s">
        <v>113</v>
      </c>
      <c r="O295" s="48">
        <v>45323</v>
      </c>
      <c r="P295">
        <v>239776.5</v>
      </c>
      <c r="Q295" t="s">
        <v>123</v>
      </c>
    </row>
    <row r="296" spans="12:17" x14ac:dyDescent="0.75">
      <c r="L296" t="s">
        <v>104</v>
      </c>
      <c r="M296" t="s">
        <v>114</v>
      </c>
      <c r="N296" t="s">
        <v>113</v>
      </c>
      <c r="O296" s="48">
        <v>45352</v>
      </c>
      <c r="P296">
        <v>218139.25</v>
      </c>
      <c r="Q296" t="s">
        <v>123</v>
      </c>
    </row>
    <row r="297" spans="12:17" x14ac:dyDescent="0.75">
      <c r="L297" t="s">
        <v>104</v>
      </c>
      <c r="M297" t="s">
        <v>114</v>
      </c>
      <c r="N297" t="s">
        <v>113</v>
      </c>
      <c r="O297" s="48">
        <v>45383</v>
      </c>
      <c r="P297">
        <v>220109</v>
      </c>
      <c r="Q297" t="s">
        <v>123</v>
      </c>
    </row>
    <row r="298" spans="12:17" x14ac:dyDescent="0.75">
      <c r="L298" t="s">
        <v>104</v>
      </c>
      <c r="M298" t="s">
        <v>114</v>
      </c>
      <c r="N298" t="s">
        <v>113</v>
      </c>
      <c r="O298" s="48">
        <v>45413</v>
      </c>
      <c r="P298">
        <v>235800</v>
      </c>
      <c r="Q298" t="s">
        <v>123</v>
      </c>
    </row>
    <row r="299" spans="12:17" x14ac:dyDescent="0.75">
      <c r="L299" t="s">
        <v>104</v>
      </c>
      <c r="M299" t="s">
        <v>114</v>
      </c>
      <c r="N299" t="s">
        <v>113</v>
      </c>
      <c r="O299" s="48">
        <v>45444</v>
      </c>
      <c r="P299">
        <v>275944.25</v>
      </c>
      <c r="Q299" t="s">
        <v>123</v>
      </c>
    </row>
    <row r="300" spans="12:17" x14ac:dyDescent="0.75">
      <c r="L300" t="s">
        <v>104</v>
      </c>
      <c r="M300" t="s">
        <v>114</v>
      </c>
      <c r="N300" t="s">
        <v>113</v>
      </c>
      <c r="O300" s="48">
        <v>45474</v>
      </c>
      <c r="P300">
        <v>323072.25</v>
      </c>
      <c r="Q300" t="s">
        <v>123</v>
      </c>
    </row>
    <row r="301" spans="12:17" x14ac:dyDescent="0.75">
      <c r="L301" t="s">
        <v>104</v>
      </c>
      <c r="M301" t="s">
        <v>114</v>
      </c>
      <c r="N301" t="s">
        <v>113</v>
      </c>
      <c r="O301" s="48">
        <v>45505</v>
      </c>
      <c r="P301">
        <v>328154</v>
      </c>
      <c r="Q301" t="s">
        <v>123</v>
      </c>
    </row>
    <row r="302" spans="12:17" x14ac:dyDescent="0.75">
      <c r="L302" t="s">
        <v>104</v>
      </c>
      <c r="M302" t="s">
        <v>114</v>
      </c>
      <c r="N302" t="s">
        <v>113</v>
      </c>
      <c r="O302" s="48">
        <v>45536</v>
      </c>
      <c r="P302">
        <v>340117.25</v>
      </c>
      <c r="Q302" t="s">
        <v>123</v>
      </c>
    </row>
    <row r="303" spans="12:17" x14ac:dyDescent="0.75">
      <c r="L303" t="s">
        <v>104</v>
      </c>
      <c r="M303" t="s">
        <v>114</v>
      </c>
      <c r="N303" t="s">
        <v>113</v>
      </c>
      <c r="O303" s="48">
        <v>45566</v>
      </c>
      <c r="P303">
        <v>319057.5</v>
      </c>
      <c r="Q303" t="s">
        <v>123</v>
      </c>
    </row>
    <row r="304" spans="12:17" x14ac:dyDescent="0.75">
      <c r="L304" t="s">
        <v>104</v>
      </c>
      <c r="M304" t="s">
        <v>114</v>
      </c>
      <c r="N304" t="s">
        <v>113</v>
      </c>
      <c r="O304" s="48">
        <v>45597</v>
      </c>
      <c r="P304">
        <v>301794.5</v>
      </c>
      <c r="Q304" t="s">
        <v>123</v>
      </c>
    </row>
    <row r="305" spans="12:17" x14ac:dyDescent="0.75">
      <c r="L305" t="s">
        <v>104</v>
      </c>
      <c r="M305" t="s">
        <v>114</v>
      </c>
      <c r="N305" t="s">
        <v>113</v>
      </c>
      <c r="O305" s="48">
        <v>45627</v>
      </c>
      <c r="P305">
        <v>349820.5</v>
      </c>
      <c r="Q305" t="s">
        <v>123</v>
      </c>
    </row>
    <row r="306" spans="12:17" x14ac:dyDescent="0.75">
      <c r="L306" t="s">
        <v>104</v>
      </c>
      <c r="M306" t="s">
        <v>114</v>
      </c>
      <c r="N306" t="s">
        <v>113</v>
      </c>
      <c r="O306" s="48">
        <v>45658</v>
      </c>
      <c r="P306">
        <v>326999</v>
      </c>
      <c r="Q306" t="s">
        <v>123</v>
      </c>
    </row>
    <row r="307" spans="12:17" x14ac:dyDescent="0.75">
      <c r="L307" t="s">
        <v>104</v>
      </c>
      <c r="M307" t="s">
        <v>114</v>
      </c>
      <c r="N307" t="s">
        <v>113</v>
      </c>
      <c r="O307" s="48">
        <v>45689</v>
      </c>
      <c r="P307">
        <v>278972.5</v>
      </c>
      <c r="Q307" t="s">
        <v>123</v>
      </c>
    </row>
    <row r="308" spans="12:17" x14ac:dyDescent="0.75">
      <c r="L308" t="s">
        <v>104</v>
      </c>
      <c r="M308" t="s">
        <v>114</v>
      </c>
      <c r="N308" t="s">
        <v>113</v>
      </c>
      <c r="O308" s="48">
        <v>45717</v>
      </c>
      <c r="P308">
        <v>268838.2</v>
      </c>
      <c r="Q308" t="s">
        <v>123</v>
      </c>
    </row>
    <row r="309" spans="12:17" x14ac:dyDescent="0.75">
      <c r="L309" t="s">
        <v>104</v>
      </c>
      <c r="M309" t="s">
        <v>114</v>
      </c>
      <c r="N309" t="s">
        <v>113</v>
      </c>
      <c r="O309" s="48">
        <v>45748</v>
      </c>
      <c r="P309">
        <v>274528.5</v>
      </c>
      <c r="Q309" t="s">
        <v>123</v>
      </c>
    </row>
    <row r="310" spans="12:17" x14ac:dyDescent="0.75">
      <c r="L310" t="s">
        <v>104</v>
      </c>
      <c r="M310" t="s">
        <v>114</v>
      </c>
      <c r="N310" t="s">
        <v>113</v>
      </c>
      <c r="O310" s="48">
        <v>45778</v>
      </c>
      <c r="P310">
        <v>240058.75</v>
      </c>
      <c r="Q310" t="s">
        <v>123</v>
      </c>
    </row>
    <row r="311" spans="12:17" x14ac:dyDescent="0.75">
      <c r="L311" t="s">
        <v>105</v>
      </c>
      <c r="M311" t="s">
        <v>115</v>
      </c>
      <c r="N311" t="s">
        <v>116</v>
      </c>
      <c r="O311" s="48">
        <v>43466</v>
      </c>
      <c r="P311">
        <v>60043</v>
      </c>
      <c r="Q311" t="s">
        <v>123</v>
      </c>
    </row>
    <row r="312" spans="12:17" x14ac:dyDescent="0.75">
      <c r="L312" t="s">
        <v>105</v>
      </c>
      <c r="M312" t="s">
        <v>115</v>
      </c>
      <c r="N312" t="s">
        <v>116</v>
      </c>
      <c r="O312" s="48">
        <v>43497</v>
      </c>
      <c r="P312">
        <v>44157</v>
      </c>
      <c r="Q312" t="s">
        <v>123</v>
      </c>
    </row>
    <row r="313" spans="12:17" x14ac:dyDescent="0.75">
      <c r="L313" t="s">
        <v>105</v>
      </c>
      <c r="M313" t="s">
        <v>115</v>
      </c>
      <c r="N313" t="s">
        <v>116</v>
      </c>
      <c r="O313" s="48">
        <v>43525</v>
      </c>
      <c r="P313">
        <v>52437</v>
      </c>
      <c r="Q313" t="s">
        <v>123</v>
      </c>
    </row>
    <row r="314" spans="12:17" x14ac:dyDescent="0.75">
      <c r="L314" t="s">
        <v>105</v>
      </c>
      <c r="M314" t="s">
        <v>115</v>
      </c>
      <c r="N314" t="s">
        <v>116</v>
      </c>
      <c r="O314" s="48">
        <v>43556</v>
      </c>
      <c r="P314">
        <v>56604</v>
      </c>
      <c r="Q314" t="s">
        <v>123</v>
      </c>
    </row>
    <row r="315" spans="12:17" x14ac:dyDescent="0.75">
      <c r="L315" t="s">
        <v>105</v>
      </c>
      <c r="M315" t="s">
        <v>115</v>
      </c>
      <c r="N315" t="s">
        <v>116</v>
      </c>
      <c r="O315" s="48">
        <v>43586</v>
      </c>
      <c r="P315">
        <v>51252</v>
      </c>
      <c r="Q315" t="s">
        <v>123</v>
      </c>
    </row>
    <row r="316" spans="12:17" x14ac:dyDescent="0.75">
      <c r="L316" t="s">
        <v>105</v>
      </c>
      <c r="M316" t="s">
        <v>115</v>
      </c>
      <c r="N316" t="s">
        <v>116</v>
      </c>
      <c r="O316" s="48">
        <v>43617</v>
      </c>
      <c r="P316">
        <v>59432</v>
      </c>
      <c r="Q316" t="s">
        <v>123</v>
      </c>
    </row>
    <row r="317" spans="12:17" x14ac:dyDescent="0.75">
      <c r="L317" t="s">
        <v>105</v>
      </c>
      <c r="M317" t="s">
        <v>115</v>
      </c>
      <c r="N317" t="s">
        <v>116</v>
      </c>
      <c r="O317" s="48">
        <v>43647</v>
      </c>
      <c r="P317">
        <v>52580</v>
      </c>
      <c r="Q317" t="s">
        <v>123</v>
      </c>
    </row>
    <row r="318" spans="12:17" x14ac:dyDescent="0.75">
      <c r="L318" t="s">
        <v>105</v>
      </c>
      <c r="M318" t="s">
        <v>115</v>
      </c>
      <c r="N318" t="s">
        <v>116</v>
      </c>
      <c r="O318" s="48">
        <v>43678</v>
      </c>
      <c r="P318">
        <v>58749</v>
      </c>
      <c r="Q318" t="s">
        <v>123</v>
      </c>
    </row>
    <row r="319" spans="12:17" x14ac:dyDescent="0.75">
      <c r="L319" t="s">
        <v>105</v>
      </c>
      <c r="M319" t="s">
        <v>115</v>
      </c>
      <c r="N319" t="s">
        <v>116</v>
      </c>
      <c r="O319" s="48">
        <v>43709</v>
      </c>
      <c r="P319">
        <v>56313</v>
      </c>
      <c r="Q319" t="s">
        <v>123</v>
      </c>
    </row>
    <row r="320" spans="12:17" x14ac:dyDescent="0.75">
      <c r="L320" t="s">
        <v>105</v>
      </c>
      <c r="M320" t="s">
        <v>115</v>
      </c>
      <c r="N320" t="s">
        <v>116</v>
      </c>
      <c r="O320" s="48">
        <v>43739</v>
      </c>
      <c r="P320">
        <v>49468</v>
      </c>
      <c r="Q320" t="s">
        <v>123</v>
      </c>
    </row>
    <row r="321" spans="12:17" x14ac:dyDescent="0.75">
      <c r="L321" t="s">
        <v>105</v>
      </c>
      <c r="M321" t="s">
        <v>115</v>
      </c>
      <c r="N321" t="s">
        <v>116</v>
      </c>
      <c r="O321" s="48">
        <v>43770</v>
      </c>
      <c r="P321">
        <v>33655</v>
      </c>
      <c r="Q321" t="s">
        <v>123</v>
      </c>
    </row>
    <row r="322" spans="12:17" x14ac:dyDescent="0.75">
      <c r="L322" t="s">
        <v>105</v>
      </c>
      <c r="M322" t="s">
        <v>115</v>
      </c>
      <c r="N322" t="s">
        <v>116</v>
      </c>
      <c r="O322" s="48">
        <v>43800</v>
      </c>
      <c r="P322">
        <v>43299</v>
      </c>
      <c r="Q322" t="s">
        <v>123</v>
      </c>
    </row>
    <row r="323" spans="12:17" x14ac:dyDescent="0.75">
      <c r="L323" t="s">
        <v>105</v>
      </c>
      <c r="M323" t="s">
        <v>115</v>
      </c>
      <c r="N323" t="s">
        <v>116</v>
      </c>
      <c r="O323" s="48">
        <v>43831</v>
      </c>
      <c r="P323">
        <v>39248</v>
      </c>
      <c r="Q323" t="s">
        <v>123</v>
      </c>
    </row>
    <row r="324" spans="12:17" x14ac:dyDescent="0.75">
      <c r="L324" t="s">
        <v>105</v>
      </c>
      <c r="M324" t="s">
        <v>115</v>
      </c>
      <c r="N324" t="s">
        <v>116</v>
      </c>
      <c r="O324" s="48">
        <v>43862</v>
      </c>
      <c r="P324">
        <v>39591</v>
      </c>
      <c r="Q324" t="s">
        <v>123</v>
      </c>
    </row>
    <row r="325" spans="12:17" x14ac:dyDescent="0.75">
      <c r="L325" t="s">
        <v>105</v>
      </c>
      <c r="M325" t="s">
        <v>115</v>
      </c>
      <c r="N325" t="s">
        <v>116</v>
      </c>
      <c r="O325" s="48">
        <v>43891</v>
      </c>
      <c r="P325">
        <v>22167</v>
      </c>
      <c r="Q325" t="s">
        <v>123</v>
      </c>
    </row>
    <row r="326" spans="12:17" x14ac:dyDescent="0.75">
      <c r="L326" t="s">
        <v>105</v>
      </c>
      <c r="M326" t="s">
        <v>115</v>
      </c>
      <c r="N326" t="s">
        <v>116</v>
      </c>
      <c r="O326" s="48">
        <v>43922</v>
      </c>
      <c r="P326">
        <v>23847</v>
      </c>
      <c r="Q326" t="s">
        <v>123</v>
      </c>
    </row>
    <row r="327" spans="12:17" x14ac:dyDescent="0.75">
      <c r="L327" t="s">
        <v>105</v>
      </c>
      <c r="M327" t="s">
        <v>115</v>
      </c>
      <c r="N327" t="s">
        <v>116</v>
      </c>
      <c r="O327" s="48">
        <v>43952</v>
      </c>
      <c r="P327">
        <v>29583</v>
      </c>
      <c r="Q327" t="s">
        <v>123</v>
      </c>
    </row>
    <row r="328" spans="12:17" x14ac:dyDescent="0.75">
      <c r="L328" t="s">
        <v>105</v>
      </c>
      <c r="M328" t="s">
        <v>115</v>
      </c>
      <c r="N328" t="s">
        <v>116</v>
      </c>
      <c r="O328" s="48">
        <v>43983</v>
      </c>
      <c r="P328">
        <v>40903</v>
      </c>
      <c r="Q328" t="s">
        <v>123</v>
      </c>
    </row>
    <row r="329" spans="12:17" x14ac:dyDescent="0.75">
      <c r="L329" t="s">
        <v>105</v>
      </c>
      <c r="M329" t="s">
        <v>115</v>
      </c>
      <c r="N329" t="s">
        <v>116</v>
      </c>
      <c r="O329" s="48">
        <v>44013</v>
      </c>
      <c r="P329">
        <v>40352</v>
      </c>
      <c r="Q329" t="s">
        <v>123</v>
      </c>
    </row>
    <row r="330" spans="12:17" x14ac:dyDescent="0.75">
      <c r="L330" t="s">
        <v>105</v>
      </c>
      <c r="M330" t="s">
        <v>115</v>
      </c>
      <c r="N330" t="s">
        <v>116</v>
      </c>
      <c r="O330" s="48">
        <v>44044</v>
      </c>
      <c r="P330">
        <v>46533</v>
      </c>
      <c r="Q330" t="s">
        <v>123</v>
      </c>
    </row>
    <row r="331" spans="12:17" x14ac:dyDescent="0.75">
      <c r="L331" t="s">
        <v>105</v>
      </c>
      <c r="M331" t="s">
        <v>115</v>
      </c>
      <c r="N331" t="s">
        <v>116</v>
      </c>
      <c r="O331" s="48">
        <v>44075</v>
      </c>
      <c r="P331">
        <v>50494</v>
      </c>
      <c r="Q331" t="s">
        <v>123</v>
      </c>
    </row>
    <row r="332" spans="12:17" x14ac:dyDescent="0.75">
      <c r="L332" t="s">
        <v>105</v>
      </c>
      <c r="M332" t="s">
        <v>115</v>
      </c>
      <c r="N332" t="s">
        <v>116</v>
      </c>
      <c r="O332" s="48">
        <v>44105</v>
      </c>
      <c r="P332">
        <v>51634</v>
      </c>
      <c r="Q332" t="s">
        <v>123</v>
      </c>
    </row>
    <row r="333" spans="12:17" x14ac:dyDescent="0.75">
      <c r="L333" t="s">
        <v>105</v>
      </c>
      <c r="M333" t="s">
        <v>115</v>
      </c>
      <c r="N333" t="s">
        <v>116</v>
      </c>
      <c r="O333" s="48">
        <v>44136</v>
      </c>
      <c r="P333">
        <v>48668</v>
      </c>
      <c r="Q333" t="s">
        <v>123</v>
      </c>
    </row>
    <row r="334" spans="12:17" x14ac:dyDescent="0.75">
      <c r="L334" t="s">
        <v>105</v>
      </c>
      <c r="M334" t="s">
        <v>115</v>
      </c>
      <c r="N334" t="s">
        <v>116</v>
      </c>
      <c r="O334" s="48">
        <v>44166</v>
      </c>
      <c r="P334">
        <v>52842</v>
      </c>
      <c r="Q334" t="s">
        <v>123</v>
      </c>
    </row>
    <row r="335" spans="12:17" x14ac:dyDescent="0.75">
      <c r="L335" t="s">
        <v>105</v>
      </c>
      <c r="M335" t="s">
        <v>115</v>
      </c>
      <c r="N335" t="s">
        <v>116</v>
      </c>
      <c r="O335" s="48">
        <v>44197</v>
      </c>
      <c r="P335">
        <v>60251</v>
      </c>
      <c r="Q335" t="s">
        <v>123</v>
      </c>
    </row>
    <row r="336" spans="12:17" x14ac:dyDescent="0.75">
      <c r="L336" t="s">
        <v>105</v>
      </c>
      <c r="M336" t="s">
        <v>115</v>
      </c>
      <c r="N336" t="s">
        <v>116</v>
      </c>
      <c r="O336" s="48">
        <v>44228</v>
      </c>
      <c r="P336">
        <v>47260</v>
      </c>
      <c r="Q336" t="s">
        <v>123</v>
      </c>
    </row>
    <row r="337" spans="12:17" x14ac:dyDescent="0.75">
      <c r="L337" t="s">
        <v>105</v>
      </c>
      <c r="M337" t="s">
        <v>115</v>
      </c>
      <c r="N337" t="s">
        <v>116</v>
      </c>
      <c r="O337" s="48">
        <v>44256</v>
      </c>
      <c r="P337">
        <v>51242</v>
      </c>
      <c r="Q337" t="s">
        <v>123</v>
      </c>
    </row>
    <row r="338" spans="12:17" x14ac:dyDescent="0.75">
      <c r="L338" t="s">
        <v>105</v>
      </c>
      <c r="M338" t="s">
        <v>115</v>
      </c>
      <c r="N338" t="s">
        <v>116</v>
      </c>
      <c r="O338" s="48">
        <v>44287</v>
      </c>
      <c r="P338">
        <v>55216</v>
      </c>
      <c r="Q338" t="s">
        <v>123</v>
      </c>
    </row>
    <row r="339" spans="12:17" x14ac:dyDescent="0.75">
      <c r="L339" t="s">
        <v>105</v>
      </c>
      <c r="M339" t="s">
        <v>115</v>
      </c>
      <c r="N339" t="s">
        <v>116</v>
      </c>
      <c r="O339" s="48">
        <v>44317</v>
      </c>
      <c r="P339">
        <v>63425</v>
      </c>
      <c r="Q339" t="s">
        <v>123</v>
      </c>
    </row>
    <row r="340" spans="12:17" x14ac:dyDescent="0.75">
      <c r="L340" t="s">
        <v>105</v>
      </c>
      <c r="M340" t="s">
        <v>115</v>
      </c>
      <c r="N340" t="s">
        <v>116</v>
      </c>
      <c r="O340" s="48">
        <v>44348</v>
      </c>
      <c r="P340">
        <v>72076</v>
      </c>
      <c r="Q340" t="s">
        <v>123</v>
      </c>
    </row>
    <row r="341" spans="12:17" x14ac:dyDescent="0.75">
      <c r="L341" t="s">
        <v>105</v>
      </c>
      <c r="M341" t="s">
        <v>115</v>
      </c>
      <c r="N341" t="s">
        <v>116</v>
      </c>
      <c r="O341" s="48">
        <v>44378</v>
      </c>
      <c r="P341">
        <v>65369</v>
      </c>
      <c r="Q341" t="s">
        <v>123</v>
      </c>
    </row>
    <row r="342" spans="12:17" x14ac:dyDescent="0.75">
      <c r="L342" t="s">
        <v>105</v>
      </c>
      <c r="M342" t="s">
        <v>115</v>
      </c>
      <c r="N342" t="s">
        <v>116</v>
      </c>
      <c r="O342" s="48">
        <v>44409</v>
      </c>
      <c r="P342">
        <v>69038</v>
      </c>
      <c r="Q342" t="s">
        <v>123</v>
      </c>
    </row>
    <row r="343" spans="12:17" x14ac:dyDescent="0.75">
      <c r="L343" t="s">
        <v>105</v>
      </c>
      <c r="M343" t="s">
        <v>115</v>
      </c>
      <c r="N343" t="s">
        <v>116</v>
      </c>
      <c r="O343" s="48">
        <v>44440</v>
      </c>
      <c r="P343">
        <v>66547</v>
      </c>
      <c r="Q343" t="s">
        <v>123</v>
      </c>
    </row>
    <row r="344" spans="12:17" x14ac:dyDescent="0.75">
      <c r="L344" t="s">
        <v>105</v>
      </c>
      <c r="M344" t="s">
        <v>115</v>
      </c>
      <c r="N344" t="s">
        <v>116</v>
      </c>
      <c r="O344" s="48">
        <v>44470</v>
      </c>
      <c r="P344">
        <v>66734</v>
      </c>
      <c r="Q344" t="s">
        <v>123</v>
      </c>
    </row>
    <row r="345" spans="12:17" x14ac:dyDescent="0.75">
      <c r="L345" t="s">
        <v>105</v>
      </c>
      <c r="M345" t="s">
        <v>115</v>
      </c>
      <c r="N345" t="s">
        <v>116</v>
      </c>
      <c r="O345" s="48">
        <v>44501</v>
      </c>
      <c r="P345">
        <v>70693</v>
      </c>
      <c r="Q345" t="s">
        <v>123</v>
      </c>
    </row>
    <row r="346" spans="12:17" x14ac:dyDescent="0.75">
      <c r="L346" t="s">
        <v>105</v>
      </c>
      <c r="M346" t="s">
        <v>115</v>
      </c>
      <c r="N346" t="s">
        <v>116</v>
      </c>
      <c r="O346" s="48">
        <v>44531</v>
      </c>
      <c r="P346">
        <v>58153</v>
      </c>
      <c r="Q346" t="s">
        <v>123</v>
      </c>
    </row>
    <row r="347" spans="12:17" x14ac:dyDescent="0.75">
      <c r="L347" t="s">
        <v>105</v>
      </c>
      <c r="M347" t="s">
        <v>115</v>
      </c>
      <c r="N347" t="s">
        <v>116</v>
      </c>
      <c r="O347" s="48">
        <v>44562</v>
      </c>
      <c r="P347">
        <v>66679</v>
      </c>
      <c r="Q347" t="s">
        <v>123</v>
      </c>
    </row>
    <row r="348" spans="12:17" x14ac:dyDescent="0.75">
      <c r="L348" t="s">
        <v>105</v>
      </c>
      <c r="M348" t="s">
        <v>115</v>
      </c>
      <c r="N348" t="s">
        <v>116</v>
      </c>
      <c r="O348" s="48">
        <v>44593</v>
      </c>
      <c r="P348">
        <v>69202</v>
      </c>
      <c r="Q348" t="s">
        <v>123</v>
      </c>
    </row>
    <row r="349" spans="12:17" x14ac:dyDescent="0.75">
      <c r="L349" t="s">
        <v>105</v>
      </c>
      <c r="M349" t="s">
        <v>115</v>
      </c>
      <c r="N349" t="s">
        <v>116</v>
      </c>
      <c r="O349" s="48">
        <v>44621</v>
      </c>
      <c r="P349">
        <v>77788</v>
      </c>
      <c r="Q349" t="s">
        <v>123</v>
      </c>
    </row>
    <row r="350" spans="12:17" x14ac:dyDescent="0.75">
      <c r="L350" t="s">
        <v>105</v>
      </c>
      <c r="M350" t="s">
        <v>115</v>
      </c>
      <c r="N350" t="s">
        <v>116</v>
      </c>
      <c r="O350" s="48">
        <v>44652</v>
      </c>
      <c r="P350">
        <v>56462</v>
      </c>
      <c r="Q350" t="s">
        <v>123</v>
      </c>
    </row>
    <row r="351" spans="12:17" x14ac:dyDescent="0.75">
      <c r="L351" t="s">
        <v>105</v>
      </c>
      <c r="M351" t="s">
        <v>115</v>
      </c>
      <c r="N351" t="s">
        <v>116</v>
      </c>
      <c r="O351" s="48">
        <v>44682</v>
      </c>
      <c r="P351">
        <v>80774</v>
      </c>
      <c r="Q351" t="s">
        <v>123</v>
      </c>
    </row>
    <row r="352" spans="12:17" x14ac:dyDescent="0.75">
      <c r="L352" t="s">
        <v>105</v>
      </c>
      <c r="M352" t="s">
        <v>115</v>
      </c>
      <c r="N352" t="s">
        <v>116</v>
      </c>
      <c r="O352" s="48">
        <v>44713</v>
      </c>
      <c r="P352">
        <v>69687</v>
      </c>
      <c r="Q352" t="s">
        <v>123</v>
      </c>
    </row>
    <row r="353" spans="12:17" x14ac:dyDescent="0.75">
      <c r="L353" t="s">
        <v>105</v>
      </c>
      <c r="M353" t="s">
        <v>115</v>
      </c>
      <c r="N353" t="s">
        <v>116</v>
      </c>
      <c r="O353" s="48">
        <v>44743</v>
      </c>
      <c r="P353">
        <v>58837</v>
      </c>
      <c r="Q353" t="s">
        <v>123</v>
      </c>
    </row>
    <row r="354" spans="12:17" x14ac:dyDescent="0.75">
      <c r="L354" t="s">
        <v>105</v>
      </c>
      <c r="M354" t="s">
        <v>115</v>
      </c>
      <c r="N354" t="s">
        <v>116</v>
      </c>
      <c r="O354" s="48">
        <v>44774</v>
      </c>
      <c r="P354">
        <v>62039</v>
      </c>
      <c r="Q354" t="s">
        <v>123</v>
      </c>
    </row>
    <row r="355" spans="12:17" x14ac:dyDescent="0.75">
      <c r="L355" t="s">
        <v>105</v>
      </c>
      <c r="M355" t="s">
        <v>115</v>
      </c>
      <c r="N355" t="s">
        <v>116</v>
      </c>
      <c r="O355" s="48">
        <v>44805</v>
      </c>
      <c r="P355">
        <v>63348</v>
      </c>
      <c r="Q355" t="s">
        <v>123</v>
      </c>
    </row>
    <row r="356" spans="12:17" x14ac:dyDescent="0.75">
      <c r="L356" t="s">
        <v>105</v>
      </c>
      <c r="M356" t="s">
        <v>115</v>
      </c>
      <c r="N356" t="s">
        <v>116</v>
      </c>
      <c r="O356" s="48">
        <v>44835</v>
      </c>
      <c r="P356">
        <v>64888</v>
      </c>
      <c r="Q356" t="s">
        <v>123</v>
      </c>
    </row>
    <row r="357" spans="12:17" x14ac:dyDescent="0.75">
      <c r="L357" t="s">
        <v>105</v>
      </c>
      <c r="M357" t="s">
        <v>115</v>
      </c>
      <c r="N357" t="s">
        <v>116</v>
      </c>
      <c r="O357" s="48">
        <v>44866</v>
      </c>
      <c r="P357">
        <v>47675</v>
      </c>
      <c r="Q357" t="s">
        <v>123</v>
      </c>
    </row>
    <row r="358" spans="12:17" x14ac:dyDescent="0.75">
      <c r="L358" t="s">
        <v>105</v>
      </c>
      <c r="M358" t="s">
        <v>115</v>
      </c>
      <c r="N358" t="s">
        <v>116</v>
      </c>
      <c r="O358" s="48">
        <v>44896</v>
      </c>
      <c r="P358">
        <v>47082</v>
      </c>
      <c r="Q358" t="s">
        <v>123</v>
      </c>
    </row>
    <row r="359" spans="12:17" x14ac:dyDescent="0.75">
      <c r="L359" t="s">
        <v>105</v>
      </c>
      <c r="M359" t="s">
        <v>115</v>
      </c>
      <c r="N359" t="s">
        <v>116</v>
      </c>
      <c r="O359" s="48">
        <v>44927</v>
      </c>
      <c r="P359">
        <v>42356</v>
      </c>
      <c r="Q359" t="s">
        <v>123</v>
      </c>
    </row>
    <row r="360" spans="12:17" x14ac:dyDescent="0.75">
      <c r="L360" t="s">
        <v>105</v>
      </c>
      <c r="M360" t="s">
        <v>115</v>
      </c>
      <c r="N360" t="s">
        <v>116</v>
      </c>
      <c r="O360" s="48">
        <v>44958</v>
      </c>
      <c r="P360">
        <v>42947</v>
      </c>
      <c r="Q360" t="s">
        <v>123</v>
      </c>
    </row>
    <row r="361" spans="12:17" x14ac:dyDescent="0.75">
      <c r="L361" t="s">
        <v>105</v>
      </c>
      <c r="M361" t="s">
        <v>115</v>
      </c>
      <c r="N361" t="s">
        <v>116</v>
      </c>
      <c r="O361" s="48">
        <v>44986</v>
      </c>
      <c r="P361">
        <v>39022</v>
      </c>
      <c r="Q361" t="s">
        <v>123</v>
      </c>
    </row>
    <row r="362" spans="12:17" x14ac:dyDescent="0.75">
      <c r="L362" t="s">
        <v>105</v>
      </c>
      <c r="M362" t="s">
        <v>115</v>
      </c>
      <c r="N362" t="s">
        <v>116</v>
      </c>
      <c r="O362" s="48">
        <v>45017</v>
      </c>
      <c r="P362">
        <v>36369</v>
      </c>
      <c r="Q362" t="s">
        <v>123</v>
      </c>
    </row>
    <row r="363" spans="12:17" x14ac:dyDescent="0.75">
      <c r="L363" t="s">
        <v>105</v>
      </c>
      <c r="M363" t="s">
        <v>115</v>
      </c>
      <c r="N363" t="s">
        <v>116</v>
      </c>
      <c r="O363" s="48">
        <v>45047</v>
      </c>
      <c r="P363">
        <v>38038</v>
      </c>
      <c r="Q363" t="s">
        <v>123</v>
      </c>
    </row>
    <row r="364" spans="12:17" x14ac:dyDescent="0.75">
      <c r="L364" t="s">
        <v>105</v>
      </c>
      <c r="M364" t="s">
        <v>115</v>
      </c>
      <c r="N364" t="s">
        <v>116</v>
      </c>
      <c r="O364" s="48">
        <v>45078</v>
      </c>
      <c r="P364">
        <v>41205</v>
      </c>
      <c r="Q364" t="s">
        <v>123</v>
      </c>
    </row>
    <row r="365" spans="12:17" x14ac:dyDescent="0.75">
      <c r="L365" t="s">
        <v>105</v>
      </c>
      <c r="M365" t="s">
        <v>115</v>
      </c>
      <c r="N365" t="s">
        <v>116</v>
      </c>
      <c r="O365" s="48">
        <v>45108</v>
      </c>
      <c r="P365">
        <v>32454</v>
      </c>
      <c r="Q365" t="s">
        <v>123</v>
      </c>
    </row>
    <row r="366" spans="12:17" x14ac:dyDescent="0.75">
      <c r="L366" t="s">
        <v>105</v>
      </c>
      <c r="M366" t="s">
        <v>115</v>
      </c>
      <c r="N366" t="s">
        <v>116</v>
      </c>
      <c r="O366" s="48">
        <v>45139</v>
      </c>
      <c r="P366">
        <v>36974</v>
      </c>
      <c r="Q366" t="s">
        <v>123</v>
      </c>
    </row>
    <row r="367" spans="12:17" x14ac:dyDescent="0.75">
      <c r="L367" t="s">
        <v>105</v>
      </c>
      <c r="M367" t="s">
        <v>115</v>
      </c>
      <c r="N367" t="s">
        <v>116</v>
      </c>
      <c r="O367" s="48">
        <v>45170</v>
      </c>
      <c r="P367">
        <v>60746</v>
      </c>
      <c r="Q367" t="s">
        <v>123</v>
      </c>
    </row>
    <row r="368" spans="12:17" x14ac:dyDescent="0.75">
      <c r="L368" t="s">
        <v>105</v>
      </c>
      <c r="M368" t="s">
        <v>115</v>
      </c>
      <c r="N368" t="s">
        <v>116</v>
      </c>
      <c r="O368" s="48">
        <v>45200</v>
      </c>
      <c r="P368">
        <v>48984</v>
      </c>
      <c r="Q368" t="s">
        <v>123</v>
      </c>
    </row>
    <row r="369" spans="12:17" x14ac:dyDescent="0.75">
      <c r="L369" t="s">
        <v>105</v>
      </c>
      <c r="M369" t="s">
        <v>115</v>
      </c>
      <c r="N369" t="s">
        <v>116</v>
      </c>
      <c r="O369" s="48">
        <v>45231</v>
      </c>
      <c r="P369">
        <v>32597</v>
      </c>
      <c r="Q369" t="s">
        <v>123</v>
      </c>
    </row>
    <row r="370" spans="12:17" x14ac:dyDescent="0.75">
      <c r="L370" t="s">
        <v>105</v>
      </c>
      <c r="M370" t="s">
        <v>115</v>
      </c>
      <c r="N370" t="s">
        <v>116</v>
      </c>
      <c r="O370" s="48">
        <v>45261</v>
      </c>
      <c r="P370">
        <v>41370</v>
      </c>
      <c r="Q370" t="s">
        <v>123</v>
      </c>
    </row>
    <row r="371" spans="12:17" x14ac:dyDescent="0.75">
      <c r="L371" t="s">
        <v>105</v>
      </c>
      <c r="M371" t="s">
        <v>115</v>
      </c>
      <c r="N371" t="s">
        <v>116</v>
      </c>
      <c r="O371" s="48">
        <v>45292</v>
      </c>
      <c r="P371">
        <v>34547</v>
      </c>
      <c r="Q371" t="s">
        <v>123</v>
      </c>
    </row>
    <row r="372" spans="12:17" x14ac:dyDescent="0.75">
      <c r="L372" t="s">
        <v>105</v>
      </c>
      <c r="M372" t="s">
        <v>115</v>
      </c>
      <c r="N372" t="s">
        <v>116</v>
      </c>
      <c r="O372" s="48">
        <v>45323</v>
      </c>
      <c r="P372">
        <v>38933</v>
      </c>
      <c r="Q372" t="s">
        <v>123</v>
      </c>
    </row>
    <row r="373" spans="12:17" x14ac:dyDescent="0.75">
      <c r="L373" t="s">
        <v>105</v>
      </c>
      <c r="M373" t="s">
        <v>115</v>
      </c>
      <c r="N373" t="s">
        <v>116</v>
      </c>
      <c r="O373" s="48">
        <v>45352</v>
      </c>
      <c r="P373">
        <v>30647</v>
      </c>
      <c r="Q373" t="s">
        <v>123</v>
      </c>
    </row>
    <row r="374" spans="12:17" x14ac:dyDescent="0.75">
      <c r="L374" t="s">
        <v>105</v>
      </c>
      <c r="M374" t="s">
        <v>115</v>
      </c>
      <c r="N374" t="s">
        <v>116</v>
      </c>
      <c r="O374" s="48">
        <v>45383</v>
      </c>
      <c r="P374">
        <v>37860</v>
      </c>
      <c r="Q374" t="s">
        <v>123</v>
      </c>
    </row>
    <row r="375" spans="12:17" x14ac:dyDescent="0.75">
      <c r="L375" t="s">
        <v>105</v>
      </c>
      <c r="M375" t="s">
        <v>115</v>
      </c>
      <c r="N375" t="s">
        <v>116</v>
      </c>
      <c r="O375" s="48">
        <v>45413</v>
      </c>
      <c r="P375">
        <v>48778</v>
      </c>
      <c r="Q375" t="s">
        <v>123</v>
      </c>
    </row>
    <row r="376" spans="12:17" x14ac:dyDescent="0.75">
      <c r="L376" t="s">
        <v>105</v>
      </c>
      <c r="M376" t="s">
        <v>115</v>
      </c>
      <c r="N376" t="s">
        <v>116</v>
      </c>
      <c r="O376" s="48">
        <v>45444</v>
      </c>
      <c r="P376">
        <v>57649</v>
      </c>
      <c r="Q376" t="s">
        <v>123</v>
      </c>
    </row>
    <row r="377" spans="12:17" x14ac:dyDescent="0.75">
      <c r="L377" t="s">
        <v>105</v>
      </c>
      <c r="M377" t="s">
        <v>115</v>
      </c>
      <c r="N377" t="s">
        <v>116</v>
      </c>
      <c r="O377" s="48">
        <v>45474</v>
      </c>
      <c r="P377">
        <v>53779</v>
      </c>
      <c r="Q377" t="s">
        <v>123</v>
      </c>
    </row>
    <row r="378" spans="12:17" x14ac:dyDescent="0.75">
      <c r="L378" t="s">
        <v>105</v>
      </c>
      <c r="M378" t="s">
        <v>115</v>
      </c>
      <c r="N378" t="s">
        <v>116</v>
      </c>
      <c r="O378" s="48">
        <v>45505</v>
      </c>
      <c r="P378">
        <v>68265</v>
      </c>
      <c r="Q378" t="s">
        <v>123</v>
      </c>
    </row>
    <row r="379" spans="12:17" x14ac:dyDescent="0.75">
      <c r="L379" t="s">
        <v>105</v>
      </c>
      <c r="M379" t="s">
        <v>115</v>
      </c>
      <c r="N379" t="s">
        <v>116</v>
      </c>
      <c r="O379" s="48">
        <v>45536</v>
      </c>
      <c r="P379">
        <v>69330</v>
      </c>
      <c r="Q379" t="s">
        <v>123</v>
      </c>
    </row>
    <row r="380" spans="12:17" x14ac:dyDescent="0.75">
      <c r="L380" t="s">
        <v>105</v>
      </c>
      <c r="M380" t="s">
        <v>115</v>
      </c>
      <c r="N380" t="s">
        <v>116</v>
      </c>
      <c r="O380" s="48">
        <v>45566</v>
      </c>
      <c r="P380">
        <v>58035</v>
      </c>
      <c r="Q380" t="s">
        <v>123</v>
      </c>
    </row>
    <row r="381" spans="12:17" x14ac:dyDescent="0.75">
      <c r="L381" t="s">
        <v>105</v>
      </c>
      <c r="M381" t="s">
        <v>115</v>
      </c>
      <c r="N381" t="s">
        <v>116</v>
      </c>
      <c r="O381" s="48">
        <v>45597</v>
      </c>
      <c r="P381">
        <v>59965</v>
      </c>
      <c r="Q381" t="s">
        <v>123</v>
      </c>
    </row>
    <row r="382" spans="12:17" x14ac:dyDescent="0.75">
      <c r="L382" t="s">
        <v>105</v>
      </c>
      <c r="M382" t="s">
        <v>115</v>
      </c>
      <c r="N382" t="s">
        <v>116</v>
      </c>
      <c r="O382" s="48">
        <v>45627</v>
      </c>
      <c r="P382">
        <v>54573</v>
      </c>
      <c r="Q382" t="s">
        <v>123</v>
      </c>
    </row>
    <row r="383" spans="12:17" x14ac:dyDescent="0.75">
      <c r="L383" t="s">
        <v>105</v>
      </c>
      <c r="M383" t="s">
        <v>115</v>
      </c>
      <c r="N383" t="s">
        <v>116</v>
      </c>
      <c r="O383" s="48">
        <v>45658</v>
      </c>
      <c r="P383">
        <v>51080</v>
      </c>
      <c r="Q383" t="s">
        <v>123</v>
      </c>
    </row>
    <row r="384" spans="12:17" x14ac:dyDescent="0.75">
      <c r="L384" t="s">
        <v>105</v>
      </c>
      <c r="M384" t="s">
        <v>115</v>
      </c>
      <c r="N384" t="s">
        <v>116</v>
      </c>
      <c r="O384" s="48">
        <v>45689</v>
      </c>
      <c r="P384">
        <v>51521</v>
      </c>
      <c r="Q384" t="s">
        <v>123</v>
      </c>
    </row>
    <row r="385" spans="12:17" x14ac:dyDescent="0.75">
      <c r="L385" t="s">
        <v>105</v>
      </c>
      <c r="M385" t="s">
        <v>115</v>
      </c>
      <c r="N385" t="s">
        <v>116</v>
      </c>
      <c r="O385" s="48">
        <v>45717</v>
      </c>
      <c r="P385">
        <v>65417</v>
      </c>
      <c r="Q385" t="s">
        <v>123</v>
      </c>
    </row>
    <row r="386" spans="12:17" x14ac:dyDescent="0.75">
      <c r="L386" t="s">
        <v>105</v>
      </c>
      <c r="M386" t="s">
        <v>115</v>
      </c>
      <c r="N386" t="s">
        <v>116</v>
      </c>
      <c r="O386" s="48">
        <v>45748</v>
      </c>
      <c r="P386">
        <v>50345</v>
      </c>
      <c r="Q386" t="s">
        <v>123</v>
      </c>
    </row>
    <row r="387" spans="12:17" x14ac:dyDescent="0.75">
      <c r="L387" t="s">
        <v>105</v>
      </c>
      <c r="M387" t="s">
        <v>115</v>
      </c>
      <c r="N387" t="s">
        <v>116</v>
      </c>
      <c r="O387" s="48">
        <v>45778</v>
      </c>
      <c r="P387">
        <v>46735</v>
      </c>
      <c r="Q387" t="s">
        <v>123</v>
      </c>
    </row>
    <row r="388" spans="12:17" x14ac:dyDescent="0.75">
      <c r="L388" t="s">
        <v>106</v>
      </c>
      <c r="M388" t="s">
        <v>117</v>
      </c>
      <c r="N388" t="s">
        <v>113</v>
      </c>
      <c r="O388" s="48">
        <v>43466</v>
      </c>
      <c r="P388">
        <v>39769</v>
      </c>
      <c r="Q388" t="s">
        <v>123</v>
      </c>
    </row>
    <row r="389" spans="12:17" x14ac:dyDescent="0.75">
      <c r="L389" t="s">
        <v>106</v>
      </c>
      <c r="M389" t="s">
        <v>117</v>
      </c>
      <c r="N389" t="s">
        <v>113</v>
      </c>
      <c r="O389" s="48">
        <v>43497</v>
      </c>
      <c r="P389">
        <v>33662</v>
      </c>
      <c r="Q389" t="s">
        <v>123</v>
      </c>
    </row>
    <row r="390" spans="12:17" x14ac:dyDescent="0.75">
      <c r="L390" t="s">
        <v>106</v>
      </c>
      <c r="M390" t="s">
        <v>117</v>
      </c>
      <c r="N390" t="s">
        <v>113</v>
      </c>
      <c r="O390" s="48">
        <v>43525</v>
      </c>
      <c r="P390">
        <v>30533</v>
      </c>
      <c r="Q390" t="s">
        <v>123</v>
      </c>
    </row>
    <row r="391" spans="12:17" x14ac:dyDescent="0.75">
      <c r="L391" t="s">
        <v>106</v>
      </c>
      <c r="M391" t="s">
        <v>117</v>
      </c>
      <c r="N391" t="s">
        <v>113</v>
      </c>
      <c r="O391" s="48">
        <v>43556</v>
      </c>
      <c r="P391">
        <v>36357</v>
      </c>
      <c r="Q391" t="s">
        <v>123</v>
      </c>
    </row>
    <row r="392" spans="12:17" x14ac:dyDescent="0.75">
      <c r="L392" t="s">
        <v>106</v>
      </c>
      <c r="M392" t="s">
        <v>117</v>
      </c>
      <c r="N392" t="s">
        <v>113</v>
      </c>
      <c r="O392" s="48">
        <v>43586</v>
      </c>
      <c r="P392">
        <v>42363</v>
      </c>
      <c r="Q392" t="s">
        <v>123</v>
      </c>
    </row>
    <row r="393" spans="12:17" x14ac:dyDescent="0.75">
      <c r="L393" t="s">
        <v>106</v>
      </c>
      <c r="M393" t="s">
        <v>117</v>
      </c>
      <c r="N393" t="s">
        <v>113</v>
      </c>
      <c r="O393" s="48">
        <v>43617</v>
      </c>
      <c r="P393">
        <v>35113</v>
      </c>
      <c r="Q393" t="s">
        <v>123</v>
      </c>
    </row>
    <row r="394" spans="12:17" x14ac:dyDescent="0.75">
      <c r="L394" t="s">
        <v>106</v>
      </c>
      <c r="M394" t="s">
        <v>117</v>
      </c>
      <c r="N394" t="s">
        <v>113</v>
      </c>
      <c r="O394" s="48">
        <v>43647</v>
      </c>
      <c r="P394">
        <v>36266</v>
      </c>
      <c r="Q394" t="s">
        <v>123</v>
      </c>
    </row>
    <row r="395" spans="12:17" x14ac:dyDescent="0.75">
      <c r="L395" t="s">
        <v>106</v>
      </c>
      <c r="M395" t="s">
        <v>117</v>
      </c>
      <c r="N395" t="s">
        <v>113</v>
      </c>
      <c r="O395" s="48">
        <v>43678</v>
      </c>
      <c r="P395">
        <v>44938</v>
      </c>
      <c r="Q395" t="s">
        <v>123</v>
      </c>
    </row>
    <row r="396" spans="12:17" x14ac:dyDescent="0.75">
      <c r="L396" t="s">
        <v>106</v>
      </c>
      <c r="M396" t="s">
        <v>117</v>
      </c>
      <c r="N396" t="s">
        <v>113</v>
      </c>
      <c r="O396" s="48">
        <v>43709</v>
      </c>
      <c r="P396">
        <v>37332</v>
      </c>
      <c r="Q396" t="s">
        <v>123</v>
      </c>
    </row>
    <row r="397" spans="12:17" x14ac:dyDescent="0.75">
      <c r="L397" t="s">
        <v>106</v>
      </c>
      <c r="M397" t="s">
        <v>117</v>
      </c>
      <c r="N397" t="s">
        <v>113</v>
      </c>
      <c r="O397" s="48">
        <v>43739</v>
      </c>
      <c r="P397">
        <v>23234</v>
      </c>
      <c r="Q397" t="s">
        <v>123</v>
      </c>
    </row>
    <row r="398" spans="12:17" x14ac:dyDescent="0.75">
      <c r="L398" t="s">
        <v>106</v>
      </c>
      <c r="M398" t="s">
        <v>117</v>
      </c>
      <c r="N398" t="s">
        <v>113</v>
      </c>
      <c r="O398" s="48">
        <v>43770</v>
      </c>
      <c r="P398">
        <v>19743</v>
      </c>
      <c r="Q398" t="s">
        <v>123</v>
      </c>
    </row>
    <row r="399" spans="12:17" x14ac:dyDescent="0.75">
      <c r="L399" t="s">
        <v>106</v>
      </c>
      <c r="M399" t="s">
        <v>117</v>
      </c>
      <c r="N399" t="s">
        <v>113</v>
      </c>
      <c r="O399" s="48">
        <v>43800</v>
      </c>
      <c r="P399">
        <v>23668</v>
      </c>
      <c r="Q399" t="s">
        <v>123</v>
      </c>
    </row>
    <row r="400" spans="12:17" x14ac:dyDescent="0.75">
      <c r="L400" t="s">
        <v>106</v>
      </c>
      <c r="M400" t="s">
        <v>117</v>
      </c>
      <c r="N400" t="s">
        <v>113</v>
      </c>
      <c r="O400" s="48">
        <v>43831</v>
      </c>
      <c r="P400">
        <v>29334</v>
      </c>
      <c r="Q400" t="s">
        <v>123</v>
      </c>
    </row>
    <row r="401" spans="12:17" x14ac:dyDescent="0.75">
      <c r="L401" t="s">
        <v>106</v>
      </c>
      <c r="M401" t="s">
        <v>117</v>
      </c>
      <c r="N401" t="s">
        <v>113</v>
      </c>
      <c r="O401" s="48">
        <v>43862</v>
      </c>
      <c r="P401">
        <v>20520</v>
      </c>
      <c r="Q401" t="s">
        <v>123</v>
      </c>
    </row>
    <row r="402" spans="12:17" x14ac:dyDescent="0.75">
      <c r="L402" t="s">
        <v>106</v>
      </c>
      <c r="M402" t="s">
        <v>117</v>
      </c>
      <c r="N402" t="s">
        <v>113</v>
      </c>
      <c r="O402" s="48">
        <v>43891</v>
      </c>
      <c r="P402">
        <v>17282</v>
      </c>
      <c r="Q402" t="s">
        <v>123</v>
      </c>
    </row>
    <row r="403" spans="12:17" x14ac:dyDescent="0.75">
      <c r="L403" t="s">
        <v>106</v>
      </c>
      <c r="M403" t="s">
        <v>117</v>
      </c>
      <c r="N403" t="s">
        <v>113</v>
      </c>
      <c r="O403" s="48">
        <v>43922</v>
      </c>
      <c r="P403">
        <v>19981</v>
      </c>
      <c r="Q403" t="s">
        <v>123</v>
      </c>
    </row>
    <row r="404" spans="12:17" x14ac:dyDescent="0.75">
      <c r="L404" t="s">
        <v>106</v>
      </c>
      <c r="M404" t="s">
        <v>117</v>
      </c>
      <c r="N404" t="s">
        <v>113</v>
      </c>
      <c r="O404" s="48">
        <v>43952</v>
      </c>
      <c r="P404">
        <v>25444</v>
      </c>
      <c r="Q404" t="s">
        <v>123</v>
      </c>
    </row>
    <row r="405" spans="12:17" x14ac:dyDescent="0.75">
      <c r="L405" t="s">
        <v>106</v>
      </c>
      <c r="M405" t="s">
        <v>117</v>
      </c>
      <c r="N405" t="s">
        <v>113</v>
      </c>
      <c r="O405" s="48">
        <v>43983</v>
      </c>
      <c r="P405">
        <v>30007</v>
      </c>
      <c r="Q405" t="s">
        <v>123</v>
      </c>
    </row>
    <row r="406" spans="12:17" x14ac:dyDescent="0.75">
      <c r="L406" t="s">
        <v>106</v>
      </c>
      <c r="M406" t="s">
        <v>117</v>
      </c>
      <c r="N406" t="s">
        <v>113</v>
      </c>
      <c r="O406" s="48">
        <v>44013</v>
      </c>
      <c r="P406">
        <v>39651</v>
      </c>
      <c r="Q406" t="s">
        <v>123</v>
      </c>
    </row>
    <row r="407" spans="12:17" x14ac:dyDescent="0.75">
      <c r="L407" t="s">
        <v>106</v>
      </c>
      <c r="M407" t="s">
        <v>117</v>
      </c>
      <c r="N407" t="s">
        <v>113</v>
      </c>
      <c r="O407" s="48">
        <v>44044</v>
      </c>
      <c r="P407">
        <v>41215</v>
      </c>
      <c r="Q407" t="s">
        <v>123</v>
      </c>
    </row>
    <row r="408" spans="12:17" x14ac:dyDescent="0.75">
      <c r="L408" t="s">
        <v>106</v>
      </c>
      <c r="M408" t="s">
        <v>117</v>
      </c>
      <c r="N408" t="s">
        <v>113</v>
      </c>
      <c r="O408" s="48">
        <v>44075</v>
      </c>
      <c r="P408">
        <v>41440</v>
      </c>
      <c r="Q408" t="s">
        <v>123</v>
      </c>
    </row>
    <row r="409" spans="12:17" x14ac:dyDescent="0.75">
      <c r="L409" t="s">
        <v>106</v>
      </c>
      <c r="M409" t="s">
        <v>117</v>
      </c>
      <c r="N409" t="s">
        <v>113</v>
      </c>
      <c r="O409" s="48">
        <v>44105</v>
      </c>
      <c r="P409">
        <v>29000</v>
      </c>
      <c r="Q409" t="s">
        <v>123</v>
      </c>
    </row>
    <row r="410" spans="12:17" x14ac:dyDescent="0.75">
      <c r="L410" t="s">
        <v>106</v>
      </c>
      <c r="M410" t="s">
        <v>117</v>
      </c>
      <c r="N410" t="s">
        <v>113</v>
      </c>
      <c r="O410" s="48">
        <v>44136</v>
      </c>
      <c r="P410">
        <v>23647</v>
      </c>
      <c r="Q410" t="s">
        <v>123</v>
      </c>
    </row>
    <row r="411" spans="12:17" x14ac:dyDescent="0.75">
      <c r="L411" t="s">
        <v>106</v>
      </c>
      <c r="M411" t="s">
        <v>117</v>
      </c>
      <c r="N411" t="s">
        <v>113</v>
      </c>
      <c r="O411" s="48">
        <v>44166</v>
      </c>
      <c r="P411">
        <v>27718</v>
      </c>
      <c r="Q411" t="s">
        <v>123</v>
      </c>
    </row>
    <row r="412" spans="12:17" x14ac:dyDescent="0.75">
      <c r="L412" t="s">
        <v>106</v>
      </c>
      <c r="M412" t="s">
        <v>117</v>
      </c>
      <c r="N412" t="s">
        <v>113</v>
      </c>
      <c r="O412" s="48">
        <v>44197</v>
      </c>
      <c r="P412">
        <v>36428</v>
      </c>
      <c r="Q412" t="s">
        <v>123</v>
      </c>
    </row>
    <row r="413" spans="12:17" x14ac:dyDescent="0.75">
      <c r="L413" t="s">
        <v>106</v>
      </c>
      <c r="M413" t="s">
        <v>117</v>
      </c>
      <c r="N413" t="s">
        <v>113</v>
      </c>
      <c r="O413" s="48">
        <v>44228</v>
      </c>
      <c r="P413">
        <v>28301</v>
      </c>
      <c r="Q413" t="s">
        <v>123</v>
      </c>
    </row>
    <row r="414" spans="12:17" x14ac:dyDescent="0.75">
      <c r="L414" t="s">
        <v>106</v>
      </c>
      <c r="M414" t="s">
        <v>117</v>
      </c>
      <c r="N414" t="s">
        <v>113</v>
      </c>
      <c r="O414" s="48">
        <v>44256</v>
      </c>
      <c r="P414">
        <v>28624</v>
      </c>
      <c r="Q414" t="s">
        <v>123</v>
      </c>
    </row>
    <row r="415" spans="12:17" x14ac:dyDescent="0.75">
      <c r="L415" t="s">
        <v>106</v>
      </c>
      <c r="M415" t="s">
        <v>117</v>
      </c>
      <c r="N415" t="s">
        <v>113</v>
      </c>
      <c r="O415" s="48">
        <v>44287</v>
      </c>
      <c r="P415">
        <v>25659</v>
      </c>
      <c r="Q415" t="s">
        <v>123</v>
      </c>
    </row>
    <row r="416" spans="12:17" x14ac:dyDescent="0.75">
      <c r="L416" t="s">
        <v>106</v>
      </c>
      <c r="M416" t="s">
        <v>117</v>
      </c>
      <c r="N416" t="s">
        <v>113</v>
      </c>
      <c r="O416" s="48">
        <v>44317</v>
      </c>
      <c r="P416">
        <v>40113</v>
      </c>
      <c r="Q416" t="s">
        <v>123</v>
      </c>
    </row>
    <row r="417" spans="12:17" x14ac:dyDescent="0.75">
      <c r="L417" t="s">
        <v>106</v>
      </c>
      <c r="M417" t="s">
        <v>117</v>
      </c>
      <c r="N417" t="s">
        <v>113</v>
      </c>
      <c r="O417" s="48">
        <v>44348</v>
      </c>
      <c r="P417">
        <v>40229</v>
      </c>
      <c r="Q417" t="s">
        <v>123</v>
      </c>
    </row>
    <row r="418" spans="12:17" x14ac:dyDescent="0.75">
      <c r="L418" t="s">
        <v>106</v>
      </c>
      <c r="M418" t="s">
        <v>117</v>
      </c>
      <c r="N418" t="s">
        <v>113</v>
      </c>
      <c r="O418" s="48">
        <v>44378</v>
      </c>
      <c r="P418">
        <v>34594</v>
      </c>
      <c r="Q418" t="s">
        <v>123</v>
      </c>
    </row>
    <row r="419" spans="12:17" x14ac:dyDescent="0.75">
      <c r="L419" t="s">
        <v>106</v>
      </c>
      <c r="M419" t="s">
        <v>117</v>
      </c>
      <c r="N419" t="s">
        <v>113</v>
      </c>
      <c r="O419" s="48">
        <v>44409</v>
      </c>
      <c r="P419">
        <v>40670</v>
      </c>
      <c r="Q419" t="s">
        <v>123</v>
      </c>
    </row>
    <row r="420" spans="12:17" x14ac:dyDescent="0.75">
      <c r="L420" t="s">
        <v>106</v>
      </c>
      <c r="M420" t="s">
        <v>117</v>
      </c>
      <c r="N420" t="s">
        <v>113</v>
      </c>
      <c r="O420" s="48">
        <v>44440</v>
      </c>
      <c r="P420">
        <v>27234</v>
      </c>
      <c r="Q420" t="s">
        <v>123</v>
      </c>
    </row>
    <row r="421" spans="12:17" x14ac:dyDescent="0.75">
      <c r="L421" t="s">
        <v>106</v>
      </c>
      <c r="M421" t="s">
        <v>117</v>
      </c>
      <c r="N421" t="s">
        <v>113</v>
      </c>
      <c r="O421" s="48">
        <v>44470</v>
      </c>
      <c r="P421">
        <v>26412</v>
      </c>
      <c r="Q421" t="s">
        <v>123</v>
      </c>
    </row>
    <row r="422" spans="12:17" x14ac:dyDescent="0.75">
      <c r="L422" t="s">
        <v>106</v>
      </c>
      <c r="M422" t="s">
        <v>117</v>
      </c>
      <c r="N422" t="s">
        <v>113</v>
      </c>
      <c r="O422" s="48">
        <v>44501</v>
      </c>
      <c r="P422">
        <v>21911</v>
      </c>
      <c r="Q422" t="s">
        <v>123</v>
      </c>
    </row>
    <row r="423" spans="12:17" x14ac:dyDescent="0.75">
      <c r="L423" t="s">
        <v>106</v>
      </c>
      <c r="M423" t="s">
        <v>117</v>
      </c>
      <c r="N423" t="s">
        <v>113</v>
      </c>
      <c r="O423" s="48">
        <v>44531</v>
      </c>
      <c r="P423">
        <v>23229</v>
      </c>
      <c r="Q423" t="s">
        <v>123</v>
      </c>
    </row>
    <row r="424" spans="12:17" x14ac:dyDescent="0.75">
      <c r="L424" t="s">
        <v>106</v>
      </c>
      <c r="M424" t="s">
        <v>117</v>
      </c>
      <c r="N424" t="s">
        <v>113</v>
      </c>
      <c r="O424" s="48">
        <v>44562</v>
      </c>
      <c r="P424">
        <v>35775</v>
      </c>
      <c r="Q424" t="s">
        <v>123</v>
      </c>
    </row>
    <row r="425" spans="12:17" x14ac:dyDescent="0.75">
      <c r="L425" t="s">
        <v>106</v>
      </c>
      <c r="M425" t="s">
        <v>117</v>
      </c>
      <c r="N425" t="s">
        <v>113</v>
      </c>
      <c r="O425" s="48">
        <v>44593</v>
      </c>
      <c r="P425">
        <v>32135</v>
      </c>
      <c r="Q425" t="s">
        <v>123</v>
      </c>
    </row>
    <row r="426" spans="12:17" x14ac:dyDescent="0.75">
      <c r="L426" t="s">
        <v>106</v>
      </c>
      <c r="M426" t="s">
        <v>117</v>
      </c>
      <c r="N426" t="s">
        <v>113</v>
      </c>
      <c r="O426" s="48">
        <v>44621</v>
      </c>
      <c r="P426">
        <v>36832</v>
      </c>
      <c r="Q426" t="s">
        <v>123</v>
      </c>
    </row>
    <row r="427" spans="12:17" x14ac:dyDescent="0.75">
      <c r="L427" t="s">
        <v>106</v>
      </c>
      <c r="M427" t="s">
        <v>117</v>
      </c>
      <c r="N427" t="s">
        <v>113</v>
      </c>
      <c r="O427" s="48">
        <v>44652</v>
      </c>
      <c r="P427">
        <v>20365</v>
      </c>
      <c r="Q427" t="s">
        <v>123</v>
      </c>
    </row>
    <row r="428" spans="12:17" x14ac:dyDescent="0.75">
      <c r="L428" t="s">
        <v>106</v>
      </c>
      <c r="M428" t="s">
        <v>117</v>
      </c>
      <c r="N428" t="s">
        <v>113</v>
      </c>
      <c r="O428" s="48">
        <v>44682</v>
      </c>
      <c r="P428">
        <v>35188</v>
      </c>
      <c r="Q428" t="s">
        <v>123</v>
      </c>
    </row>
    <row r="429" spans="12:17" x14ac:dyDescent="0.75">
      <c r="L429" t="s">
        <v>106</v>
      </c>
      <c r="M429" t="s">
        <v>117</v>
      </c>
      <c r="N429" t="s">
        <v>113</v>
      </c>
      <c r="O429" s="48">
        <v>44713</v>
      </c>
      <c r="P429">
        <v>40408</v>
      </c>
      <c r="Q429" t="s">
        <v>123</v>
      </c>
    </row>
    <row r="430" spans="12:17" x14ac:dyDescent="0.75">
      <c r="L430" t="s">
        <v>106</v>
      </c>
      <c r="M430" t="s">
        <v>117</v>
      </c>
      <c r="N430" t="s">
        <v>113</v>
      </c>
      <c r="O430" s="48">
        <v>44743</v>
      </c>
      <c r="P430">
        <v>31542</v>
      </c>
      <c r="Q430" t="s">
        <v>123</v>
      </c>
    </row>
    <row r="431" spans="12:17" x14ac:dyDescent="0.75">
      <c r="L431" t="s">
        <v>106</v>
      </c>
      <c r="M431" t="s">
        <v>117</v>
      </c>
      <c r="N431" t="s">
        <v>113</v>
      </c>
      <c r="O431" s="48">
        <v>44774</v>
      </c>
      <c r="P431">
        <v>43443</v>
      </c>
      <c r="Q431" t="s">
        <v>123</v>
      </c>
    </row>
    <row r="432" spans="12:17" x14ac:dyDescent="0.75">
      <c r="L432" t="s">
        <v>106</v>
      </c>
      <c r="M432" t="s">
        <v>117</v>
      </c>
      <c r="N432" t="s">
        <v>113</v>
      </c>
      <c r="O432" s="48">
        <v>44805</v>
      </c>
      <c r="P432">
        <v>37660</v>
      </c>
      <c r="Q432" t="s">
        <v>123</v>
      </c>
    </row>
    <row r="433" spans="12:17" x14ac:dyDescent="0.75">
      <c r="L433" t="s">
        <v>106</v>
      </c>
      <c r="M433" t="s">
        <v>117</v>
      </c>
      <c r="N433" t="s">
        <v>113</v>
      </c>
      <c r="O433" s="48">
        <v>44835</v>
      </c>
      <c r="P433">
        <v>40744</v>
      </c>
      <c r="Q433" t="s">
        <v>123</v>
      </c>
    </row>
    <row r="434" spans="12:17" x14ac:dyDescent="0.75">
      <c r="L434" t="s">
        <v>106</v>
      </c>
      <c r="M434" t="s">
        <v>117</v>
      </c>
      <c r="N434" t="s">
        <v>113</v>
      </c>
      <c r="O434" s="48">
        <v>44866</v>
      </c>
      <c r="P434">
        <v>38481</v>
      </c>
      <c r="Q434" t="s">
        <v>123</v>
      </c>
    </row>
    <row r="435" spans="12:17" x14ac:dyDescent="0.75">
      <c r="L435" t="s">
        <v>106</v>
      </c>
      <c r="M435" t="s">
        <v>117</v>
      </c>
      <c r="N435" t="s">
        <v>113</v>
      </c>
      <c r="O435" s="48">
        <v>44896</v>
      </c>
      <c r="P435">
        <v>25741</v>
      </c>
      <c r="Q435" t="s">
        <v>123</v>
      </c>
    </row>
    <row r="436" spans="12:17" x14ac:dyDescent="0.75">
      <c r="L436" t="s">
        <v>106</v>
      </c>
      <c r="M436" t="s">
        <v>117</v>
      </c>
      <c r="N436" t="s">
        <v>113</v>
      </c>
      <c r="O436" s="48">
        <v>44927</v>
      </c>
      <c r="P436">
        <v>38013.5</v>
      </c>
      <c r="Q436" t="s">
        <v>123</v>
      </c>
    </row>
    <row r="437" spans="12:17" x14ac:dyDescent="0.75">
      <c r="L437" t="s">
        <v>106</v>
      </c>
      <c r="M437" t="s">
        <v>117</v>
      </c>
      <c r="N437" t="s">
        <v>113</v>
      </c>
      <c r="O437" s="48">
        <v>44958</v>
      </c>
      <c r="P437">
        <v>25460.5</v>
      </c>
      <c r="Q437" t="s">
        <v>123</v>
      </c>
    </row>
    <row r="438" spans="12:17" x14ac:dyDescent="0.75">
      <c r="L438" t="s">
        <v>106</v>
      </c>
      <c r="M438" t="s">
        <v>117</v>
      </c>
      <c r="N438" t="s">
        <v>113</v>
      </c>
      <c r="O438" s="48">
        <v>44986</v>
      </c>
      <c r="P438">
        <v>26224</v>
      </c>
      <c r="Q438" t="s">
        <v>123</v>
      </c>
    </row>
    <row r="439" spans="12:17" x14ac:dyDescent="0.75">
      <c r="L439" t="s">
        <v>106</v>
      </c>
      <c r="M439" t="s">
        <v>117</v>
      </c>
      <c r="N439" t="s">
        <v>113</v>
      </c>
      <c r="O439" s="48">
        <v>45017</v>
      </c>
      <c r="P439">
        <v>24754.25</v>
      </c>
      <c r="Q439" t="s">
        <v>123</v>
      </c>
    </row>
    <row r="440" spans="12:17" x14ac:dyDescent="0.75">
      <c r="L440" t="s">
        <v>106</v>
      </c>
      <c r="M440" t="s">
        <v>117</v>
      </c>
      <c r="N440" t="s">
        <v>113</v>
      </c>
      <c r="O440" s="48">
        <v>45047</v>
      </c>
      <c r="P440">
        <v>28315</v>
      </c>
      <c r="Q440" t="s">
        <v>123</v>
      </c>
    </row>
    <row r="441" spans="12:17" x14ac:dyDescent="0.75">
      <c r="L441" t="s">
        <v>106</v>
      </c>
      <c r="M441" t="s">
        <v>117</v>
      </c>
      <c r="N441" t="s">
        <v>113</v>
      </c>
      <c r="O441" s="48">
        <v>45078</v>
      </c>
      <c r="P441">
        <v>23878.75</v>
      </c>
      <c r="Q441" t="s">
        <v>123</v>
      </c>
    </row>
    <row r="442" spans="12:17" x14ac:dyDescent="0.75">
      <c r="L442" t="s">
        <v>106</v>
      </c>
      <c r="M442" t="s">
        <v>117</v>
      </c>
      <c r="N442" t="s">
        <v>113</v>
      </c>
      <c r="O442" s="48">
        <v>45108</v>
      </c>
      <c r="P442">
        <v>31178.75</v>
      </c>
      <c r="Q442" t="s">
        <v>123</v>
      </c>
    </row>
    <row r="443" spans="12:17" x14ac:dyDescent="0.75">
      <c r="L443" t="s">
        <v>106</v>
      </c>
      <c r="M443" t="s">
        <v>117</v>
      </c>
      <c r="N443" t="s">
        <v>113</v>
      </c>
      <c r="O443" s="48">
        <v>45139</v>
      </c>
      <c r="P443">
        <v>30579</v>
      </c>
      <c r="Q443" t="s">
        <v>123</v>
      </c>
    </row>
    <row r="444" spans="12:17" x14ac:dyDescent="0.75">
      <c r="L444" t="s">
        <v>106</v>
      </c>
      <c r="M444" t="s">
        <v>117</v>
      </c>
      <c r="N444" t="s">
        <v>113</v>
      </c>
      <c r="O444" s="48">
        <v>45170</v>
      </c>
      <c r="P444">
        <v>26429</v>
      </c>
      <c r="Q444" t="s">
        <v>123</v>
      </c>
    </row>
    <row r="445" spans="12:17" x14ac:dyDescent="0.75">
      <c r="L445" t="s">
        <v>106</v>
      </c>
      <c r="M445" t="s">
        <v>117</v>
      </c>
      <c r="N445" t="s">
        <v>113</v>
      </c>
      <c r="O445" s="48">
        <v>45200</v>
      </c>
      <c r="P445">
        <v>22775</v>
      </c>
      <c r="Q445" t="s">
        <v>123</v>
      </c>
    </row>
    <row r="446" spans="12:17" x14ac:dyDescent="0.75">
      <c r="L446" t="s">
        <v>106</v>
      </c>
      <c r="M446" t="s">
        <v>117</v>
      </c>
      <c r="N446" t="s">
        <v>113</v>
      </c>
      <c r="O446" s="48">
        <v>45231</v>
      </c>
      <c r="P446">
        <v>19613</v>
      </c>
      <c r="Q446" t="s">
        <v>123</v>
      </c>
    </row>
    <row r="447" spans="12:17" x14ac:dyDescent="0.75">
      <c r="L447" t="s">
        <v>106</v>
      </c>
      <c r="M447" t="s">
        <v>117</v>
      </c>
      <c r="N447" t="s">
        <v>113</v>
      </c>
      <c r="O447" s="48">
        <v>45261</v>
      </c>
      <c r="P447">
        <v>21655</v>
      </c>
      <c r="Q447" t="s">
        <v>123</v>
      </c>
    </row>
    <row r="448" spans="12:17" x14ac:dyDescent="0.75">
      <c r="L448" t="s">
        <v>106</v>
      </c>
      <c r="M448" t="s">
        <v>117</v>
      </c>
      <c r="N448" t="s">
        <v>113</v>
      </c>
      <c r="O448" s="48">
        <v>45292</v>
      </c>
      <c r="P448">
        <v>28694</v>
      </c>
      <c r="Q448" t="s">
        <v>123</v>
      </c>
    </row>
    <row r="449" spans="12:17" x14ac:dyDescent="0.75">
      <c r="L449" t="s">
        <v>106</v>
      </c>
      <c r="M449" t="s">
        <v>117</v>
      </c>
      <c r="N449" t="s">
        <v>113</v>
      </c>
      <c r="O449" s="48">
        <v>45323</v>
      </c>
      <c r="P449">
        <v>23633</v>
      </c>
      <c r="Q449" t="s">
        <v>123</v>
      </c>
    </row>
    <row r="450" spans="12:17" x14ac:dyDescent="0.75">
      <c r="L450" t="s">
        <v>106</v>
      </c>
      <c r="M450" t="s">
        <v>117</v>
      </c>
      <c r="N450" t="s">
        <v>113</v>
      </c>
      <c r="O450" s="48">
        <v>45352</v>
      </c>
      <c r="P450">
        <v>23728</v>
      </c>
      <c r="Q450" t="s">
        <v>123</v>
      </c>
    </row>
    <row r="451" spans="12:17" x14ac:dyDescent="0.75">
      <c r="L451" t="s">
        <v>106</v>
      </c>
      <c r="M451" t="s">
        <v>117</v>
      </c>
      <c r="N451" t="s">
        <v>113</v>
      </c>
      <c r="O451" s="48">
        <v>45383</v>
      </c>
      <c r="P451">
        <v>29375</v>
      </c>
      <c r="Q451" t="s">
        <v>123</v>
      </c>
    </row>
    <row r="452" spans="12:17" x14ac:dyDescent="0.75">
      <c r="L452" t="s">
        <v>106</v>
      </c>
      <c r="M452" t="s">
        <v>117</v>
      </c>
      <c r="N452" t="s">
        <v>113</v>
      </c>
      <c r="O452" s="48">
        <v>45413</v>
      </c>
      <c r="P452">
        <v>33389.75</v>
      </c>
      <c r="Q452" t="s">
        <v>123</v>
      </c>
    </row>
    <row r="453" spans="12:17" x14ac:dyDescent="0.75">
      <c r="L453" t="s">
        <v>106</v>
      </c>
      <c r="M453" t="s">
        <v>117</v>
      </c>
      <c r="N453" t="s">
        <v>113</v>
      </c>
      <c r="O453" s="48">
        <v>45444</v>
      </c>
      <c r="P453">
        <v>32244</v>
      </c>
      <c r="Q453" t="s">
        <v>123</v>
      </c>
    </row>
    <row r="454" spans="12:17" x14ac:dyDescent="0.75">
      <c r="L454" t="s">
        <v>106</v>
      </c>
      <c r="M454" t="s">
        <v>117</v>
      </c>
      <c r="N454" t="s">
        <v>113</v>
      </c>
      <c r="O454" s="48">
        <v>45474</v>
      </c>
      <c r="P454">
        <v>34342.75</v>
      </c>
      <c r="Q454" t="s">
        <v>123</v>
      </c>
    </row>
    <row r="455" spans="12:17" x14ac:dyDescent="0.75">
      <c r="L455" t="s">
        <v>106</v>
      </c>
      <c r="M455" t="s">
        <v>117</v>
      </c>
      <c r="N455" t="s">
        <v>113</v>
      </c>
      <c r="O455" s="48">
        <v>45505</v>
      </c>
      <c r="P455">
        <v>38507</v>
      </c>
      <c r="Q455" t="s">
        <v>123</v>
      </c>
    </row>
    <row r="456" spans="12:17" x14ac:dyDescent="0.75">
      <c r="L456" t="s">
        <v>106</v>
      </c>
      <c r="M456" t="s">
        <v>117</v>
      </c>
      <c r="N456" t="s">
        <v>113</v>
      </c>
      <c r="O456" s="48">
        <v>45536</v>
      </c>
      <c r="P456">
        <v>35337</v>
      </c>
      <c r="Q456" t="s">
        <v>123</v>
      </c>
    </row>
    <row r="457" spans="12:17" x14ac:dyDescent="0.75">
      <c r="L457" t="s">
        <v>106</v>
      </c>
      <c r="M457" t="s">
        <v>117</v>
      </c>
      <c r="N457" t="s">
        <v>113</v>
      </c>
      <c r="O457" s="48">
        <v>45566</v>
      </c>
      <c r="P457">
        <v>29749.5</v>
      </c>
      <c r="Q457" t="s">
        <v>123</v>
      </c>
    </row>
    <row r="458" spans="12:17" x14ac:dyDescent="0.75">
      <c r="L458" t="s">
        <v>106</v>
      </c>
      <c r="M458" t="s">
        <v>117</v>
      </c>
      <c r="N458" t="s">
        <v>113</v>
      </c>
      <c r="O458" s="48">
        <v>45597</v>
      </c>
      <c r="P458">
        <v>22495</v>
      </c>
      <c r="Q458" t="s">
        <v>123</v>
      </c>
    </row>
    <row r="459" spans="12:17" x14ac:dyDescent="0.75">
      <c r="L459" t="s">
        <v>106</v>
      </c>
      <c r="M459" t="s">
        <v>117</v>
      </c>
      <c r="N459" t="s">
        <v>113</v>
      </c>
      <c r="O459" s="48">
        <v>45627</v>
      </c>
      <c r="P459">
        <v>27500.75</v>
      </c>
      <c r="Q459" t="s">
        <v>123</v>
      </c>
    </row>
    <row r="460" spans="12:17" x14ac:dyDescent="0.75">
      <c r="L460" t="s">
        <v>106</v>
      </c>
      <c r="M460" t="s">
        <v>117</v>
      </c>
      <c r="N460" t="s">
        <v>113</v>
      </c>
      <c r="O460" s="48">
        <v>45658</v>
      </c>
      <c r="P460">
        <v>34363</v>
      </c>
      <c r="Q460" t="s">
        <v>123</v>
      </c>
    </row>
    <row r="461" spans="12:17" x14ac:dyDescent="0.75">
      <c r="L461" t="s">
        <v>106</v>
      </c>
      <c r="M461" t="s">
        <v>117</v>
      </c>
      <c r="N461" t="s">
        <v>113</v>
      </c>
      <c r="O461" s="48">
        <v>45689</v>
      </c>
      <c r="P461">
        <v>30343</v>
      </c>
      <c r="Q461" t="s">
        <v>123</v>
      </c>
    </row>
    <row r="462" spans="12:17" x14ac:dyDescent="0.75">
      <c r="L462" t="s">
        <v>106</v>
      </c>
      <c r="M462" t="s">
        <v>117</v>
      </c>
      <c r="N462" t="s">
        <v>113</v>
      </c>
      <c r="O462" s="48">
        <v>45717</v>
      </c>
      <c r="P462">
        <v>34823</v>
      </c>
      <c r="Q462" t="s">
        <v>123</v>
      </c>
    </row>
    <row r="463" spans="12:17" x14ac:dyDescent="0.75">
      <c r="L463" t="s">
        <v>106</v>
      </c>
      <c r="M463" t="s">
        <v>117</v>
      </c>
      <c r="N463" t="s">
        <v>113</v>
      </c>
      <c r="O463" s="48">
        <v>45748</v>
      </c>
      <c r="P463">
        <v>27373.5</v>
      </c>
      <c r="Q463" t="s">
        <v>123</v>
      </c>
    </row>
    <row r="464" spans="12:17" x14ac:dyDescent="0.75">
      <c r="L464" t="s">
        <v>106</v>
      </c>
      <c r="M464" t="s">
        <v>117</v>
      </c>
      <c r="N464" t="s">
        <v>113</v>
      </c>
      <c r="O464" s="48">
        <v>45778</v>
      </c>
      <c r="P464">
        <v>26779</v>
      </c>
      <c r="Q464" t="s">
        <v>123</v>
      </c>
    </row>
    <row r="465" spans="12:17" x14ac:dyDescent="0.75">
      <c r="L465" t="s">
        <v>107</v>
      </c>
      <c r="M465" t="s">
        <v>118</v>
      </c>
      <c r="N465" t="s">
        <v>118</v>
      </c>
      <c r="O465" s="48">
        <v>43466</v>
      </c>
      <c r="P465">
        <v>182337</v>
      </c>
      <c r="Q465" t="s">
        <v>123</v>
      </c>
    </row>
    <row r="466" spans="12:17" x14ac:dyDescent="0.75">
      <c r="L466" t="s">
        <v>107</v>
      </c>
      <c r="M466" t="s">
        <v>118</v>
      </c>
      <c r="N466" t="s">
        <v>118</v>
      </c>
      <c r="O466" s="48">
        <v>43497</v>
      </c>
      <c r="P466">
        <v>175358</v>
      </c>
      <c r="Q466" t="s">
        <v>123</v>
      </c>
    </row>
    <row r="467" spans="12:17" x14ac:dyDescent="0.75">
      <c r="L467" t="s">
        <v>107</v>
      </c>
      <c r="M467" t="s">
        <v>118</v>
      </c>
      <c r="N467" t="s">
        <v>118</v>
      </c>
      <c r="O467" s="48">
        <v>43525</v>
      </c>
      <c r="P467">
        <v>170777</v>
      </c>
      <c r="Q467" t="s">
        <v>123</v>
      </c>
    </row>
    <row r="468" spans="12:17" x14ac:dyDescent="0.75">
      <c r="L468" t="s">
        <v>107</v>
      </c>
      <c r="M468" t="s">
        <v>118</v>
      </c>
      <c r="N468" t="s">
        <v>118</v>
      </c>
      <c r="O468" s="48">
        <v>43556</v>
      </c>
      <c r="P468">
        <v>174577</v>
      </c>
      <c r="Q468" t="s">
        <v>123</v>
      </c>
    </row>
    <row r="469" spans="12:17" x14ac:dyDescent="0.75">
      <c r="L469" t="s">
        <v>107</v>
      </c>
      <c r="M469" t="s">
        <v>118</v>
      </c>
      <c r="N469" t="s">
        <v>118</v>
      </c>
      <c r="O469" s="48">
        <v>43586</v>
      </c>
      <c r="P469">
        <v>169448</v>
      </c>
      <c r="Q469" t="s">
        <v>123</v>
      </c>
    </row>
    <row r="470" spans="12:17" x14ac:dyDescent="0.75">
      <c r="L470" t="s">
        <v>107</v>
      </c>
      <c r="M470" t="s">
        <v>118</v>
      </c>
      <c r="N470" t="s">
        <v>118</v>
      </c>
      <c r="O470" s="48">
        <v>43617</v>
      </c>
      <c r="P470">
        <v>185055</v>
      </c>
      <c r="Q470" t="s">
        <v>123</v>
      </c>
    </row>
    <row r="471" spans="12:17" x14ac:dyDescent="0.75">
      <c r="L471" t="s">
        <v>107</v>
      </c>
      <c r="M471" t="s">
        <v>118</v>
      </c>
      <c r="N471" t="s">
        <v>118</v>
      </c>
      <c r="O471" s="48">
        <v>43647</v>
      </c>
      <c r="P471">
        <v>206251</v>
      </c>
      <c r="Q471" t="s">
        <v>123</v>
      </c>
    </row>
    <row r="472" spans="12:17" x14ac:dyDescent="0.75">
      <c r="L472" t="s">
        <v>107</v>
      </c>
      <c r="M472" t="s">
        <v>118</v>
      </c>
      <c r="N472" t="s">
        <v>118</v>
      </c>
      <c r="O472" s="48">
        <v>43678</v>
      </c>
      <c r="P472">
        <v>207875</v>
      </c>
      <c r="Q472" t="s">
        <v>123</v>
      </c>
    </row>
    <row r="473" spans="12:17" x14ac:dyDescent="0.75">
      <c r="L473" t="s">
        <v>107</v>
      </c>
      <c r="M473" t="s">
        <v>118</v>
      </c>
      <c r="N473" t="s">
        <v>118</v>
      </c>
      <c r="O473" s="48">
        <v>43709</v>
      </c>
      <c r="P473">
        <v>191143</v>
      </c>
      <c r="Q473" t="s">
        <v>123</v>
      </c>
    </row>
    <row r="474" spans="12:17" x14ac:dyDescent="0.75">
      <c r="L474" t="s">
        <v>107</v>
      </c>
      <c r="M474" t="s">
        <v>118</v>
      </c>
      <c r="N474" t="s">
        <v>118</v>
      </c>
      <c r="O474" s="48">
        <v>43739</v>
      </c>
      <c r="P474">
        <v>198173</v>
      </c>
      <c r="Q474" t="s">
        <v>123</v>
      </c>
    </row>
    <row r="475" spans="12:17" x14ac:dyDescent="0.75">
      <c r="L475" t="s">
        <v>107</v>
      </c>
      <c r="M475" t="s">
        <v>118</v>
      </c>
      <c r="N475" t="s">
        <v>118</v>
      </c>
      <c r="O475" s="48">
        <v>43770</v>
      </c>
      <c r="P475">
        <v>177744</v>
      </c>
      <c r="Q475" t="s">
        <v>123</v>
      </c>
    </row>
    <row r="476" spans="12:17" x14ac:dyDescent="0.75">
      <c r="L476" t="s">
        <v>107</v>
      </c>
      <c r="M476" t="s">
        <v>118</v>
      </c>
      <c r="N476" t="s">
        <v>118</v>
      </c>
      <c r="O476" s="48">
        <v>43800</v>
      </c>
      <c r="P476">
        <v>183467</v>
      </c>
      <c r="Q476" t="s">
        <v>123</v>
      </c>
    </row>
    <row r="477" spans="12:17" x14ac:dyDescent="0.75">
      <c r="L477" t="s">
        <v>107</v>
      </c>
      <c r="M477" t="s">
        <v>118</v>
      </c>
      <c r="N477" t="s">
        <v>118</v>
      </c>
      <c r="O477" s="48">
        <v>43831</v>
      </c>
      <c r="P477">
        <v>173892</v>
      </c>
      <c r="Q477" t="s">
        <v>123</v>
      </c>
    </row>
    <row r="478" spans="12:17" x14ac:dyDescent="0.75">
      <c r="L478" t="s">
        <v>107</v>
      </c>
      <c r="M478" t="s">
        <v>118</v>
      </c>
      <c r="N478" t="s">
        <v>118</v>
      </c>
      <c r="O478" s="48">
        <v>43862</v>
      </c>
      <c r="P478">
        <v>163564</v>
      </c>
      <c r="Q478" t="s">
        <v>123</v>
      </c>
    </row>
    <row r="479" spans="12:17" x14ac:dyDescent="0.75">
      <c r="L479" t="s">
        <v>107</v>
      </c>
      <c r="M479" t="s">
        <v>118</v>
      </c>
      <c r="N479" t="s">
        <v>118</v>
      </c>
      <c r="O479" s="48">
        <v>43891</v>
      </c>
      <c r="P479">
        <v>150702</v>
      </c>
      <c r="Q479" t="s">
        <v>123</v>
      </c>
    </row>
    <row r="480" spans="12:17" x14ac:dyDescent="0.75">
      <c r="L480" t="s">
        <v>107</v>
      </c>
      <c r="M480" t="s">
        <v>118</v>
      </c>
      <c r="N480" t="s">
        <v>118</v>
      </c>
      <c r="O480" s="48">
        <v>43922</v>
      </c>
      <c r="P480">
        <v>177254</v>
      </c>
      <c r="Q480" t="s">
        <v>123</v>
      </c>
    </row>
    <row r="481" spans="12:17" x14ac:dyDescent="0.75">
      <c r="L481" t="s">
        <v>107</v>
      </c>
      <c r="M481" t="s">
        <v>118</v>
      </c>
      <c r="N481" t="s">
        <v>118</v>
      </c>
      <c r="O481" s="48">
        <v>43952</v>
      </c>
      <c r="P481">
        <v>174942</v>
      </c>
      <c r="Q481" t="s">
        <v>123</v>
      </c>
    </row>
    <row r="482" spans="12:17" x14ac:dyDescent="0.75">
      <c r="L482" t="s">
        <v>107</v>
      </c>
      <c r="M482" t="s">
        <v>118</v>
      </c>
      <c r="N482" t="s">
        <v>118</v>
      </c>
      <c r="O482" s="48">
        <v>43983</v>
      </c>
      <c r="P482">
        <v>146701</v>
      </c>
      <c r="Q482" t="s">
        <v>123</v>
      </c>
    </row>
    <row r="483" spans="12:17" x14ac:dyDescent="0.75">
      <c r="L483" t="s">
        <v>107</v>
      </c>
      <c r="M483" t="s">
        <v>118</v>
      </c>
      <c r="N483" t="s">
        <v>118</v>
      </c>
      <c r="O483" s="48">
        <v>44013</v>
      </c>
      <c r="P483">
        <v>175859</v>
      </c>
      <c r="Q483" t="s">
        <v>123</v>
      </c>
    </row>
    <row r="484" spans="12:17" x14ac:dyDescent="0.75">
      <c r="L484" t="s">
        <v>107</v>
      </c>
      <c r="M484" t="s">
        <v>118</v>
      </c>
      <c r="N484" t="s">
        <v>118</v>
      </c>
      <c r="O484" s="48">
        <v>44044</v>
      </c>
      <c r="P484">
        <v>216430</v>
      </c>
      <c r="Q484" t="s">
        <v>123</v>
      </c>
    </row>
    <row r="485" spans="12:17" x14ac:dyDescent="0.75">
      <c r="L485" t="s">
        <v>107</v>
      </c>
      <c r="M485" t="s">
        <v>118</v>
      </c>
      <c r="N485" t="s">
        <v>118</v>
      </c>
      <c r="O485" s="48">
        <v>44075</v>
      </c>
      <c r="P485">
        <v>229523</v>
      </c>
      <c r="Q485" t="s">
        <v>123</v>
      </c>
    </row>
    <row r="486" spans="12:17" x14ac:dyDescent="0.75">
      <c r="L486" t="s">
        <v>107</v>
      </c>
      <c r="M486" t="s">
        <v>118</v>
      </c>
      <c r="N486" t="s">
        <v>118</v>
      </c>
      <c r="O486" s="48">
        <v>44105</v>
      </c>
      <c r="P486">
        <v>231741</v>
      </c>
      <c r="Q486" t="s">
        <v>123</v>
      </c>
    </row>
    <row r="487" spans="12:17" x14ac:dyDescent="0.75">
      <c r="L487" t="s">
        <v>107</v>
      </c>
      <c r="M487" t="s">
        <v>118</v>
      </c>
      <c r="N487" t="s">
        <v>118</v>
      </c>
      <c r="O487" s="48">
        <v>44136</v>
      </c>
      <c r="P487">
        <v>233904</v>
      </c>
      <c r="Q487" t="s">
        <v>123</v>
      </c>
    </row>
    <row r="488" spans="12:17" x14ac:dyDescent="0.75">
      <c r="L488" t="s">
        <v>107</v>
      </c>
      <c r="M488" t="s">
        <v>118</v>
      </c>
      <c r="N488" t="s">
        <v>118</v>
      </c>
      <c r="O488" s="48">
        <v>44166</v>
      </c>
      <c r="P488">
        <v>243938</v>
      </c>
      <c r="Q488" t="s">
        <v>123</v>
      </c>
    </row>
    <row r="489" spans="12:17" x14ac:dyDescent="0.75">
      <c r="L489" t="s">
        <v>107</v>
      </c>
      <c r="M489" t="s">
        <v>118</v>
      </c>
      <c r="N489" t="s">
        <v>118</v>
      </c>
      <c r="O489" s="48">
        <v>44197</v>
      </c>
      <c r="P489">
        <v>239509</v>
      </c>
      <c r="Q489" t="s">
        <v>123</v>
      </c>
    </row>
    <row r="490" spans="12:17" x14ac:dyDescent="0.75">
      <c r="L490" t="s">
        <v>107</v>
      </c>
      <c r="M490" t="s">
        <v>118</v>
      </c>
      <c r="N490" t="s">
        <v>118</v>
      </c>
      <c r="O490" s="48">
        <v>44228</v>
      </c>
      <c r="P490">
        <v>193956</v>
      </c>
      <c r="Q490" t="s">
        <v>123</v>
      </c>
    </row>
    <row r="491" spans="12:17" x14ac:dyDescent="0.75">
      <c r="L491" t="s">
        <v>107</v>
      </c>
      <c r="M491" t="s">
        <v>118</v>
      </c>
      <c r="N491" t="s">
        <v>118</v>
      </c>
      <c r="O491" s="48">
        <v>44256</v>
      </c>
      <c r="P491">
        <v>267542</v>
      </c>
      <c r="Q491" t="s">
        <v>123</v>
      </c>
    </row>
    <row r="492" spans="12:17" x14ac:dyDescent="0.75">
      <c r="L492" t="s">
        <v>107</v>
      </c>
      <c r="M492" t="s">
        <v>118</v>
      </c>
      <c r="N492" t="s">
        <v>118</v>
      </c>
      <c r="O492" s="48">
        <v>44287</v>
      </c>
      <c r="P492">
        <v>229295</v>
      </c>
      <c r="Q492" t="s">
        <v>123</v>
      </c>
    </row>
    <row r="493" spans="12:17" x14ac:dyDescent="0.75">
      <c r="L493" t="s">
        <v>107</v>
      </c>
      <c r="M493" t="s">
        <v>118</v>
      </c>
      <c r="N493" t="s">
        <v>118</v>
      </c>
      <c r="O493" s="48">
        <v>44317</v>
      </c>
      <c r="P493">
        <v>263257</v>
      </c>
      <c r="Q493" t="s">
        <v>123</v>
      </c>
    </row>
    <row r="494" spans="12:17" x14ac:dyDescent="0.75">
      <c r="L494" t="s">
        <v>107</v>
      </c>
      <c r="M494" t="s">
        <v>118</v>
      </c>
      <c r="N494" t="s">
        <v>118</v>
      </c>
      <c r="O494" s="48">
        <v>44348</v>
      </c>
      <c r="P494">
        <v>247964</v>
      </c>
      <c r="Q494" t="s">
        <v>123</v>
      </c>
    </row>
    <row r="495" spans="12:17" x14ac:dyDescent="0.75">
      <c r="L495" t="s">
        <v>107</v>
      </c>
      <c r="M495" t="s">
        <v>118</v>
      </c>
      <c r="N495" t="s">
        <v>118</v>
      </c>
      <c r="O495" s="48">
        <v>44378</v>
      </c>
      <c r="P495">
        <v>250952</v>
      </c>
      <c r="Q495" t="s">
        <v>123</v>
      </c>
    </row>
    <row r="496" spans="12:17" x14ac:dyDescent="0.75">
      <c r="L496" t="s">
        <v>107</v>
      </c>
      <c r="M496" t="s">
        <v>118</v>
      </c>
      <c r="N496" t="s">
        <v>118</v>
      </c>
      <c r="O496" s="48">
        <v>44409</v>
      </c>
      <c r="P496">
        <v>275492</v>
      </c>
      <c r="Q496" t="s">
        <v>123</v>
      </c>
    </row>
    <row r="497" spans="12:17" x14ac:dyDescent="0.75">
      <c r="L497" t="s">
        <v>107</v>
      </c>
      <c r="M497" t="s">
        <v>118</v>
      </c>
      <c r="N497" t="s">
        <v>118</v>
      </c>
      <c r="O497" s="48">
        <v>44440</v>
      </c>
      <c r="P497">
        <v>243367</v>
      </c>
      <c r="Q497" t="s">
        <v>123</v>
      </c>
    </row>
    <row r="498" spans="12:17" x14ac:dyDescent="0.75">
      <c r="L498" t="s">
        <v>107</v>
      </c>
      <c r="M498" t="s">
        <v>118</v>
      </c>
      <c r="N498" t="s">
        <v>118</v>
      </c>
      <c r="O498" s="48">
        <v>44470</v>
      </c>
      <c r="P498">
        <v>275389</v>
      </c>
      <c r="Q498" t="s">
        <v>123</v>
      </c>
    </row>
    <row r="499" spans="12:17" x14ac:dyDescent="0.75">
      <c r="L499" t="s">
        <v>107</v>
      </c>
      <c r="M499" t="s">
        <v>118</v>
      </c>
      <c r="N499" t="s">
        <v>118</v>
      </c>
      <c r="O499" s="48">
        <v>44501</v>
      </c>
      <c r="P499">
        <v>257190</v>
      </c>
      <c r="Q499" t="s">
        <v>123</v>
      </c>
    </row>
    <row r="500" spans="12:17" x14ac:dyDescent="0.75">
      <c r="L500" t="s">
        <v>107</v>
      </c>
      <c r="M500" t="s">
        <v>118</v>
      </c>
      <c r="N500" t="s">
        <v>118</v>
      </c>
      <c r="O500" s="48">
        <v>44531</v>
      </c>
      <c r="P500">
        <v>269244</v>
      </c>
      <c r="Q500" t="s">
        <v>123</v>
      </c>
    </row>
    <row r="501" spans="12:17" x14ac:dyDescent="0.75">
      <c r="L501" t="s">
        <v>107</v>
      </c>
      <c r="M501" t="s">
        <v>118</v>
      </c>
      <c r="N501" t="s">
        <v>118</v>
      </c>
      <c r="O501" s="48">
        <v>44562</v>
      </c>
      <c r="P501">
        <v>264475</v>
      </c>
      <c r="Q501" t="s">
        <v>123</v>
      </c>
    </row>
    <row r="502" spans="12:17" x14ac:dyDescent="0.75">
      <c r="L502" t="s">
        <v>107</v>
      </c>
      <c r="M502" t="s">
        <v>118</v>
      </c>
      <c r="N502" t="s">
        <v>118</v>
      </c>
      <c r="O502" s="48">
        <v>44593</v>
      </c>
      <c r="P502">
        <v>269253</v>
      </c>
      <c r="Q502" t="s">
        <v>123</v>
      </c>
    </row>
    <row r="503" spans="12:17" x14ac:dyDescent="0.75">
      <c r="L503" t="s">
        <v>107</v>
      </c>
      <c r="M503" t="s">
        <v>118</v>
      </c>
      <c r="N503" t="s">
        <v>118</v>
      </c>
      <c r="O503" s="48">
        <v>44621</v>
      </c>
      <c r="P503">
        <v>298515</v>
      </c>
      <c r="Q503" t="s">
        <v>123</v>
      </c>
    </row>
    <row r="504" spans="12:17" x14ac:dyDescent="0.75">
      <c r="L504" t="s">
        <v>107</v>
      </c>
      <c r="M504" t="s">
        <v>118</v>
      </c>
      <c r="N504" t="s">
        <v>118</v>
      </c>
      <c r="O504" s="48">
        <v>44652</v>
      </c>
      <c r="P504">
        <v>273234</v>
      </c>
      <c r="Q504" t="s">
        <v>123</v>
      </c>
    </row>
    <row r="505" spans="12:17" x14ac:dyDescent="0.75">
      <c r="L505" t="s">
        <v>107</v>
      </c>
      <c r="M505" t="s">
        <v>118</v>
      </c>
      <c r="N505" t="s">
        <v>118</v>
      </c>
      <c r="O505" s="48">
        <v>44682</v>
      </c>
      <c r="P505">
        <v>298977</v>
      </c>
      <c r="Q505" t="s">
        <v>123</v>
      </c>
    </row>
    <row r="506" spans="12:17" x14ac:dyDescent="0.75">
      <c r="L506" t="s">
        <v>107</v>
      </c>
      <c r="M506" t="s">
        <v>118</v>
      </c>
      <c r="N506" t="s">
        <v>118</v>
      </c>
      <c r="O506" s="48">
        <v>44713</v>
      </c>
      <c r="P506">
        <v>307646</v>
      </c>
      <c r="Q506" t="s">
        <v>123</v>
      </c>
    </row>
    <row r="507" spans="12:17" x14ac:dyDescent="0.75">
      <c r="L507" t="s">
        <v>107</v>
      </c>
      <c r="M507" t="s">
        <v>118</v>
      </c>
      <c r="N507" t="s">
        <v>118</v>
      </c>
      <c r="O507" s="48">
        <v>44743</v>
      </c>
      <c r="P507">
        <v>275554</v>
      </c>
      <c r="Q507" t="s">
        <v>123</v>
      </c>
    </row>
    <row r="508" spans="12:17" x14ac:dyDescent="0.75">
      <c r="L508" t="s">
        <v>107</v>
      </c>
      <c r="M508" t="s">
        <v>118</v>
      </c>
      <c r="N508" t="s">
        <v>118</v>
      </c>
      <c r="O508" s="48">
        <v>44774</v>
      </c>
      <c r="P508">
        <v>303662</v>
      </c>
      <c r="Q508" t="s">
        <v>123</v>
      </c>
    </row>
    <row r="509" spans="12:17" x14ac:dyDescent="0.75">
      <c r="L509" t="s">
        <v>107</v>
      </c>
      <c r="M509" t="s">
        <v>118</v>
      </c>
      <c r="N509" t="s">
        <v>118</v>
      </c>
      <c r="O509" s="48">
        <v>44805</v>
      </c>
      <c r="P509">
        <v>313762</v>
      </c>
      <c r="Q509" t="s">
        <v>123</v>
      </c>
    </row>
    <row r="510" spans="12:17" x14ac:dyDescent="0.75">
      <c r="L510" t="s">
        <v>107</v>
      </c>
      <c r="M510" t="s">
        <v>118</v>
      </c>
      <c r="N510" t="s">
        <v>118</v>
      </c>
      <c r="O510" s="48">
        <v>44835</v>
      </c>
      <c r="P510">
        <v>295922</v>
      </c>
      <c r="Q510" t="s">
        <v>123</v>
      </c>
    </row>
    <row r="511" spans="12:17" x14ac:dyDescent="0.75">
      <c r="L511" t="s">
        <v>107</v>
      </c>
      <c r="M511" t="s">
        <v>118</v>
      </c>
      <c r="N511" t="s">
        <v>118</v>
      </c>
      <c r="O511" s="48">
        <v>44866</v>
      </c>
      <c r="P511">
        <v>261325</v>
      </c>
      <c r="Q511" t="s">
        <v>123</v>
      </c>
    </row>
    <row r="512" spans="12:17" x14ac:dyDescent="0.75">
      <c r="L512" t="s">
        <v>107</v>
      </c>
      <c r="M512" t="s">
        <v>118</v>
      </c>
      <c r="N512" t="s">
        <v>118</v>
      </c>
      <c r="O512" s="48">
        <v>44896</v>
      </c>
      <c r="P512">
        <v>204115</v>
      </c>
      <c r="Q512" t="s">
        <v>123</v>
      </c>
    </row>
    <row r="513" spans="12:17" x14ac:dyDescent="0.75">
      <c r="L513" t="s">
        <v>107</v>
      </c>
      <c r="M513" t="s">
        <v>118</v>
      </c>
      <c r="N513" t="s">
        <v>118</v>
      </c>
      <c r="O513" s="48">
        <v>44927</v>
      </c>
      <c r="P513">
        <v>207643</v>
      </c>
      <c r="Q513" t="s">
        <v>123</v>
      </c>
    </row>
    <row r="514" spans="12:17" x14ac:dyDescent="0.75">
      <c r="L514" t="s">
        <v>107</v>
      </c>
      <c r="M514" t="s">
        <v>118</v>
      </c>
      <c r="N514" t="s">
        <v>118</v>
      </c>
      <c r="O514" s="48">
        <v>44958</v>
      </c>
      <c r="P514">
        <v>182936</v>
      </c>
      <c r="Q514" t="s">
        <v>123</v>
      </c>
    </row>
    <row r="515" spans="12:17" x14ac:dyDescent="0.75">
      <c r="L515" t="s">
        <v>107</v>
      </c>
      <c r="M515" t="s">
        <v>118</v>
      </c>
      <c r="N515" t="s">
        <v>118</v>
      </c>
      <c r="O515" s="48">
        <v>44986</v>
      </c>
      <c r="P515">
        <v>168936</v>
      </c>
      <c r="Q515" t="s">
        <v>123</v>
      </c>
    </row>
    <row r="516" spans="12:17" x14ac:dyDescent="0.75">
      <c r="L516" t="s">
        <v>107</v>
      </c>
      <c r="M516" t="s">
        <v>118</v>
      </c>
      <c r="N516" t="s">
        <v>118</v>
      </c>
      <c r="O516" s="48">
        <v>45017</v>
      </c>
      <c r="P516">
        <v>214938</v>
      </c>
      <c r="Q516" t="s">
        <v>123</v>
      </c>
    </row>
    <row r="517" spans="12:17" x14ac:dyDescent="0.75">
      <c r="L517" t="s">
        <v>107</v>
      </c>
      <c r="M517" t="s">
        <v>118</v>
      </c>
      <c r="N517" t="s">
        <v>118</v>
      </c>
      <c r="O517" s="48">
        <v>45047</v>
      </c>
      <c r="P517">
        <v>212995</v>
      </c>
      <c r="Q517" t="s">
        <v>123</v>
      </c>
    </row>
    <row r="518" spans="12:17" x14ac:dyDescent="0.75">
      <c r="L518" t="s">
        <v>107</v>
      </c>
      <c r="M518" t="s">
        <v>118</v>
      </c>
      <c r="N518" t="s">
        <v>118</v>
      </c>
      <c r="O518" s="48">
        <v>45078</v>
      </c>
      <c r="P518">
        <v>194154</v>
      </c>
      <c r="Q518" t="s">
        <v>123</v>
      </c>
    </row>
    <row r="519" spans="12:17" x14ac:dyDescent="0.75">
      <c r="L519" t="s">
        <v>107</v>
      </c>
      <c r="M519" t="s">
        <v>118</v>
      </c>
      <c r="N519" t="s">
        <v>118</v>
      </c>
      <c r="O519" s="48">
        <v>45108</v>
      </c>
      <c r="P519">
        <v>251140</v>
      </c>
      <c r="Q519" t="s">
        <v>123</v>
      </c>
    </row>
    <row r="520" spans="12:17" x14ac:dyDescent="0.75">
      <c r="L520" t="s">
        <v>107</v>
      </c>
      <c r="M520" t="s">
        <v>118</v>
      </c>
      <c r="N520" t="s">
        <v>118</v>
      </c>
      <c r="O520" s="48">
        <v>45139</v>
      </c>
      <c r="P520">
        <v>206064</v>
      </c>
      <c r="Q520" t="s">
        <v>123</v>
      </c>
    </row>
    <row r="521" spans="12:17" x14ac:dyDescent="0.75">
      <c r="L521" t="s">
        <v>107</v>
      </c>
      <c r="M521" t="s">
        <v>118</v>
      </c>
      <c r="N521" t="s">
        <v>118</v>
      </c>
      <c r="O521" s="48">
        <v>45170</v>
      </c>
      <c r="P521">
        <v>219407</v>
      </c>
      <c r="Q521" t="s">
        <v>123</v>
      </c>
    </row>
    <row r="522" spans="12:17" x14ac:dyDescent="0.75">
      <c r="L522" t="s">
        <v>107</v>
      </c>
      <c r="M522" t="s">
        <v>118</v>
      </c>
      <c r="N522" t="s">
        <v>118</v>
      </c>
      <c r="O522" s="48">
        <v>45200</v>
      </c>
      <c r="P522">
        <v>247419</v>
      </c>
      <c r="Q522" t="s">
        <v>123</v>
      </c>
    </row>
    <row r="523" spans="12:17" x14ac:dyDescent="0.75">
      <c r="L523" t="s">
        <v>107</v>
      </c>
      <c r="M523" t="s">
        <v>118</v>
      </c>
      <c r="N523" t="s">
        <v>118</v>
      </c>
      <c r="O523" s="48">
        <v>45231</v>
      </c>
      <c r="P523">
        <v>205633</v>
      </c>
      <c r="Q523" t="s">
        <v>123</v>
      </c>
    </row>
    <row r="524" spans="12:17" x14ac:dyDescent="0.75">
      <c r="L524" t="s">
        <v>107</v>
      </c>
      <c r="M524" t="s">
        <v>118</v>
      </c>
      <c r="N524" t="s">
        <v>118</v>
      </c>
      <c r="O524" s="48">
        <v>45261</v>
      </c>
      <c r="P524">
        <v>200746</v>
      </c>
      <c r="Q524" t="s">
        <v>123</v>
      </c>
    </row>
    <row r="525" spans="12:17" x14ac:dyDescent="0.75">
      <c r="L525" t="s">
        <v>107</v>
      </c>
      <c r="M525" t="s">
        <v>118</v>
      </c>
      <c r="N525" t="s">
        <v>118</v>
      </c>
      <c r="O525" s="48">
        <v>45292</v>
      </c>
      <c r="P525">
        <v>217878</v>
      </c>
      <c r="Q525" t="s">
        <v>123</v>
      </c>
    </row>
    <row r="526" spans="12:17" x14ac:dyDescent="0.75">
      <c r="L526" t="s">
        <v>107</v>
      </c>
      <c r="M526" t="s">
        <v>118</v>
      </c>
      <c r="N526" t="s">
        <v>118</v>
      </c>
      <c r="O526" s="48">
        <v>45323</v>
      </c>
      <c r="P526">
        <v>196213</v>
      </c>
      <c r="Q526" t="s">
        <v>123</v>
      </c>
    </row>
    <row r="527" spans="12:17" x14ac:dyDescent="0.75">
      <c r="L527" t="s">
        <v>107</v>
      </c>
      <c r="M527" t="s">
        <v>118</v>
      </c>
      <c r="N527" t="s">
        <v>118</v>
      </c>
      <c r="O527" s="48">
        <v>45352</v>
      </c>
      <c r="P527">
        <v>228312</v>
      </c>
      <c r="Q527" t="s">
        <v>123</v>
      </c>
    </row>
    <row r="528" spans="12:17" x14ac:dyDescent="0.75">
      <c r="L528" t="s">
        <v>107</v>
      </c>
      <c r="M528" t="s">
        <v>118</v>
      </c>
      <c r="N528" t="s">
        <v>118</v>
      </c>
      <c r="O528" s="48">
        <v>45383</v>
      </c>
      <c r="P528">
        <v>235500</v>
      </c>
      <c r="Q528" t="s">
        <v>123</v>
      </c>
    </row>
    <row r="529" spans="12:17" x14ac:dyDescent="0.75">
      <c r="L529" t="s">
        <v>107</v>
      </c>
      <c r="M529" t="s">
        <v>118</v>
      </c>
      <c r="N529" t="s">
        <v>118</v>
      </c>
      <c r="O529" s="48">
        <v>45413</v>
      </c>
      <c r="P529">
        <v>250070</v>
      </c>
      <c r="Q529" t="s">
        <v>123</v>
      </c>
    </row>
    <row r="530" spans="12:17" x14ac:dyDescent="0.75">
      <c r="L530" t="s">
        <v>107</v>
      </c>
      <c r="M530" t="s">
        <v>118</v>
      </c>
      <c r="N530" t="s">
        <v>118</v>
      </c>
      <c r="O530" s="48">
        <v>45444</v>
      </c>
      <c r="P530">
        <v>228575</v>
      </c>
      <c r="Q530" t="s">
        <v>123</v>
      </c>
    </row>
    <row r="531" spans="12:17" x14ac:dyDescent="0.75">
      <c r="L531" t="s">
        <v>107</v>
      </c>
      <c r="M531" t="s">
        <v>118</v>
      </c>
      <c r="N531" t="s">
        <v>118</v>
      </c>
      <c r="O531" s="48">
        <v>45474</v>
      </c>
      <c r="P531">
        <v>269026</v>
      </c>
      <c r="Q531" t="s">
        <v>123</v>
      </c>
    </row>
    <row r="532" spans="12:17" x14ac:dyDescent="0.75">
      <c r="L532" t="s">
        <v>107</v>
      </c>
      <c r="M532" t="s">
        <v>118</v>
      </c>
      <c r="N532" t="s">
        <v>118</v>
      </c>
      <c r="O532" s="48">
        <v>45505</v>
      </c>
      <c r="P532">
        <v>276222</v>
      </c>
      <c r="Q532" t="s">
        <v>123</v>
      </c>
    </row>
    <row r="533" spans="12:17" x14ac:dyDescent="0.75">
      <c r="L533" t="s">
        <v>107</v>
      </c>
      <c r="M533" t="s">
        <v>118</v>
      </c>
      <c r="N533" t="s">
        <v>118</v>
      </c>
      <c r="O533" s="48">
        <v>45536</v>
      </c>
      <c r="P533">
        <v>277247</v>
      </c>
      <c r="Q533" t="s">
        <v>123</v>
      </c>
    </row>
    <row r="534" spans="12:17" x14ac:dyDescent="0.75">
      <c r="L534" t="s">
        <v>107</v>
      </c>
      <c r="M534" t="s">
        <v>118</v>
      </c>
      <c r="N534" t="s">
        <v>118</v>
      </c>
      <c r="O534" s="48">
        <v>45566</v>
      </c>
      <c r="P534">
        <v>235521</v>
      </c>
      <c r="Q534" t="s">
        <v>123</v>
      </c>
    </row>
    <row r="535" spans="12:17" x14ac:dyDescent="0.75">
      <c r="L535" t="s">
        <v>107</v>
      </c>
      <c r="M535" t="s">
        <v>118</v>
      </c>
      <c r="N535" t="s">
        <v>118</v>
      </c>
      <c r="O535" s="48">
        <v>45597</v>
      </c>
      <c r="P535">
        <v>241930</v>
      </c>
      <c r="Q535" t="s">
        <v>123</v>
      </c>
    </row>
    <row r="536" spans="12:17" x14ac:dyDescent="0.75">
      <c r="L536" t="s">
        <v>107</v>
      </c>
      <c r="M536" t="s">
        <v>118</v>
      </c>
      <c r="N536" t="s">
        <v>118</v>
      </c>
      <c r="O536" s="48">
        <v>45627</v>
      </c>
      <c r="P536">
        <v>225928</v>
      </c>
      <c r="Q536" t="s">
        <v>123</v>
      </c>
    </row>
    <row r="537" spans="12:17" x14ac:dyDescent="0.75">
      <c r="L537" t="s">
        <v>107</v>
      </c>
      <c r="M537" t="s">
        <v>118</v>
      </c>
      <c r="N537" t="s">
        <v>118</v>
      </c>
      <c r="O537" s="48">
        <v>45658</v>
      </c>
      <c r="P537">
        <v>241751</v>
      </c>
      <c r="Q537" t="s">
        <v>123</v>
      </c>
    </row>
    <row r="538" spans="12:17" x14ac:dyDescent="0.75">
      <c r="L538" t="s">
        <v>107</v>
      </c>
      <c r="M538" t="s">
        <v>118</v>
      </c>
      <c r="N538" t="s">
        <v>118</v>
      </c>
      <c r="O538" s="48">
        <v>45689</v>
      </c>
      <c r="P538">
        <v>233839</v>
      </c>
      <c r="Q538" t="s">
        <v>123</v>
      </c>
    </row>
    <row r="539" spans="12:17" x14ac:dyDescent="0.75">
      <c r="L539" t="s">
        <v>107</v>
      </c>
      <c r="M539" t="s">
        <v>118</v>
      </c>
      <c r="N539" t="s">
        <v>118</v>
      </c>
      <c r="O539" s="48">
        <v>45717</v>
      </c>
      <c r="P539">
        <v>265493</v>
      </c>
      <c r="Q539" t="s">
        <v>123</v>
      </c>
    </row>
    <row r="540" spans="12:17" x14ac:dyDescent="0.75">
      <c r="L540" t="s">
        <v>107</v>
      </c>
      <c r="M540" t="s">
        <v>118</v>
      </c>
      <c r="N540" t="s">
        <v>118</v>
      </c>
      <c r="O540" s="48">
        <v>45748</v>
      </c>
      <c r="P540">
        <v>241289</v>
      </c>
      <c r="Q540" t="s">
        <v>123</v>
      </c>
    </row>
    <row r="541" spans="12:17" x14ac:dyDescent="0.75">
      <c r="L541" t="s">
        <v>107</v>
      </c>
      <c r="M541" t="s">
        <v>118</v>
      </c>
      <c r="N541" t="s">
        <v>118</v>
      </c>
      <c r="O541" s="48">
        <v>45778</v>
      </c>
      <c r="P541">
        <v>261200</v>
      </c>
      <c r="Q541" t="s">
        <v>123</v>
      </c>
    </row>
    <row r="542" spans="12:17" x14ac:dyDescent="0.75">
      <c r="L542" t="s">
        <v>108</v>
      </c>
      <c r="M542" t="s">
        <v>119</v>
      </c>
      <c r="N542" t="s">
        <v>120</v>
      </c>
      <c r="O542" s="48">
        <v>43466</v>
      </c>
      <c r="P542">
        <v>50538</v>
      </c>
      <c r="Q542" t="s">
        <v>123</v>
      </c>
    </row>
    <row r="543" spans="12:17" x14ac:dyDescent="0.75">
      <c r="L543" t="s">
        <v>108</v>
      </c>
      <c r="M543" t="s">
        <v>119</v>
      </c>
      <c r="N543" t="s">
        <v>120</v>
      </c>
      <c r="O543" s="48">
        <v>43497</v>
      </c>
      <c r="P543">
        <v>44038</v>
      </c>
      <c r="Q543" t="s">
        <v>123</v>
      </c>
    </row>
    <row r="544" spans="12:17" x14ac:dyDescent="0.75">
      <c r="L544" t="s">
        <v>108</v>
      </c>
      <c r="M544" t="s">
        <v>119</v>
      </c>
      <c r="N544" t="s">
        <v>120</v>
      </c>
      <c r="O544" s="48">
        <v>43525</v>
      </c>
      <c r="P544">
        <v>41712</v>
      </c>
      <c r="Q544" t="s">
        <v>123</v>
      </c>
    </row>
    <row r="545" spans="12:17" x14ac:dyDescent="0.75">
      <c r="L545" t="s">
        <v>108</v>
      </c>
      <c r="M545" t="s">
        <v>119</v>
      </c>
      <c r="N545" t="s">
        <v>120</v>
      </c>
      <c r="O545" s="48">
        <v>43556</v>
      </c>
      <c r="P545">
        <v>38580</v>
      </c>
      <c r="Q545" t="s">
        <v>123</v>
      </c>
    </row>
    <row r="546" spans="12:17" x14ac:dyDescent="0.75">
      <c r="L546" t="s">
        <v>108</v>
      </c>
      <c r="M546" t="s">
        <v>119</v>
      </c>
      <c r="N546" t="s">
        <v>120</v>
      </c>
      <c r="O546" s="48">
        <v>43586</v>
      </c>
      <c r="P546">
        <v>51173</v>
      </c>
      <c r="Q546" t="s">
        <v>123</v>
      </c>
    </row>
    <row r="547" spans="12:17" x14ac:dyDescent="0.75">
      <c r="L547" t="s">
        <v>108</v>
      </c>
      <c r="M547" t="s">
        <v>119</v>
      </c>
      <c r="N547" t="s">
        <v>120</v>
      </c>
      <c r="O547" s="48">
        <v>43617</v>
      </c>
      <c r="P547">
        <v>48622</v>
      </c>
      <c r="Q547" t="s">
        <v>123</v>
      </c>
    </row>
    <row r="548" spans="12:17" x14ac:dyDescent="0.75">
      <c r="L548" t="s">
        <v>108</v>
      </c>
      <c r="M548" t="s">
        <v>119</v>
      </c>
      <c r="N548" t="s">
        <v>120</v>
      </c>
      <c r="O548" s="48">
        <v>43647</v>
      </c>
      <c r="P548">
        <v>56696</v>
      </c>
      <c r="Q548" t="s">
        <v>123</v>
      </c>
    </row>
    <row r="549" spans="12:17" x14ac:dyDescent="0.75">
      <c r="L549" t="s">
        <v>108</v>
      </c>
      <c r="M549" t="s">
        <v>119</v>
      </c>
      <c r="N549" t="s">
        <v>120</v>
      </c>
      <c r="O549" s="48">
        <v>43678</v>
      </c>
      <c r="P549">
        <v>54405</v>
      </c>
      <c r="Q549" t="s">
        <v>123</v>
      </c>
    </row>
    <row r="550" spans="12:17" x14ac:dyDescent="0.75">
      <c r="L550" t="s">
        <v>108</v>
      </c>
      <c r="M550" t="s">
        <v>119</v>
      </c>
      <c r="N550" t="s">
        <v>120</v>
      </c>
      <c r="O550" s="48">
        <v>43709</v>
      </c>
      <c r="P550">
        <v>52766</v>
      </c>
      <c r="Q550" t="s">
        <v>123</v>
      </c>
    </row>
    <row r="551" spans="12:17" x14ac:dyDescent="0.75">
      <c r="L551" t="s">
        <v>108</v>
      </c>
      <c r="M551" t="s">
        <v>119</v>
      </c>
      <c r="N551" t="s">
        <v>120</v>
      </c>
      <c r="O551" s="48">
        <v>43739</v>
      </c>
      <c r="P551">
        <v>57427</v>
      </c>
      <c r="Q551" t="s">
        <v>123</v>
      </c>
    </row>
    <row r="552" spans="12:17" x14ac:dyDescent="0.75">
      <c r="L552" t="s">
        <v>108</v>
      </c>
      <c r="M552" t="s">
        <v>119</v>
      </c>
      <c r="N552" t="s">
        <v>120</v>
      </c>
      <c r="O552" s="48">
        <v>43770</v>
      </c>
      <c r="P552">
        <v>44992</v>
      </c>
      <c r="Q552" t="s">
        <v>123</v>
      </c>
    </row>
    <row r="553" spans="12:17" x14ac:dyDescent="0.75">
      <c r="L553" t="s">
        <v>108</v>
      </c>
      <c r="M553" t="s">
        <v>119</v>
      </c>
      <c r="N553" t="s">
        <v>120</v>
      </c>
      <c r="O553" s="48">
        <v>43800</v>
      </c>
      <c r="P553">
        <v>41854</v>
      </c>
      <c r="Q553" t="s">
        <v>123</v>
      </c>
    </row>
    <row r="554" spans="12:17" x14ac:dyDescent="0.75">
      <c r="L554" t="s">
        <v>108</v>
      </c>
      <c r="M554" t="s">
        <v>119</v>
      </c>
      <c r="N554" t="s">
        <v>120</v>
      </c>
      <c r="O554" s="48">
        <v>43831</v>
      </c>
      <c r="P554">
        <v>36656</v>
      </c>
      <c r="Q554" t="s">
        <v>123</v>
      </c>
    </row>
    <row r="555" spans="12:17" x14ac:dyDescent="0.75">
      <c r="L555" t="s">
        <v>108</v>
      </c>
      <c r="M555" t="s">
        <v>119</v>
      </c>
      <c r="N555" t="s">
        <v>120</v>
      </c>
      <c r="O555" s="48">
        <v>43862</v>
      </c>
      <c r="P555">
        <v>27918</v>
      </c>
      <c r="Q555" t="s">
        <v>123</v>
      </c>
    </row>
    <row r="556" spans="12:17" x14ac:dyDescent="0.75">
      <c r="L556" t="s">
        <v>108</v>
      </c>
      <c r="M556" t="s">
        <v>119</v>
      </c>
      <c r="N556" t="s">
        <v>120</v>
      </c>
      <c r="O556" s="48">
        <v>43891</v>
      </c>
      <c r="P556">
        <v>26347</v>
      </c>
      <c r="Q556" t="s">
        <v>123</v>
      </c>
    </row>
    <row r="557" spans="12:17" x14ac:dyDescent="0.75">
      <c r="L557" t="s">
        <v>108</v>
      </c>
      <c r="M557" t="s">
        <v>119</v>
      </c>
      <c r="N557" t="s">
        <v>120</v>
      </c>
      <c r="O557" s="48">
        <v>43922</v>
      </c>
      <c r="P557">
        <v>32605</v>
      </c>
      <c r="Q557" t="s">
        <v>123</v>
      </c>
    </row>
    <row r="558" spans="12:17" x14ac:dyDescent="0.75">
      <c r="L558" t="s">
        <v>108</v>
      </c>
      <c r="M558" t="s">
        <v>119</v>
      </c>
      <c r="N558" t="s">
        <v>120</v>
      </c>
      <c r="O558" s="48">
        <v>43952</v>
      </c>
      <c r="P558">
        <v>39940</v>
      </c>
      <c r="Q558" t="s">
        <v>123</v>
      </c>
    </row>
    <row r="559" spans="12:17" x14ac:dyDescent="0.75">
      <c r="L559" t="s">
        <v>108</v>
      </c>
      <c r="M559" t="s">
        <v>119</v>
      </c>
      <c r="N559" t="s">
        <v>120</v>
      </c>
      <c r="O559" s="48">
        <v>43983</v>
      </c>
      <c r="P559">
        <v>41841</v>
      </c>
      <c r="Q559" t="s">
        <v>123</v>
      </c>
    </row>
    <row r="560" spans="12:17" x14ac:dyDescent="0.75">
      <c r="L560" t="s">
        <v>108</v>
      </c>
      <c r="M560" t="s">
        <v>119</v>
      </c>
      <c r="N560" t="s">
        <v>120</v>
      </c>
      <c r="O560" s="48">
        <v>44013</v>
      </c>
      <c r="P560">
        <v>45384</v>
      </c>
      <c r="Q560" t="s">
        <v>123</v>
      </c>
    </row>
    <row r="561" spans="12:17" x14ac:dyDescent="0.75">
      <c r="L561" t="s">
        <v>108</v>
      </c>
      <c r="M561" t="s">
        <v>119</v>
      </c>
      <c r="N561" t="s">
        <v>120</v>
      </c>
      <c r="O561" s="48">
        <v>44044</v>
      </c>
      <c r="P561">
        <v>50160</v>
      </c>
      <c r="Q561" t="s">
        <v>123</v>
      </c>
    </row>
    <row r="562" spans="12:17" x14ac:dyDescent="0.75">
      <c r="L562" t="s">
        <v>108</v>
      </c>
      <c r="M562" t="s">
        <v>119</v>
      </c>
      <c r="N562" t="s">
        <v>120</v>
      </c>
      <c r="O562" s="48">
        <v>44075</v>
      </c>
      <c r="P562">
        <v>57704</v>
      </c>
      <c r="Q562" t="s">
        <v>123</v>
      </c>
    </row>
    <row r="563" spans="12:17" x14ac:dyDescent="0.75">
      <c r="L563" t="s">
        <v>108</v>
      </c>
      <c r="M563" t="s">
        <v>119</v>
      </c>
      <c r="N563" t="s">
        <v>120</v>
      </c>
      <c r="O563" s="48">
        <v>44105</v>
      </c>
      <c r="P563">
        <v>57644</v>
      </c>
      <c r="Q563" t="s">
        <v>123</v>
      </c>
    </row>
    <row r="564" spans="12:17" x14ac:dyDescent="0.75">
      <c r="L564" t="s">
        <v>108</v>
      </c>
      <c r="M564" t="s">
        <v>119</v>
      </c>
      <c r="N564" t="s">
        <v>120</v>
      </c>
      <c r="O564" s="48">
        <v>44136</v>
      </c>
      <c r="P564">
        <v>64844</v>
      </c>
      <c r="Q564" t="s">
        <v>123</v>
      </c>
    </row>
    <row r="565" spans="12:17" x14ac:dyDescent="0.75">
      <c r="L565" t="s">
        <v>108</v>
      </c>
      <c r="M565" t="s">
        <v>119</v>
      </c>
      <c r="N565" t="s">
        <v>120</v>
      </c>
      <c r="O565" s="48">
        <v>44166</v>
      </c>
      <c r="P565">
        <v>53175</v>
      </c>
      <c r="Q565" t="s">
        <v>123</v>
      </c>
    </row>
    <row r="566" spans="12:17" x14ac:dyDescent="0.75">
      <c r="L566" t="s">
        <v>108</v>
      </c>
      <c r="M566" t="s">
        <v>119</v>
      </c>
      <c r="N566" t="s">
        <v>120</v>
      </c>
      <c r="O566" s="48">
        <v>44197</v>
      </c>
      <c r="P566">
        <v>54730</v>
      </c>
      <c r="Q566" t="s">
        <v>123</v>
      </c>
    </row>
    <row r="567" spans="12:17" x14ac:dyDescent="0.75">
      <c r="L567" t="s">
        <v>108</v>
      </c>
      <c r="M567" t="s">
        <v>119</v>
      </c>
      <c r="N567" t="s">
        <v>120</v>
      </c>
      <c r="O567" s="48">
        <v>44228</v>
      </c>
      <c r="P567">
        <v>48494</v>
      </c>
      <c r="Q567" t="s">
        <v>123</v>
      </c>
    </row>
    <row r="568" spans="12:17" x14ac:dyDescent="0.75">
      <c r="L568" t="s">
        <v>108</v>
      </c>
      <c r="M568" t="s">
        <v>119</v>
      </c>
      <c r="N568" t="s">
        <v>120</v>
      </c>
      <c r="O568" s="48">
        <v>44256</v>
      </c>
      <c r="P568">
        <v>51092</v>
      </c>
      <c r="Q568" t="s">
        <v>123</v>
      </c>
    </row>
    <row r="569" spans="12:17" x14ac:dyDescent="0.75">
      <c r="L569" t="s">
        <v>108</v>
      </c>
      <c r="M569" t="s">
        <v>119</v>
      </c>
      <c r="N569" t="s">
        <v>120</v>
      </c>
      <c r="O569" s="48">
        <v>44287</v>
      </c>
      <c r="P569">
        <v>50909</v>
      </c>
      <c r="Q569" t="s">
        <v>123</v>
      </c>
    </row>
    <row r="570" spans="12:17" x14ac:dyDescent="0.75">
      <c r="L570" t="s">
        <v>108</v>
      </c>
      <c r="M570" t="s">
        <v>119</v>
      </c>
      <c r="N570" t="s">
        <v>120</v>
      </c>
      <c r="O570" s="48">
        <v>44317</v>
      </c>
      <c r="P570">
        <v>67970</v>
      </c>
      <c r="Q570" t="s">
        <v>123</v>
      </c>
    </row>
    <row r="571" spans="12:17" x14ac:dyDescent="0.75">
      <c r="L571" t="s">
        <v>108</v>
      </c>
      <c r="M571" t="s">
        <v>119</v>
      </c>
      <c r="N571" t="s">
        <v>120</v>
      </c>
      <c r="O571" s="48">
        <v>44348</v>
      </c>
      <c r="P571">
        <v>61369</v>
      </c>
      <c r="Q571" t="s">
        <v>123</v>
      </c>
    </row>
    <row r="572" spans="12:17" x14ac:dyDescent="0.75">
      <c r="L572" t="s">
        <v>108</v>
      </c>
      <c r="M572" t="s">
        <v>119</v>
      </c>
      <c r="N572" t="s">
        <v>120</v>
      </c>
      <c r="O572" s="48">
        <v>44378</v>
      </c>
      <c r="P572">
        <v>66842</v>
      </c>
      <c r="Q572" t="s">
        <v>123</v>
      </c>
    </row>
    <row r="573" spans="12:17" x14ac:dyDescent="0.75">
      <c r="L573" t="s">
        <v>108</v>
      </c>
      <c r="M573" t="s">
        <v>119</v>
      </c>
      <c r="N573" t="s">
        <v>120</v>
      </c>
      <c r="O573" s="48">
        <v>44409</v>
      </c>
      <c r="P573">
        <v>75925</v>
      </c>
      <c r="Q573" t="s">
        <v>123</v>
      </c>
    </row>
    <row r="574" spans="12:17" x14ac:dyDescent="0.75">
      <c r="L574" t="s">
        <v>108</v>
      </c>
      <c r="M574" t="s">
        <v>119</v>
      </c>
      <c r="N574" t="s">
        <v>120</v>
      </c>
      <c r="O574" s="48">
        <v>44440</v>
      </c>
      <c r="P574">
        <v>70928</v>
      </c>
      <c r="Q574" t="s">
        <v>123</v>
      </c>
    </row>
    <row r="575" spans="12:17" x14ac:dyDescent="0.75">
      <c r="L575" t="s">
        <v>108</v>
      </c>
      <c r="M575" t="s">
        <v>119</v>
      </c>
      <c r="N575" t="s">
        <v>120</v>
      </c>
      <c r="O575" s="48">
        <v>44470</v>
      </c>
      <c r="P575">
        <v>79085</v>
      </c>
      <c r="Q575" t="s">
        <v>123</v>
      </c>
    </row>
    <row r="576" spans="12:17" x14ac:dyDescent="0.75">
      <c r="L576" t="s">
        <v>108</v>
      </c>
      <c r="M576" t="s">
        <v>119</v>
      </c>
      <c r="N576" t="s">
        <v>120</v>
      </c>
      <c r="O576" s="48">
        <v>44501</v>
      </c>
      <c r="P576">
        <v>60746</v>
      </c>
      <c r="Q576" t="s">
        <v>123</v>
      </c>
    </row>
    <row r="577" spans="12:17" x14ac:dyDescent="0.75">
      <c r="L577" t="s">
        <v>108</v>
      </c>
      <c r="M577" t="s">
        <v>119</v>
      </c>
      <c r="N577" t="s">
        <v>120</v>
      </c>
      <c r="O577" s="48">
        <v>44531</v>
      </c>
      <c r="P577">
        <v>74265</v>
      </c>
      <c r="Q577" t="s">
        <v>123</v>
      </c>
    </row>
    <row r="578" spans="12:17" x14ac:dyDescent="0.75">
      <c r="L578" t="s">
        <v>108</v>
      </c>
      <c r="M578" t="s">
        <v>119</v>
      </c>
      <c r="N578" t="s">
        <v>120</v>
      </c>
      <c r="O578" s="48">
        <v>44562</v>
      </c>
      <c r="P578">
        <v>61715</v>
      </c>
      <c r="Q578" t="s">
        <v>123</v>
      </c>
    </row>
    <row r="579" spans="12:17" x14ac:dyDescent="0.75">
      <c r="L579" t="s">
        <v>108</v>
      </c>
      <c r="M579" t="s">
        <v>119</v>
      </c>
      <c r="N579" t="s">
        <v>120</v>
      </c>
      <c r="O579" s="48">
        <v>44593</v>
      </c>
      <c r="P579">
        <v>58881</v>
      </c>
      <c r="Q579" t="s">
        <v>123</v>
      </c>
    </row>
    <row r="580" spans="12:17" x14ac:dyDescent="0.75">
      <c r="L580" t="s">
        <v>108</v>
      </c>
      <c r="M580" t="s">
        <v>119</v>
      </c>
      <c r="N580" t="s">
        <v>120</v>
      </c>
      <c r="O580" s="48">
        <v>44621</v>
      </c>
      <c r="P580">
        <v>66771</v>
      </c>
      <c r="Q580" t="s">
        <v>123</v>
      </c>
    </row>
    <row r="581" spans="12:17" x14ac:dyDescent="0.75">
      <c r="L581" t="s">
        <v>108</v>
      </c>
      <c r="M581" t="s">
        <v>119</v>
      </c>
      <c r="N581" t="s">
        <v>120</v>
      </c>
      <c r="O581" s="48">
        <v>44652</v>
      </c>
      <c r="P581">
        <v>78724</v>
      </c>
      <c r="Q581" t="s">
        <v>123</v>
      </c>
    </row>
    <row r="582" spans="12:17" x14ac:dyDescent="0.75">
      <c r="L582" t="s">
        <v>108</v>
      </c>
      <c r="M582" t="s">
        <v>119</v>
      </c>
      <c r="N582" t="s">
        <v>120</v>
      </c>
      <c r="O582" s="48">
        <v>44682</v>
      </c>
      <c r="P582">
        <v>71083</v>
      </c>
      <c r="Q582" t="s">
        <v>123</v>
      </c>
    </row>
    <row r="583" spans="12:17" x14ac:dyDescent="0.75">
      <c r="L583" t="s">
        <v>108</v>
      </c>
      <c r="M583" t="s">
        <v>119</v>
      </c>
      <c r="N583" t="s">
        <v>120</v>
      </c>
      <c r="O583" s="48">
        <v>44713</v>
      </c>
      <c r="P583">
        <v>73626</v>
      </c>
      <c r="Q583" t="s">
        <v>123</v>
      </c>
    </row>
    <row r="584" spans="12:17" x14ac:dyDescent="0.75">
      <c r="L584" t="s">
        <v>108</v>
      </c>
      <c r="M584" t="s">
        <v>119</v>
      </c>
      <c r="N584" t="s">
        <v>120</v>
      </c>
      <c r="O584" s="48">
        <v>44743</v>
      </c>
      <c r="P584">
        <v>78364.5</v>
      </c>
      <c r="Q584" t="s">
        <v>123</v>
      </c>
    </row>
    <row r="585" spans="12:17" x14ac:dyDescent="0.75">
      <c r="L585" t="s">
        <v>108</v>
      </c>
      <c r="M585" t="s">
        <v>119</v>
      </c>
      <c r="N585" t="s">
        <v>120</v>
      </c>
      <c r="O585" s="48">
        <v>44774</v>
      </c>
      <c r="P585">
        <v>80410</v>
      </c>
      <c r="Q585" t="s">
        <v>123</v>
      </c>
    </row>
    <row r="586" spans="12:17" x14ac:dyDescent="0.75">
      <c r="L586" t="s">
        <v>108</v>
      </c>
      <c r="M586" t="s">
        <v>119</v>
      </c>
      <c r="N586" t="s">
        <v>120</v>
      </c>
      <c r="O586" s="48">
        <v>44805</v>
      </c>
      <c r="P586">
        <v>80598</v>
      </c>
      <c r="Q586" t="s">
        <v>123</v>
      </c>
    </row>
    <row r="587" spans="12:17" x14ac:dyDescent="0.75">
      <c r="L587" t="s">
        <v>108</v>
      </c>
      <c r="M587" t="s">
        <v>119</v>
      </c>
      <c r="N587" t="s">
        <v>120</v>
      </c>
      <c r="O587" s="48">
        <v>44835</v>
      </c>
      <c r="P587">
        <v>81108</v>
      </c>
      <c r="Q587" t="s">
        <v>123</v>
      </c>
    </row>
    <row r="588" spans="12:17" x14ac:dyDescent="0.75">
      <c r="L588" t="s">
        <v>108</v>
      </c>
      <c r="M588" t="s">
        <v>119</v>
      </c>
      <c r="N588" t="s">
        <v>120</v>
      </c>
      <c r="O588" s="48">
        <v>44866</v>
      </c>
      <c r="P588">
        <v>66017</v>
      </c>
      <c r="Q588" t="s">
        <v>123</v>
      </c>
    </row>
    <row r="589" spans="12:17" x14ac:dyDescent="0.75">
      <c r="L589" t="s">
        <v>108</v>
      </c>
      <c r="M589" t="s">
        <v>119</v>
      </c>
      <c r="N589" t="s">
        <v>120</v>
      </c>
      <c r="O589" s="48">
        <v>44896</v>
      </c>
      <c r="P589">
        <v>53603</v>
      </c>
      <c r="Q589" t="s">
        <v>123</v>
      </c>
    </row>
    <row r="590" spans="12:17" x14ac:dyDescent="0.75">
      <c r="L590" t="s">
        <v>108</v>
      </c>
      <c r="M590" t="s">
        <v>119</v>
      </c>
      <c r="N590" t="s">
        <v>120</v>
      </c>
      <c r="O590" s="48">
        <v>44927</v>
      </c>
      <c r="P590">
        <v>54223</v>
      </c>
      <c r="Q590" t="s">
        <v>123</v>
      </c>
    </row>
    <row r="591" spans="12:17" x14ac:dyDescent="0.75">
      <c r="L591" t="s">
        <v>108</v>
      </c>
      <c r="M591" t="s">
        <v>119</v>
      </c>
      <c r="N591" t="s">
        <v>120</v>
      </c>
      <c r="O591" s="48">
        <v>44958</v>
      </c>
      <c r="P591">
        <v>47129.25</v>
      </c>
      <c r="Q591" t="s">
        <v>123</v>
      </c>
    </row>
    <row r="592" spans="12:17" x14ac:dyDescent="0.75">
      <c r="L592" t="s">
        <v>108</v>
      </c>
      <c r="M592" t="s">
        <v>119</v>
      </c>
      <c r="N592" t="s">
        <v>120</v>
      </c>
      <c r="O592" s="48">
        <v>44986</v>
      </c>
      <c r="P592">
        <v>38912</v>
      </c>
      <c r="Q592" t="s">
        <v>123</v>
      </c>
    </row>
    <row r="593" spans="12:17" x14ac:dyDescent="0.75">
      <c r="L593" t="s">
        <v>108</v>
      </c>
      <c r="M593" t="s">
        <v>119</v>
      </c>
      <c r="N593" t="s">
        <v>120</v>
      </c>
      <c r="O593" s="48">
        <v>45017</v>
      </c>
      <c r="P593">
        <v>41249.5</v>
      </c>
      <c r="Q593" t="s">
        <v>123</v>
      </c>
    </row>
    <row r="594" spans="12:17" x14ac:dyDescent="0.75">
      <c r="L594" t="s">
        <v>108</v>
      </c>
      <c r="M594" t="s">
        <v>119</v>
      </c>
      <c r="N594" t="s">
        <v>120</v>
      </c>
      <c r="O594" s="48">
        <v>45047</v>
      </c>
      <c r="P594">
        <v>45367.5</v>
      </c>
      <c r="Q594" t="s">
        <v>123</v>
      </c>
    </row>
    <row r="595" spans="12:17" x14ac:dyDescent="0.75">
      <c r="L595" t="s">
        <v>108</v>
      </c>
      <c r="M595" t="s">
        <v>119</v>
      </c>
      <c r="N595" t="s">
        <v>120</v>
      </c>
      <c r="O595" s="48">
        <v>45078</v>
      </c>
      <c r="P595">
        <v>53234.5</v>
      </c>
      <c r="Q595" t="s">
        <v>123</v>
      </c>
    </row>
    <row r="596" spans="12:17" x14ac:dyDescent="0.75">
      <c r="L596" t="s">
        <v>108</v>
      </c>
      <c r="M596" t="s">
        <v>119</v>
      </c>
      <c r="N596" t="s">
        <v>120</v>
      </c>
      <c r="O596" s="48">
        <v>45108</v>
      </c>
      <c r="P596">
        <v>64531</v>
      </c>
      <c r="Q596" t="s">
        <v>123</v>
      </c>
    </row>
    <row r="597" spans="12:17" x14ac:dyDescent="0.75">
      <c r="L597" t="s">
        <v>108</v>
      </c>
      <c r="M597" t="s">
        <v>119</v>
      </c>
      <c r="N597" t="s">
        <v>120</v>
      </c>
      <c r="O597" s="48">
        <v>45139</v>
      </c>
      <c r="P597">
        <v>58051</v>
      </c>
      <c r="Q597" t="s">
        <v>123</v>
      </c>
    </row>
    <row r="598" spans="12:17" x14ac:dyDescent="0.75">
      <c r="L598" t="s">
        <v>108</v>
      </c>
      <c r="M598" t="s">
        <v>119</v>
      </c>
      <c r="N598" t="s">
        <v>120</v>
      </c>
      <c r="O598" s="48">
        <v>45170</v>
      </c>
      <c r="P598">
        <v>57092</v>
      </c>
      <c r="Q598" t="s">
        <v>123</v>
      </c>
    </row>
    <row r="599" spans="12:17" x14ac:dyDescent="0.75">
      <c r="L599" t="s">
        <v>108</v>
      </c>
      <c r="M599" t="s">
        <v>119</v>
      </c>
      <c r="N599" t="s">
        <v>120</v>
      </c>
      <c r="O599" s="48">
        <v>45200</v>
      </c>
      <c r="P599">
        <v>64675</v>
      </c>
      <c r="Q599" t="s">
        <v>123</v>
      </c>
    </row>
    <row r="600" spans="12:17" x14ac:dyDescent="0.75">
      <c r="L600" t="s">
        <v>108</v>
      </c>
      <c r="M600" t="s">
        <v>119</v>
      </c>
      <c r="N600" t="s">
        <v>120</v>
      </c>
      <c r="O600" s="48">
        <v>45231</v>
      </c>
      <c r="P600">
        <v>44485</v>
      </c>
      <c r="Q600" t="s">
        <v>123</v>
      </c>
    </row>
    <row r="601" spans="12:17" x14ac:dyDescent="0.75">
      <c r="L601" t="s">
        <v>108</v>
      </c>
      <c r="M601" t="s">
        <v>119</v>
      </c>
      <c r="N601" t="s">
        <v>120</v>
      </c>
      <c r="O601" s="48">
        <v>45261</v>
      </c>
      <c r="P601">
        <v>49891</v>
      </c>
      <c r="Q601" t="s">
        <v>123</v>
      </c>
    </row>
    <row r="602" spans="12:17" x14ac:dyDescent="0.75">
      <c r="L602" t="s">
        <v>108</v>
      </c>
      <c r="M602" t="s">
        <v>119</v>
      </c>
      <c r="N602" t="s">
        <v>120</v>
      </c>
      <c r="O602" s="48">
        <v>45292</v>
      </c>
      <c r="P602">
        <v>50524</v>
      </c>
      <c r="Q602" t="s">
        <v>123</v>
      </c>
    </row>
    <row r="603" spans="12:17" x14ac:dyDescent="0.75">
      <c r="L603" t="s">
        <v>108</v>
      </c>
      <c r="M603" t="s">
        <v>119</v>
      </c>
      <c r="N603" t="s">
        <v>120</v>
      </c>
      <c r="O603" s="48">
        <v>45323</v>
      </c>
      <c r="P603">
        <v>46877</v>
      </c>
      <c r="Q603" t="s">
        <v>123</v>
      </c>
    </row>
    <row r="604" spans="12:17" x14ac:dyDescent="0.75">
      <c r="L604" t="s">
        <v>108</v>
      </c>
      <c r="M604" t="s">
        <v>119</v>
      </c>
      <c r="N604" t="s">
        <v>120</v>
      </c>
      <c r="O604" s="48">
        <v>45352</v>
      </c>
      <c r="P604">
        <v>51383</v>
      </c>
      <c r="Q604" t="s">
        <v>123</v>
      </c>
    </row>
    <row r="605" spans="12:17" x14ac:dyDescent="0.75">
      <c r="L605" t="s">
        <v>108</v>
      </c>
      <c r="M605" t="s">
        <v>119</v>
      </c>
      <c r="N605" t="s">
        <v>120</v>
      </c>
      <c r="O605" s="48">
        <v>45383</v>
      </c>
      <c r="P605">
        <v>61355</v>
      </c>
      <c r="Q605" t="s">
        <v>123</v>
      </c>
    </row>
    <row r="606" spans="12:17" x14ac:dyDescent="0.75">
      <c r="L606" t="s">
        <v>108</v>
      </c>
      <c r="M606" t="s">
        <v>119</v>
      </c>
      <c r="N606" t="s">
        <v>120</v>
      </c>
      <c r="O606" s="48">
        <v>45413</v>
      </c>
      <c r="P606">
        <v>71788</v>
      </c>
      <c r="Q606" t="s">
        <v>123</v>
      </c>
    </row>
    <row r="607" spans="12:17" x14ac:dyDescent="0.75">
      <c r="L607" t="s">
        <v>108</v>
      </c>
      <c r="M607" t="s">
        <v>119</v>
      </c>
      <c r="N607" t="s">
        <v>120</v>
      </c>
      <c r="O607" s="48">
        <v>45444</v>
      </c>
      <c r="P607">
        <v>68770</v>
      </c>
      <c r="Q607" t="s">
        <v>123</v>
      </c>
    </row>
    <row r="608" spans="12:17" x14ac:dyDescent="0.75">
      <c r="L608" t="s">
        <v>108</v>
      </c>
      <c r="M608" t="s">
        <v>119</v>
      </c>
      <c r="N608" t="s">
        <v>120</v>
      </c>
      <c r="O608" s="48">
        <v>45474</v>
      </c>
      <c r="P608">
        <v>63295</v>
      </c>
      <c r="Q608" t="s">
        <v>123</v>
      </c>
    </row>
    <row r="609" spans="12:17" x14ac:dyDescent="0.75">
      <c r="L609" t="s">
        <v>108</v>
      </c>
      <c r="M609" t="s">
        <v>119</v>
      </c>
      <c r="N609" t="s">
        <v>120</v>
      </c>
      <c r="O609" s="48">
        <v>45505</v>
      </c>
      <c r="P609">
        <v>62271</v>
      </c>
      <c r="Q609" t="s">
        <v>123</v>
      </c>
    </row>
    <row r="610" spans="12:17" x14ac:dyDescent="0.75">
      <c r="L610" t="s">
        <v>108</v>
      </c>
      <c r="M610" t="s">
        <v>119</v>
      </c>
      <c r="N610" t="s">
        <v>120</v>
      </c>
      <c r="O610" s="48">
        <v>45536</v>
      </c>
      <c r="P610">
        <v>63987</v>
      </c>
      <c r="Q610" t="s">
        <v>123</v>
      </c>
    </row>
    <row r="611" spans="12:17" x14ac:dyDescent="0.75">
      <c r="L611" t="s">
        <v>108</v>
      </c>
      <c r="M611" t="s">
        <v>119</v>
      </c>
      <c r="N611" t="s">
        <v>120</v>
      </c>
      <c r="O611" s="48">
        <v>45566</v>
      </c>
      <c r="P611">
        <v>56341</v>
      </c>
      <c r="Q611" t="s">
        <v>123</v>
      </c>
    </row>
    <row r="612" spans="12:17" x14ac:dyDescent="0.75">
      <c r="L612" t="s">
        <v>108</v>
      </c>
      <c r="M612" t="s">
        <v>119</v>
      </c>
      <c r="N612" t="s">
        <v>120</v>
      </c>
      <c r="O612" s="48">
        <v>45597</v>
      </c>
      <c r="P612">
        <v>53773</v>
      </c>
      <c r="Q612" t="s">
        <v>123</v>
      </c>
    </row>
    <row r="613" spans="12:17" x14ac:dyDescent="0.75">
      <c r="L613" t="s">
        <v>108</v>
      </c>
      <c r="M613" t="s">
        <v>119</v>
      </c>
      <c r="N613" t="s">
        <v>120</v>
      </c>
      <c r="O613" s="48">
        <v>45627</v>
      </c>
      <c r="P613">
        <v>51241</v>
      </c>
      <c r="Q613" t="s">
        <v>123</v>
      </c>
    </row>
    <row r="614" spans="12:17" x14ac:dyDescent="0.75">
      <c r="L614" t="s">
        <v>108</v>
      </c>
      <c r="M614" t="s">
        <v>119</v>
      </c>
      <c r="N614" t="s">
        <v>120</v>
      </c>
      <c r="O614" s="48">
        <v>45658</v>
      </c>
      <c r="P614">
        <v>56732</v>
      </c>
      <c r="Q614" t="s">
        <v>123</v>
      </c>
    </row>
    <row r="615" spans="12:17" x14ac:dyDescent="0.75">
      <c r="L615" t="s">
        <v>108</v>
      </c>
      <c r="M615" t="s">
        <v>119</v>
      </c>
      <c r="N615" t="s">
        <v>120</v>
      </c>
      <c r="O615" s="48">
        <v>45689</v>
      </c>
      <c r="P615">
        <v>43524</v>
      </c>
      <c r="Q615" t="s">
        <v>123</v>
      </c>
    </row>
    <row r="616" spans="12:17" x14ac:dyDescent="0.75">
      <c r="L616" t="s">
        <v>108</v>
      </c>
      <c r="M616" t="s">
        <v>119</v>
      </c>
      <c r="N616" t="s">
        <v>120</v>
      </c>
      <c r="O616" s="48">
        <v>45717</v>
      </c>
      <c r="P616">
        <v>54752</v>
      </c>
      <c r="Q616" t="s">
        <v>123</v>
      </c>
    </row>
    <row r="617" spans="12:17" x14ac:dyDescent="0.75">
      <c r="L617" t="s">
        <v>108</v>
      </c>
      <c r="M617" t="s">
        <v>119</v>
      </c>
      <c r="N617" t="s">
        <v>120</v>
      </c>
      <c r="O617" s="48">
        <v>45748</v>
      </c>
      <c r="P617">
        <v>61405.75</v>
      </c>
      <c r="Q617" t="s">
        <v>123</v>
      </c>
    </row>
    <row r="618" spans="12:17" x14ac:dyDescent="0.75">
      <c r="L618" t="s">
        <v>108</v>
      </c>
      <c r="M618" t="s">
        <v>119</v>
      </c>
      <c r="N618" t="s">
        <v>120</v>
      </c>
      <c r="O618" s="48">
        <v>45778</v>
      </c>
      <c r="P618">
        <v>57751</v>
      </c>
      <c r="Q618" t="s">
        <v>123</v>
      </c>
    </row>
    <row r="619" spans="12:17" x14ac:dyDescent="0.75">
      <c r="L619" t="s">
        <v>109</v>
      </c>
      <c r="M619" t="s">
        <v>121</v>
      </c>
      <c r="N619" t="s">
        <v>122</v>
      </c>
      <c r="O619" s="48">
        <v>43466</v>
      </c>
      <c r="P619">
        <v>93907</v>
      </c>
      <c r="Q619" t="s">
        <v>123</v>
      </c>
    </row>
    <row r="620" spans="12:17" x14ac:dyDescent="0.75">
      <c r="L620" t="s">
        <v>109</v>
      </c>
      <c r="M620" t="s">
        <v>121</v>
      </c>
      <c r="N620" t="s">
        <v>122</v>
      </c>
      <c r="O620" s="48">
        <v>43497</v>
      </c>
      <c r="P620">
        <v>52633</v>
      </c>
      <c r="Q620" t="s">
        <v>123</v>
      </c>
    </row>
    <row r="621" spans="12:17" x14ac:dyDescent="0.75">
      <c r="L621" t="s">
        <v>109</v>
      </c>
      <c r="M621" t="s">
        <v>121</v>
      </c>
      <c r="N621" t="s">
        <v>122</v>
      </c>
      <c r="O621" s="48">
        <v>43525</v>
      </c>
      <c r="P621">
        <v>59089</v>
      </c>
      <c r="Q621" t="s">
        <v>123</v>
      </c>
    </row>
    <row r="622" spans="12:17" x14ac:dyDescent="0.75">
      <c r="L622" t="s">
        <v>109</v>
      </c>
      <c r="M622" t="s">
        <v>121</v>
      </c>
      <c r="N622" t="s">
        <v>122</v>
      </c>
      <c r="O622" s="48">
        <v>43556</v>
      </c>
      <c r="P622">
        <v>51707</v>
      </c>
      <c r="Q622" t="s">
        <v>123</v>
      </c>
    </row>
    <row r="623" spans="12:17" x14ac:dyDescent="0.75">
      <c r="L623" t="s">
        <v>109</v>
      </c>
      <c r="M623" t="s">
        <v>121</v>
      </c>
      <c r="N623" t="s">
        <v>122</v>
      </c>
      <c r="O623" s="48">
        <v>43586</v>
      </c>
      <c r="P623">
        <v>58461</v>
      </c>
      <c r="Q623" t="s">
        <v>123</v>
      </c>
    </row>
    <row r="624" spans="12:17" x14ac:dyDescent="0.75">
      <c r="L624" t="s">
        <v>109</v>
      </c>
      <c r="M624" t="s">
        <v>121</v>
      </c>
      <c r="N624" t="s">
        <v>122</v>
      </c>
      <c r="O624" s="48">
        <v>43617</v>
      </c>
      <c r="P624">
        <v>69056</v>
      </c>
      <c r="Q624" t="s">
        <v>123</v>
      </c>
    </row>
    <row r="625" spans="12:17" x14ac:dyDescent="0.75">
      <c r="L625" t="s">
        <v>109</v>
      </c>
      <c r="M625" t="s">
        <v>121</v>
      </c>
      <c r="N625" t="s">
        <v>122</v>
      </c>
      <c r="O625" s="48">
        <v>43647</v>
      </c>
      <c r="P625">
        <v>66491</v>
      </c>
      <c r="Q625" t="s">
        <v>123</v>
      </c>
    </row>
    <row r="626" spans="12:17" x14ac:dyDescent="0.75">
      <c r="L626" t="s">
        <v>109</v>
      </c>
      <c r="M626" t="s">
        <v>121</v>
      </c>
      <c r="N626" t="s">
        <v>122</v>
      </c>
      <c r="O626" s="48">
        <v>43678</v>
      </c>
      <c r="P626">
        <v>89076</v>
      </c>
      <c r="Q626" t="s">
        <v>123</v>
      </c>
    </row>
    <row r="627" spans="12:17" x14ac:dyDescent="0.75">
      <c r="L627" t="s">
        <v>109</v>
      </c>
      <c r="M627" t="s">
        <v>121</v>
      </c>
      <c r="N627" t="s">
        <v>122</v>
      </c>
      <c r="O627" s="48">
        <v>43709</v>
      </c>
      <c r="P627">
        <v>69683</v>
      </c>
      <c r="Q627" t="s">
        <v>123</v>
      </c>
    </row>
    <row r="628" spans="12:17" x14ac:dyDescent="0.75">
      <c r="L628" t="s">
        <v>109</v>
      </c>
      <c r="M628" t="s">
        <v>121</v>
      </c>
      <c r="N628" t="s">
        <v>122</v>
      </c>
      <c r="O628" s="48">
        <v>43739</v>
      </c>
      <c r="P628">
        <v>93250</v>
      </c>
      <c r="Q628" t="s">
        <v>123</v>
      </c>
    </row>
    <row r="629" spans="12:17" x14ac:dyDescent="0.75">
      <c r="L629" t="s">
        <v>109</v>
      </c>
      <c r="M629" t="s">
        <v>121</v>
      </c>
      <c r="N629" t="s">
        <v>122</v>
      </c>
      <c r="O629" s="48">
        <v>43770</v>
      </c>
      <c r="P629">
        <v>62592</v>
      </c>
      <c r="Q629" t="s">
        <v>123</v>
      </c>
    </row>
    <row r="630" spans="12:17" x14ac:dyDescent="0.75">
      <c r="L630" t="s">
        <v>109</v>
      </c>
      <c r="M630" t="s">
        <v>121</v>
      </c>
      <c r="N630" t="s">
        <v>122</v>
      </c>
      <c r="O630" s="48">
        <v>43800</v>
      </c>
      <c r="P630">
        <v>68002</v>
      </c>
      <c r="Q630" t="s">
        <v>123</v>
      </c>
    </row>
    <row r="631" spans="12:17" x14ac:dyDescent="0.75">
      <c r="L631" t="s">
        <v>109</v>
      </c>
      <c r="M631" t="s">
        <v>121</v>
      </c>
      <c r="N631" t="s">
        <v>122</v>
      </c>
      <c r="O631" s="48">
        <v>43831</v>
      </c>
      <c r="P631">
        <v>60000</v>
      </c>
      <c r="Q631" t="s">
        <v>123</v>
      </c>
    </row>
    <row r="632" spans="12:17" x14ac:dyDescent="0.75">
      <c r="L632" t="s">
        <v>109</v>
      </c>
      <c r="M632" t="s">
        <v>121</v>
      </c>
      <c r="N632" t="s">
        <v>122</v>
      </c>
      <c r="O632" s="48">
        <v>43862</v>
      </c>
      <c r="P632">
        <v>57404</v>
      </c>
      <c r="Q632" t="s">
        <v>123</v>
      </c>
    </row>
    <row r="633" spans="12:17" x14ac:dyDescent="0.75">
      <c r="L633" t="s">
        <v>109</v>
      </c>
      <c r="M633" t="s">
        <v>121</v>
      </c>
      <c r="N633" t="s">
        <v>122</v>
      </c>
      <c r="O633" s="48">
        <v>43891</v>
      </c>
      <c r="P633">
        <v>36685</v>
      </c>
      <c r="Q633" t="s">
        <v>123</v>
      </c>
    </row>
    <row r="634" spans="12:17" x14ac:dyDescent="0.75">
      <c r="L634" t="s">
        <v>109</v>
      </c>
      <c r="M634" t="s">
        <v>121</v>
      </c>
      <c r="N634" t="s">
        <v>122</v>
      </c>
      <c r="O634" s="48">
        <v>43922</v>
      </c>
      <c r="P634">
        <v>42486</v>
      </c>
      <c r="Q634" t="s">
        <v>123</v>
      </c>
    </row>
    <row r="635" spans="12:17" x14ac:dyDescent="0.75">
      <c r="L635" t="s">
        <v>109</v>
      </c>
      <c r="M635" t="s">
        <v>121</v>
      </c>
      <c r="N635" t="s">
        <v>122</v>
      </c>
      <c r="O635" s="48">
        <v>43952</v>
      </c>
      <c r="P635">
        <v>52664</v>
      </c>
      <c r="Q635" t="s">
        <v>123</v>
      </c>
    </row>
    <row r="636" spans="12:17" x14ac:dyDescent="0.75">
      <c r="L636" t="s">
        <v>109</v>
      </c>
      <c r="M636" t="s">
        <v>121</v>
      </c>
      <c r="N636" t="s">
        <v>122</v>
      </c>
      <c r="O636" s="48">
        <v>43983</v>
      </c>
      <c r="P636">
        <v>52357</v>
      </c>
      <c r="Q636" t="s">
        <v>123</v>
      </c>
    </row>
    <row r="637" spans="12:17" x14ac:dyDescent="0.75">
      <c r="L637" t="s">
        <v>109</v>
      </c>
      <c r="M637" t="s">
        <v>121</v>
      </c>
      <c r="N637" t="s">
        <v>122</v>
      </c>
      <c r="O637" s="48">
        <v>44013</v>
      </c>
      <c r="P637">
        <v>55175</v>
      </c>
      <c r="Q637" t="s">
        <v>123</v>
      </c>
    </row>
    <row r="638" spans="12:17" x14ac:dyDescent="0.75">
      <c r="L638" t="s">
        <v>109</v>
      </c>
      <c r="M638" t="s">
        <v>121</v>
      </c>
      <c r="N638" t="s">
        <v>122</v>
      </c>
      <c r="O638" s="48">
        <v>44044</v>
      </c>
      <c r="P638">
        <v>92615</v>
      </c>
      <c r="Q638" t="s">
        <v>123</v>
      </c>
    </row>
    <row r="639" spans="12:17" x14ac:dyDescent="0.75">
      <c r="L639" t="s">
        <v>109</v>
      </c>
      <c r="M639" t="s">
        <v>121</v>
      </c>
      <c r="N639" t="s">
        <v>122</v>
      </c>
      <c r="O639" s="48">
        <v>44075</v>
      </c>
      <c r="P639">
        <v>89992</v>
      </c>
      <c r="Q639" t="s">
        <v>123</v>
      </c>
    </row>
    <row r="640" spans="12:17" x14ac:dyDescent="0.75">
      <c r="L640" t="s">
        <v>109</v>
      </c>
      <c r="M640" t="s">
        <v>121</v>
      </c>
      <c r="N640" t="s">
        <v>122</v>
      </c>
      <c r="O640" s="48">
        <v>44105</v>
      </c>
      <c r="P640">
        <v>107878</v>
      </c>
      <c r="Q640" t="s">
        <v>123</v>
      </c>
    </row>
    <row r="641" spans="12:17" x14ac:dyDescent="0.75">
      <c r="L641" t="s">
        <v>109</v>
      </c>
      <c r="M641" t="s">
        <v>121</v>
      </c>
      <c r="N641" t="s">
        <v>122</v>
      </c>
      <c r="O641" s="48">
        <v>44136</v>
      </c>
      <c r="P641">
        <v>111707</v>
      </c>
      <c r="Q641" t="s">
        <v>123</v>
      </c>
    </row>
    <row r="642" spans="12:17" x14ac:dyDescent="0.75">
      <c r="L642" t="s">
        <v>109</v>
      </c>
      <c r="M642" t="s">
        <v>121</v>
      </c>
      <c r="N642" t="s">
        <v>122</v>
      </c>
      <c r="O642" s="48">
        <v>44166</v>
      </c>
      <c r="P642">
        <v>111791</v>
      </c>
      <c r="Q642" t="s">
        <v>123</v>
      </c>
    </row>
    <row r="643" spans="12:17" x14ac:dyDescent="0.75">
      <c r="L643" t="s">
        <v>109</v>
      </c>
      <c r="M643" t="s">
        <v>121</v>
      </c>
      <c r="N643" t="s">
        <v>122</v>
      </c>
      <c r="O643" s="48">
        <v>44197</v>
      </c>
      <c r="P643">
        <v>110099</v>
      </c>
      <c r="Q643" t="s">
        <v>123</v>
      </c>
    </row>
    <row r="644" spans="12:17" x14ac:dyDescent="0.75">
      <c r="L644" t="s">
        <v>109</v>
      </c>
      <c r="M644" t="s">
        <v>121</v>
      </c>
      <c r="N644" t="s">
        <v>122</v>
      </c>
      <c r="O644" s="48">
        <v>44228</v>
      </c>
      <c r="P644">
        <v>86410</v>
      </c>
      <c r="Q644" t="s">
        <v>123</v>
      </c>
    </row>
    <row r="645" spans="12:17" x14ac:dyDescent="0.75">
      <c r="L645" t="s">
        <v>109</v>
      </c>
      <c r="M645" t="s">
        <v>121</v>
      </c>
      <c r="N645" t="s">
        <v>122</v>
      </c>
      <c r="O645" s="48">
        <v>44256</v>
      </c>
      <c r="P645">
        <v>107260</v>
      </c>
      <c r="Q645" t="s">
        <v>123</v>
      </c>
    </row>
    <row r="646" spans="12:17" x14ac:dyDescent="0.75">
      <c r="L646" t="s">
        <v>109</v>
      </c>
      <c r="M646" t="s">
        <v>121</v>
      </c>
      <c r="N646" t="s">
        <v>122</v>
      </c>
      <c r="O646" s="48">
        <v>44287</v>
      </c>
      <c r="P646">
        <v>96966</v>
      </c>
      <c r="Q646" t="s">
        <v>123</v>
      </c>
    </row>
    <row r="647" spans="12:17" x14ac:dyDescent="0.75">
      <c r="L647" t="s">
        <v>109</v>
      </c>
      <c r="M647" t="s">
        <v>121</v>
      </c>
      <c r="N647" t="s">
        <v>122</v>
      </c>
      <c r="O647" s="48">
        <v>44317</v>
      </c>
      <c r="P647">
        <v>102111</v>
      </c>
      <c r="Q647" t="s">
        <v>123</v>
      </c>
    </row>
    <row r="648" spans="12:17" x14ac:dyDescent="0.75">
      <c r="L648" t="s">
        <v>109</v>
      </c>
      <c r="M648" t="s">
        <v>121</v>
      </c>
      <c r="N648" t="s">
        <v>122</v>
      </c>
      <c r="O648" s="48">
        <v>44348</v>
      </c>
      <c r="P648">
        <v>109146</v>
      </c>
      <c r="Q648" t="s">
        <v>123</v>
      </c>
    </row>
    <row r="649" spans="12:17" x14ac:dyDescent="0.75">
      <c r="L649" t="s">
        <v>109</v>
      </c>
      <c r="M649" t="s">
        <v>121</v>
      </c>
      <c r="N649" t="s">
        <v>122</v>
      </c>
      <c r="O649" s="48">
        <v>44378</v>
      </c>
      <c r="P649">
        <v>99370</v>
      </c>
      <c r="Q649" t="s">
        <v>123</v>
      </c>
    </row>
    <row r="650" spans="12:17" x14ac:dyDescent="0.75">
      <c r="L650" t="s">
        <v>109</v>
      </c>
      <c r="M650" t="s">
        <v>121</v>
      </c>
      <c r="N650" t="s">
        <v>122</v>
      </c>
      <c r="O650" s="48">
        <v>44409</v>
      </c>
      <c r="P650">
        <v>126362</v>
      </c>
      <c r="Q650" t="s">
        <v>123</v>
      </c>
    </row>
    <row r="651" spans="12:17" x14ac:dyDescent="0.75">
      <c r="L651" t="s">
        <v>109</v>
      </c>
      <c r="M651" t="s">
        <v>121</v>
      </c>
      <c r="N651" t="s">
        <v>122</v>
      </c>
      <c r="O651" s="48">
        <v>44440</v>
      </c>
      <c r="P651">
        <v>127131</v>
      </c>
      <c r="Q651" t="s">
        <v>123</v>
      </c>
    </row>
    <row r="652" spans="12:17" x14ac:dyDescent="0.75">
      <c r="L652" t="s">
        <v>109</v>
      </c>
      <c r="M652" t="s">
        <v>121</v>
      </c>
      <c r="N652" t="s">
        <v>122</v>
      </c>
      <c r="O652" s="48">
        <v>44470</v>
      </c>
      <c r="P652">
        <v>129724</v>
      </c>
      <c r="Q652" t="s">
        <v>123</v>
      </c>
    </row>
    <row r="653" spans="12:17" x14ac:dyDescent="0.75">
      <c r="L653" t="s">
        <v>109</v>
      </c>
      <c r="M653" t="s">
        <v>121</v>
      </c>
      <c r="N653" t="s">
        <v>122</v>
      </c>
      <c r="O653" s="48">
        <v>44501</v>
      </c>
      <c r="P653">
        <v>152883</v>
      </c>
      <c r="Q653" t="s">
        <v>123</v>
      </c>
    </row>
    <row r="654" spans="12:17" x14ac:dyDescent="0.75">
      <c r="L654" t="s">
        <v>109</v>
      </c>
      <c r="M654" t="s">
        <v>121</v>
      </c>
      <c r="N654" t="s">
        <v>122</v>
      </c>
      <c r="O654" s="48">
        <v>44531</v>
      </c>
      <c r="P654">
        <v>139563</v>
      </c>
      <c r="Q654" t="s">
        <v>123</v>
      </c>
    </row>
    <row r="655" spans="12:17" x14ac:dyDescent="0.75">
      <c r="L655" t="s">
        <v>109</v>
      </c>
      <c r="M655" t="s">
        <v>121</v>
      </c>
      <c r="N655" t="s">
        <v>122</v>
      </c>
      <c r="O655" s="48">
        <v>44562</v>
      </c>
      <c r="P655">
        <v>132604</v>
      </c>
      <c r="Q655" t="s">
        <v>123</v>
      </c>
    </row>
    <row r="656" spans="12:17" x14ac:dyDescent="0.75">
      <c r="L656" t="s">
        <v>109</v>
      </c>
      <c r="M656" t="s">
        <v>121</v>
      </c>
      <c r="N656" t="s">
        <v>122</v>
      </c>
      <c r="O656" s="48">
        <v>44593</v>
      </c>
      <c r="P656">
        <v>132268</v>
      </c>
      <c r="Q656" t="s">
        <v>123</v>
      </c>
    </row>
    <row r="657" spans="12:17" x14ac:dyDescent="0.75">
      <c r="L657" t="s">
        <v>109</v>
      </c>
      <c r="M657" t="s">
        <v>121</v>
      </c>
      <c r="N657" t="s">
        <v>122</v>
      </c>
      <c r="O657" s="48">
        <v>44621</v>
      </c>
      <c r="P657">
        <v>118971</v>
      </c>
      <c r="Q657" t="s">
        <v>123</v>
      </c>
    </row>
    <row r="658" spans="12:17" x14ac:dyDescent="0.75">
      <c r="L658" t="s">
        <v>109</v>
      </c>
      <c r="M658" t="s">
        <v>121</v>
      </c>
      <c r="N658" t="s">
        <v>122</v>
      </c>
      <c r="O658" s="48">
        <v>44652</v>
      </c>
      <c r="P658">
        <v>116946</v>
      </c>
      <c r="Q658" t="s">
        <v>123</v>
      </c>
    </row>
    <row r="659" spans="12:17" x14ac:dyDescent="0.75">
      <c r="L659" t="s">
        <v>109</v>
      </c>
      <c r="M659" t="s">
        <v>121</v>
      </c>
      <c r="N659" t="s">
        <v>122</v>
      </c>
      <c r="O659" s="48">
        <v>44682</v>
      </c>
      <c r="P659">
        <v>137907</v>
      </c>
      <c r="Q659" t="s">
        <v>123</v>
      </c>
    </row>
    <row r="660" spans="12:17" x14ac:dyDescent="0.75">
      <c r="L660" t="s">
        <v>109</v>
      </c>
      <c r="M660" t="s">
        <v>121</v>
      </c>
      <c r="N660" t="s">
        <v>122</v>
      </c>
      <c r="O660" s="48">
        <v>44713</v>
      </c>
      <c r="P660">
        <v>131096</v>
      </c>
      <c r="Q660" t="s">
        <v>123</v>
      </c>
    </row>
    <row r="661" spans="12:17" x14ac:dyDescent="0.75">
      <c r="L661" t="s">
        <v>109</v>
      </c>
      <c r="M661" t="s">
        <v>121</v>
      </c>
      <c r="N661" t="s">
        <v>122</v>
      </c>
      <c r="O661" s="48">
        <v>44743</v>
      </c>
      <c r="P661">
        <v>151537</v>
      </c>
      <c r="Q661" t="s">
        <v>123</v>
      </c>
    </row>
    <row r="662" spans="12:17" x14ac:dyDescent="0.75">
      <c r="L662" t="s">
        <v>109</v>
      </c>
      <c r="M662" t="s">
        <v>121</v>
      </c>
      <c r="N662" t="s">
        <v>122</v>
      </c>
      <c r="O662" s="48">
        <v>44774</v>
      </c>
      <c r="P662">
        <v>160438</v>
      </c>
      <c r="Q662" t="s">
        <v>123</v>
      </c>
    </row>
    <row r="663" spans="12:17" x14ac:dyDescent="0.75">
      <c r="L663" t="s">
        <v>109</v>
      </c>
      <c r="M663" t="s">
        <v>121</v>
      </c>
      <c r="N663" t="s">
        <v>122</v>
      </c>
      <c r="O663" s="48">
        <v>44805</v>
      </c>
      <c r="P663">
        <v>121737</v>
      </c>
      <c r="Q663" t="s">
        <v>123</v>
      </c>
    </row>
    <row r="664" spans="12:17" x14ac:dyDescent="0.75">
      <c r="L664" t="s">
        <v>109</v>
      </c>
      <c r="M664" t="s">
        <v>121</v>
      </c>
      <c r="N664" t="s">
        <v>122</v>
      </c>
      <c r="O664" s="48">
        <v>44835</v>
      </c>
      <c r="P664">
        <v>168147</v>
      </c>
      <c r="Q664" t="s">
        <v>123</v>
      </c>
    </row>
    <row r="665" spans="12:17" x14ac:dyDescent="0.75">
      <c r="L665" t="s">
        <v>109</v>
      </c>
      <c r="M665" t="s">
        <v>121</v>
      </c>
      <c r="N665" t="s">
        <v>122</v>
      </c>
      <c r="O665" s="48">
        <v>44866</v>
      </c>
      <c r="P665">
        <v>132793</v>
      </c>
      <c r="Q665" t="s">
        <v>123</v>
      </c>
    </row>
    <row r="666" spans="12:17" x14ac:dyDescent="0.75">
      <c r="L666" t="s">
        <v>109</v>
      </c>
      <c r="M666" t="s">
        <v>121</v>
      </c>
      <c r="N666" t="s">
        <v>122</v>
      </c>
      <c r="O666" s="48">
        <v>44896</v>
      </c>
      <c r="P666">
        <v>111448</v>
      </c>
      <c r="Q666" t="s">
        <v>123</v>
      </c>
    </row>
    <row r="667" spans="12:17" x14ac:dyDescent="0.75">
      <c r="L667" t="s">
        <v>109</v>
      </c>
      <c r="M667" t="s">
        <v>121</v>
      </c>
      <c r="N667" t="s">
        <v>122</v>
      </c>
      <c r="O667" s="48">
        <v>44927</v>
      </c>
      <c r="P667">
        <v>97956</v>
      </c>
      <c r="Q667" t="s">
        <v>123</v>
      </c>
    </row>
    <row r="668" spans="12:17" x14ac:dyDescent="0.75">
      <c r="L668" t="s">
        <v>109</v>
      </c>
      <c r="M668" t="s">
        <v>121</v>
      </c>
      <c r="N668" t="s">
        <v>122</v>
      </c>
      <c r="O668" s="48">
        <v>44958</v>
      </c>
      <c r="P668">
        <v>96732</v>
      </c>
      <c r="Q668" t="s">
        <v>123</v>
      </c>
    </row>
    <row r="669" spans="12:17" x14ac:dyDescent="0.75">
      <c r="L669" t="s">
        <v>109</v>
      </c>
      <c r="M669" t="s">
        <v>121</v>
      </c>
      <c r="N669" t="s">
        <v>122</v>
      </c>
      <c r="O669" s="48">
        <v>44986</v>
      </c>
      <c r="P669">
        <v>75239</v>
      </c>
      <c r="Q669" t="s">
        <v>123</v>
      </c>
    </row>
    <row r="670" spans="12:17" x14ac:dyDescent="0.75">
      <c r="L670" t="s">
        <v>109</v>
      </c>
      <c r="M670" t="s">
        <v>121</v>
      </c>
      <c r="N670" t="s">
        <v>122</v>
      </c>
      <c r="O670" s="48">
        <v>45017</v>
      </c>
      <c r="P670">
        <v>88159</v>
      </c>
      <c r="Q670" t="s">
        <v>123</v>
      </c>
    </row>
    <row r="671" spans="12:17" x14ac:dyDescent="0.75">
      <c r="L671" t="s">
        <v>109</v>
      </c>
      <c r="M671" t="s">
        <v>121</v>
      </c>
      <c r="N671" t="s">
        <v>122</v>
      </c>
      <c r="O671" s="48">
        <v>45047</v>
      </c>
      <c r="P671">
        <v>90616</v>
      </c>
      <c r="Q671" t="s">
        <v>123</v>
      </c>
    </row>
    <row r="672" spans="12:17" x14ac:dyDescent="0.75">
      <c r="L672" t="s">
        <v>109</v>
      </c>
      <c r="M672" t="s">
        <v>121</v>
      </c>
      <c r="N672" t="s">
        <v>122</v>
      </c>
      <c r="O672" s="48">
        <v>45078</v>
      </c>
      <c r="P672">
        <v>85290</v>
      </c>
      <c r="Q672" t="s">
        <v>123</v>
      </c>
    </row>
    <row r="673" spans="12:17" x14ac:dyDescent="0.75">
      <c r="L673" t="s">
        <v>109</v>
      </c>
      <c r="M673" t="s">
        <v>121</v>
      </c>
      <c r="N673" t="s">
        <v>122</v>
      </c>
      <c r="O673" s="48">
        <v>45108</v>
      </c>
      <c r="P673">
        <v>107618</v>
      </c>
      <c r="Q673" t="s">
        <v>123</v>
      </c>
    </row>
    <row r="674" spans="12:17" x14ac:dyDescent="0.75">
      <c r="L674" t="s">
        <v>109</v>
      </c>
      <c r="M674" t="s">
        <v>121</v>
      </c>
      <c r="N674" t="s">
        <v>122</v>
      </c>
      <c r="O674" s="48">
        <v>45139</v>
      </c>
      <c r="P674">
        <v>106586</v>
      </c>
      <c r="Q674" t="s">
        <v>123</v>
      </c>
    </row>
    <row r="675" spans="12:17" x14ac:dyDescent="0.75">
      <c r="L675" t="s">
        <v>109</v>
      </c>
      <c r="M675" t="s">
        <v>121</v>
      </c>
      <c r="N675" t="s">
        <v>122</v>
      </c>
      <c r="O675" s="48">
        <v>45170</v>
      </c>
      <c r="P675">
        <v>106586</v>
      </c>
      <c r="Q675" t="s">
        <v>123</v>
      </c>
    </row>
    <row r="676" spans="12:17" x14ac:dyDescent="0.75">
      <c r="L676" t="s">
        <v>109</v>
      </c>
      <c r="M676" t="s">
        <v>121</v>
      </c>
      <c r="N676" t="s">
        <v>122</v>
      </c>
      <c r="O676" s="48">
        <v>45200</v>
      </c>
      <c r="P676">
        <v>113435</v>
      </c>
      <c r="Q676" t="s">
        <v>123</v>
      </c>
    </row>
    <row r="677" spans="12:17" x14ac:dyDescent="0.75">
      <c r="L677" t="s">
        <v>109</v>
      </c>
      <c r="M677" t="s">
        <v>121</v>
      </c>
      <c r="N677" t="s">
        <v>122</v>
      </c>
      <c r="O677" s="48">
        <v>45231</v>
      </c>
      <c r="P677">
        <v>94125</v>
      </c>
      <c r="Q677" t="s">
        <v>123</v>
      </c>
    </row>
    <row r="678" spans="12:17" x14ac:dyDescent="0.75">
      <c r="L678" t="s">
        <v>109</v>
      </c>
      <c r="M678" t="s">
        <v>121</v>
      </c>
      <c r="N678" t="s">
        <v>122</v>
      </c>
      <c r="O678" s="48">
        <v>45261</v>
      </c>
      <c r="P678">
        <v>98382</v>
      </c>
      <c r="Q678" t="s">
        <v>123</v>
      </c>
    </row>
    <row r="679" spans="12:17" x14ac:dyDescent="0.75">
      <c r="L679" t="s">
        <v>109</v>
      </c>
      <c r="M679" t="s">
        <v>121</v>
      </c>
      <c r="N679" t="s">
        <v>122</v>
      </c>
      <c r="O679" s="48">
        <v>45292</v>
      </c>
      <c r="P679">
        <v>103229</v>
      </c>
      <c r="Q679" t="s">
        <v>123</v>
      </c>
    </row>
    <row r="680" spans="12:17" x14ac:dyDescent="0.75">
      <c r="L680" t="s">
        <v>109</v>
      </c>
      <c r="M680" t="s">
        <v>121</v>
      </c>
      <c r="N680" t="s">
        <v>122</v>
      </c>
      <c r="O680" s="48">
        <v>45323</v>
      </c>
      <c r="P680">
        <v>107904</v>
      </c>
      <c r="Q680" t="s">
        <v>123</v>
      </c>
    </row>
    <row r="681" spans="12:17" x14ac:dyDescent="0.75">
      <c r="L681" t="s">
        <v>109</v>
      </c>
      <c r="M681" t="s">
        <v>121</v>
      </c>
      <c r="N681" t="s">
        <v>122</v>
      </c>
      <c r="O681" s="48">
        <v>45352</v>
      </c>
      <c r="P681">
        <v>92167</v>
      </c>
      <c r="Q681" t="s">
        <v>123</v>
      </c>
    </row>
    <row r="682" spans="12:17" x14ac:dyDescent="0.75">
      <c r="L682" t="s">
        <v>109</v>
      </c>
      <c r="M682" t="s">
        <v>121</v>
      </c>
      <c r="N682" t="s">
        <v>122</v>
      </c>
      <c r="O682" s="48">
        <v>45383</v>
      </c>
      <c r="P682">
        <v>99091</v>
      </c>
      <c r="Q682" t="s">
        <v>123</v>
      </c>
    </row>
    <row r="683" spans="12:17" x14ac:dyDescent="0.75">
      <c r="L683" t="s">
        <v>109</v>
      </c>
      <c r="M683" t="s">
        <v>121</v>
      </c>
      <c r="N683" t="s">
        <v>122</v>
      </c>
      <c r="O683" s="48">
        <v>45413</v>
      </c>
      <c r="P683">
        <v>129032</v>
      </c>
      <c r="Q683" t="s">
        <v>123</v>
      </c>
    </row>
    <row r="684" spans="12:17" x14ac:dyDescent="0.75">
      <c r="L684" t="s">
        <v>109</v>
      </c>
      <c r="M684" t="s">
        <v>121</v>
      </c>
      <c r="N684" t="s">
        <v>122</v>
      </c>
      <c r="O684" s="48">
        <v>45444</v>
      </c>
      <c r="P684">
        <v>101232</v>
      </c>
      <c r="Q684" t="s">
        <v>123</v>
      </c>
    </row>
    <row r="685" spans="12:17" x14ac:dyDescent="0.75">
      <c r="L685" t="s">
        <v>109</v>
      </c>
      <c r="M685" t="s">
        <v>121</v>
      </c>
      <c r="N685" t="s">
        <v>122</v>
      </c>
      <c r="O685" s="48">
        <v>45474</v>
      </c>
      <c r="P685">
        <v>126311</v>
      </c>
      <c r="Q685" t="s">
        <v>123</v>
      </c>
    </row>
    <row r="686" spans="12:17" x14ac:dyDescent="0.75">
      <c r="L686" t="s">
        <v>109</v>
      </c>
      <c r="M686" t="s">
        <v>121</v>
      </c>
      <c r="N686" t="s">
        <v>122</v>
      </c>
      <c r="O686" s="48">
        <v>45505</v>
      </c>
      <c r="P686">
        <v>122919</v>
      </c>
      <c r="Q686" t="s">
        <v>123</v>
      </c>
    </row>
    <row r="687" spans="12:17" x14ac:dyDescent="0.75">
      <c r="L687" t="s">
        <v>109</v>
      </c>
      <c r="M687" t="s">
        <v>121</v>
      </c>
      <c r="N687" t="s">
        <v>122</v>
      </c>
      <c r="O687" s="48">
        <v>45536</v>
      </c>
      <c r="P687">
        <v>109634</v>
      </c>
      <c r="Q687" t="s">
        <v>123</v>
      </c>
    </row>
    <row r="688" spans="12:17" x14ac:dyDescent="0.75">
      <c r="L688" t="s">
        <v>109</v>
      </c>
      <c r="M688" t="s">
        <v>121</v>
      </c>
      <c r="N688" t="s">
        <v>122</v>
      </c>
      <c r="O688" s="48">
        <v>45566</v>
      </c>
      <c r="P688">
        <v>151092</v>
      </c>
      <c r="Q688" t="s">
        <v>123</v>
      </c>
    </row>
    <row r="689" spans="12:17" x14ac:dyDescent="0.75">
      <c r="L689" t="s">
        <v>109</v>
      </c>
      <c r="M689" t="s">
        <v>121</v>
      </c>
      <c r="N689" t="s">
        <v>122</v>
      </c>
      <c r="O689" s="48">
        <v>45597</v>
      </c>
      <c r="P689">
        <v>129657</v>
      </c>
      <c r="Q689" t="s">
        <v>123</v>
      </c>
    </row>
    <row r="690" spans="12:17" x14ac:dyDescent="0.75">
      <c r="L690" t="s">
        <v>109</v>
      </c>
      <c r="M690" t="s">
        <v>121</v>
      </c>
      <c r="N690" t="s">
        <v>122</v>
      </c>
      <c r="O690" s="48">
        <v>45627</v>
      </c>
      <c r="P690">
        <v>105273</v>
      </c>
      <c r="Q690" t="s">
        <v>123</v>
      </c>
    </row>
    <row r="691" spans="12:17" x14ac:dyDescent="0.75">
      <c r="L691" t="s">
        <v>109</v>
      </c>
      <c r="M691" t="s">
        <v>121</v>
      </c>
      <c r="N691" t="s">
        <v>122</v>
      </c>
      <c r="O691" s="48">
        <v>45658</v>
      </c>
      <c r="P691">
        <v>112345</v>
      </c>
      <c r="Q691" t="s">
        <v>123</v>
      </c>
    </row>
    <row r="692" spans="12:17" x14ac:dyDescent="0.75">
      <c r="L692" t="s">
        <v>109</v>
      </c>
      <c r="M692" t="s">
        <v>121</v>
      </c>
      <c r="N692" t="s">
        <v>122</v>
      </c>
      <c r="O692" s="48">
        <v>45689</v>
      </c>
      <c r="P692">
        <v>113762</v>
      </c>
      <c r="Q692" t="s">
        <v>123</v>
      </c>
    </row>
    <row r="693" spans="12:17" x14ac:dyDescent="0.75">
      <c r="L693" t="s">
        <v>109</v>
      </c>
      <c r="M693" t="s">
        <v>121</v>
      </c>
      <c r="N693" t="s">
        <v>122</v>
      </c>
      <c r="O693" s="48">
        <v>45717</v>
      </c>
      <c r="P693">
        <v>118901</v>
      </c>
      <c r="Q693" t="s">
        <v>123</v>
      </c>
    </row>
    <row r="694" spans="12:17" x14ac:dyDescent="0.75">
      <c r="L694" t="s">
        <v>109</v>
      </c>
      <c r="M694" t="s">
        <v>121</v>
      </c>
      <c r="N694" t="s">
        <v>122</v>
      </c>
      <c r="O694" s="48">
        <v>45748</v>
      </c>
      <c r="P694">
        <v>132981</v>
      </c>
      <c r="Q694" t="s">
        <v>123</v>
      </c>
    </row>
    <row r="695" spans="12:17" x14ac:dyDescent="0.75">
      <c r="L695" t="s">
        <v>109</v>
      </c>
      <c r="M695" t="s">
        <v>121</v>
      </c>
      <c r="N695" t="s">
        <v>122</v>
      </c>
      <c r="O695" s="48">
        <v>45778</v>
      </c>
      <c r="P695">
        <v>138142</v>
      </c>
      <c r="Q695" t="s">
        <v>123</v>
      </c>
    </row>
    <row r="696" spans="12:17" x14ac:dyDescent="0.75">
      <c r="L696" t="s">
        <v>102</v>
      </c>
      <c r="M696" t="s">
        <v>110</v>
      </c>
      <c r="N696" t="s">
        <v>111</v>
      </c>
      <c r="O696" s="48">
        <v>45809</v>
      </c>
      <c r="P696">
        <v>36625</v>
      </c>
      <c r="Q696" t="s">
        <v>123</v>
      </c>
    </row>
    <row r="697" spans="12:17" x14ac:dyDescent="0.75">
      <c r="L697" t="s">
        <v>103</v>
      </c>
      <c r="M697" t="s">
        <v>112</v>
      </c>
      <c r="N697" t="s">
        <v>113</v>
      </c>
      <c r="O697" s="48">
        <v>45809</v>
      </c>
      <c r="P697">
        <v>254997</v>
      </c>
      <c r="Q697" t="s">
        <v>123</v>
      </c>
    </row>
    <row r="698" spans="12:17" x14ac:dyDescent="0.75">
      <c r="L698" t="s">
        <v>104</v>
      </c>
      <c r="M698" t="s">
        <v>114</v>
      </c>
      <c r="N698" t="s">
        <v>113</v>
      </c>
      <c r="O698" s="48">
        <v>45809</v>
      </c>
      <c r="P698">
        <v>295597.75</v>
      </c>
      <c r="Q698" t="s">
        <v>123</v>
      </c>
    </row>
    <row r="699" spans="12:17" x14ac:dyDescent="0.75">
      <c r="L699" t="s">
        <v>105</v>
      </c>
      <c r="M699" t="s">
        <v>115</v>
      </c>
      <c r="N699" t="s">
        <v>116</v>
      </c>
      <c r="O699" s="48">
        <v>45809</v>
      </c>
      <c r="P699">
        <v>51847</v>
      </c>
      <c r="Q699" t="s">
        <v>123</v>
      </c>
    </row>
    <row r="700" spans="12:17" x14ac:dyDescent="0.75">
      <c r="L700" t="s">
        <v>106</v>
      </c>
      <c r="M700" t="s">
        <v>117</v>
      </c>
      <c r="N700" t="s">
        <v>113</v>
      </c>
      <c r="O700" s="48">
        <v>45809</v>
      </c>
      <c r="P700">
        <v>28133</v>
      </c>
      <c r="Q700" t="s">
        <v>123</v>
      </c>
    </row>
    <row r="701" spans="12:17" x14ac:dyDescent="0.75">
      <c r="L701" t="s">
        <v>108</v>
      </c>
      <c r="M701" t="s">
        <v>119</v>
      </c>
      <c r="N701" t="s">
        <v>120</v>
      </c>
      <c r="O701" s="48">
        <v>45809</v>
      </c>
      <c r="P701">
        <v>46191</v>
      </c>
      <c r="Q701" t="s">
        <v>123</v>
      </c>
    </row>
    <row r="702" spans="12:17" x14ac:dyDescent="0.75">
      <c r="L702" t="s">
        <v>107</v>
      </c>
      <c r="M702" t="s">
        <v>118</v>
      </c>
      <c r="N702" t="s">
        <v>118</v>
      </c>
      <c r="O702" s="48">
        <v>45809</v>
      </c>
      <c r="P702">
        <v>218791</v>
      </c>
      <c r="Q702" t="s">
        <v>123</v>
      </c>
    </row>
    <row r="703" spans="12:17" x14ac:dyDescent="0.75">
      <c r="L703" t="s">
        <v>109</v>
      </c>
      <c r="M703" t="s">
        <v>121</v>
      </c>
      <c r="N703" t="s">
        <v>122</v>
      </c>
      <c r="O703" s="48">
        <v>45809</v>
      </c>
      <c r="P703">
        <v>98135</v>
      </c>
      <c r="Q703" t="s">
        <v>123</v>
      </c>
    </row>
    <row r="704" spans="12:17" x14ac:dyDescent="0.75">
      <c r="L704" t="s">
        <v>88</v>
      </c>
      <c r="M704" t="s">
        <v>89</v>
      </c>
      <c r="N704" t="s">
        <v>90</v>
      </c>
      <c r="O704" s="48">
        <v>45809</v>
      </c>
      <c r="P704">
        <v>52054</v>
      </c>
      <c r="Q704" t="s">
        <v>123</v>
      </c>
    </row>
    <row r="705" spans="12:17" x14ac:dyDescent="0.75">
      <c r="L705" t="s">
        <v>107</v>
      </c>
      <c r="M705" t="s">
        <v>118</v>
      </c>
      <c r="N705" t="s">
        <v>118</v>
      </c>
      <c r="O705" s="48">
        <v>45839</v>
      </c>
      <c r="P705">
        <v>250910</v>
      </c>
      <c r="Q705" t="s">
        <v>123</v>
      </c>
    </row>
    <row r="706" spans="12:17" x14ac:dyDescent="0.75">
      <c r="L706" t="s">
        <v>88</v>
      </c>
      <c r="M706" t="s">
        <v>89</v>
      </c>
      <c r="N706" t="s">
        <v>90</v>
      </c>
      <c r="O706" s="48">
        <v>45839</v>
      </c>
      <c r="P706">
        <v>56422</v>
      </c>
      <c r="Q706" t="s">
        <v>123</v>
      </c>
    </row>
    <row r="707" spans="12:17" x14ac:dyDescent="0.75">
      <c r="L707" t="s">
        <v>109</v>
      </c>
      <c r="M707" t="s">
        <v>121</v>
      </c>
      <c r="N707" t="s">
        <v>122</v>
      </c>
      <c r="O707" s="48">
        <v>45839</v>
      </c>
      <c r="P707">
        <v>126691</v>
      </c>
      <c r="Q707" t="s">
        <v>123</v>
      </c>
    </row>
    <row r="708" spans="12:17" x14ac:dyDescent="0.75">
      <c r="L708" t="s">
        <v>102</v>
      </c>
      <c r="M708" t="s">
        <v>110</v>
      </c>
      <c r="N708" t="s">
        <v>111</v>
      </c>
      <c r="O708" s="48">
        <v>45839</v>
      </c>
      <c r="P708">
        <v>48759</v>
      </c>
      <c r="Q708" t="s">
        <v>123</v>
      </c>
    </row>
    <row r="709" spans="12:17" x14ac:dyDescent="0.75">
      <c r="L709" t="s">
        <v>103</v>
      </c>
      <c r="M709" t="s">
        <v>112</v>
      </c>
      <c r="N709" t="s">
        <v>113</v>
      </c>
      <c r="O709" s="48">
        <v>45839</v>
      </c>
      <c r="P709">
        <v>371350</v>
      </c>
      <c r="Q709" t="s">
        <v>123</v>
      </c>
    </row>
    <row r="710" spans="12:17" x14ac:dyDescent="0.75">
      <c r="L710" t="s">
        <v>104</v>
      </c>
      <c r="M710" t="s">
        <v>114</v>
      </c>
      <c r="N710" t="s">
        <v>113</v>
      </c>
      <c r="O710" s="48">
        <v>45839</v>
      </c>
      <c r="P710">
        <v>354099.5</v>
      </c>
      <c r="Q710" t="s">
        <v>123</v>
      </c>
    </row>
    <row r="711" spans="12:17" x14ac:dyDescent="0.75">
      <c r="L711" t="s">
        <v>106</v>
      </c>
      <c r="M711" t="s">
        <v>117</v>
      </c>
      <c r="N711" t="s">
        <v>113</v>
      </c>
      <c r="O711" s="48">
        <v>45839</v>
      </c>
      <c r="P711">
        <v>33367</v>
      </c>
      <c r="Q711" t="s">
        <v>123</v>
      </c>
    </row>
    <row r="712" spans="12:17" x14ac:dyDescent="0.75">
      <c r="L712" t="s">
        <v>105</v>
      </c>
      <c r="M712" t="s">
        <v>115</v>
      </c>
      <c r="N712" t="s">
        <v>116</v>
      </c>
      <c r="O712" s="48">
        <v>45839</v>
      </c>
      <c r="P712">
        <v>33913</v>
      </c>
      <c r="Q712" t="s">
        <v>123</v>
      </c>
    </row>
    <row r="713" spans="12:17" x14ac:dyDescent="0.75">
      <c r="L713" t="s">
        <v>108</v>
      </c>
      <c r="M713" t="s">
        <v>119</v>
      </c>
      <c r="N713" t="s">
        <v>120</v>
      </c>
      <c r="O713" s="48">
        <v>45839</v>
      </c>
      <c r="P713">
        <v>47612</v>
      </c>
      <c r="Q713" t="s">
        <v>123</v>
      </c>
    </row>
  </sheetData>
  <phoneticPr fontId="1" type="noConversion"/>
  <conditionalFormatting sqref="B4:B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J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A550-BDA3-4505-B656-DEFB5C241A4D}">
  <sheetPr>
    <tabColor rgb="FF00B050"/>
  </sheetPr>
  <dimension ref="A1:G20"/>
  <sheetViews>
    <sheetView workbookViewId="0">
      <selection activeCell="F20" sqref="F20"/>
    </sheetView>
  </sheetViews>
  <sheetFormatPr defaultRowHeight="14.75" x14ac:dyDescent="0.75"/>
  <cols>
    <col min="1" max="1" width="16.40625" customWidth="1"/>
    <col min="2" max="3" width="11.86328125" customWidth="1"/>
    <col min="4" max="5" width="9.86328125" customWidth="1"/>
    <col min="6" max="6" width="12.54296875" customWidth="1"/>
    <col min="7" max="7" width="9.26953125" customWidth="1"/>
  </cols>
  <sheetData>
    <row r="1" spans="1:7" ht="49" x14ac:dyDescent="0.75">
      <c r="A1" s="24" t="str">
        <f>ToC!A10</f>
        <v>Figure 10. Top Five Commodities for East Coast Ports by Traffic Direction, 2023</v>
      </c>
      <c r="D1" t="s">
        <v>127</v>
      </c>
      <c r="E1" t="s">
        <v>14</v>
      </c>
      <c r="F1" s="79" t="s">
        <v>74</v>
      </c>
      <c r="G1" s="79"/>
    </row>
    <row r="2" spans="1:7" ht="59" x14ac:dyDescent="0.75">
      <c r="F2" t="s">
        <v>128</v>
      </c>
      <c r="G2" s="9" t="s">
        <v>129</v>
      </c>
    </row>
    <row r="3" spans="1:7" x14ac:dyDescent="0.75">
      <c r="A3" s="8"/>
      <c r="B3" s="11"/>
      <c r="C3" s="11"/>
      <c r="D3" s="80" t="s">
        <v>130</v>
      </c>
      <c r="E3" s="15">
        <v>1</v>
      </c>
      <c r="F3" s="9" t="s">
        <v>131</v>
      </c>
      <c r="G3" s="74">
        <v>36144007</v>
      </c>
    </row>
    <row r="4" spans="1:7" ht="29.5" x14ac:dyDescent="0.75">
      <c r="A4" s="8"/>
      <c r="B4" s="11"/>
      <c r="C4" s="11"/>
      <c r="D4" s="80"/>
      <c r="E4" s="15">
        <v>2</v>
      </c>
      <c r="F4" s="9" t="s">
        <v>132</v>
      </c>
      <c r="G4" s="74">
        <v>16295833</v>
      </c>
    </row>
    <row r="5" spans="1:7" ht="29.5" x14ac:dyDescent="0.75">
      <c r="A5" s="8"/>
      <c r="B5" s="11"/>
      <c r="C5" s="11"/>
      <c r="D5" s="80"/>
      <c r="E5" s="15">
        <v>3</v>
      </c>
      <c r="F5" s="9" t="s">
        <v>133</v>
      </c>
      <c r="G5" s="74">
        <v>15597388</v>
      </c>
    </row>
    <row r="6" spans="1:7" x14ac:dyDescent="0.75">
      <c r="A6" s="8"/>
      <c r="B6" s="11"/>
      <c r="C6" s="11"/>
      <c r="D6" s="80"/>
      <c r="E6" s="15">
        <v>4</v>
      </c>
      <c r="F6" s="9" t="s">
        <v>134</v>
      </c>
      <c r="G6" s="74">
        <v>9468247</v>
      </c>
    </row>
    <row r="7" spans="1:7" x14ac:dyDescent="0.75">
      <c r="A7" s="8"/>
      <c r="B7" s="11"/>
      <c r="C7" s="11"/>
      <c r="D7" s="80"/>
      <c r="E7" s="15">
        <v>5</v>
      </c>
      <c r="F7" s="9" t="s">
        <v>135</v>
      </c>
      <c r="G7" s="74">
        <v>7628774</v>
      </c>
    </row>
    <row r="8" spans="1:7" x14ac:dyDescent="0.75">
      <c r="A8" s="8"/>
      <c r="B8" s="11"/>
      <c r="C8" s="11"/>
      <c r="D8" s="11"/>
      <c r="E8" s="11"/>
      <c r="F8" s="9"/>
      <c r="G8" s="12"/>
    </row>
    <row r="9" spans="1:7" x14ac:dyDescent="0.75">
      <c r="A9" s="8"/>
      <c r="B9" s="11"/>
      <c r="C9" s="11"/>
      <c r="D9" s="81" t="s">
        <v>136</v>
      </c>
      <c r="E9" s="13">
        <v>1</v>
      </c>
      <c r="F9" s="9" t="s">
        <v>137</v>
      </c>
      <c r="G9" s="74">
        <v>61742344</v>
      </c>
    </row>
    <row r="10" spans="1:7" ht="29.5" x14ac:dyDescent="0.75">
      <c r="A10" s="8"/>
      <c r="B10" s="11"/>
      <c r="C10" s="11"/>
      <c r="D10" s="81"/>
      <c r="E10" s="13">
        <v>2</v>
      </c>
      <c r="F10" s="9" t="s">
        <v>138</v>
      </c>
      <c r="G10" s="74">
        <v>10116186</v>
      </c>
    </row>
    <row r="11" spans="1:7" ht="73.75" x14ac:dyDescent="0.75">
      <c r="A11" s="8"/>
      <c r="B11" s="11"/>
      <c r="C11" s="11"/>
      <c r="D11" s="81"/>
      <c r="E11" s="13">
        <v>3</v>
      </c>
      <c r="F11" s="9" t="s">
        <v>139</v>
      </c>
      <c r="G11" s="74">
        <v>9254680</v>
      </c>
    </row>
    <row r="12" spans="1:7" ht="29.5" x14ac:dyDescent="0.75">
      <c r="A12" s="8"/>
      <c r="B12" s="11"/>
      <c r="C12" s="11"/>
      <c r="D12" s="81"/>
      <c r="E12" s="13">
        <v>4</v>
      </c>
      <c r="F12" s="9" t="s">
        <v>140</v>
      </c>
      <c r="G12" s="74">
        <v>6126845</v>
      </c>
    </row>
    <row r="13" spans="1:7" x14ac:dyDescent="0.75">
      <c r="A13" s="8"/>
      <c r="B13" s="11"/>
      <c r="C13" s="11"/>
      <c r="D13" s="81"/>
      <c r="E13" s="13">
        <v>5</v>
      </c>
      <c r="F13" s="9" t="s">
        <v>141</v>
      </c>
      <c r="G13" s="74">
        <v>5335412</v>
      </c>
    </row>
    <row r="14" spans="1:7" x14ac:dyDescent="0.75">
      <c r="A14" s="8"/>
      <c r="B14" s="11"/>
      <c r="C14" s="11"/>
      <c r="D14" s="11"/>
      <c r="E14" s="11"/>
      <c r="F14" s="9"/>
      <c r="G14" s="12"/>
    </row>
    <row r="15" spans="1:7" ht="29.5" x14ac:dyDescent="0.75">
      <c r="A15" s="8"/>
      <c r="B15" s="9" t="s">
        <v>142</v>
      </c>
      <c r="C15" s="11"/>
      <c r="D15" s="81" t="s">
        <v>143</v>
      </c>
      <c r="E15" s="13">
        <v>1</v>
      </c>
      <c r="F15" s="9" t="s">
        <v>131</v>
      </c>
      <c r="G15" s="74">
        <v>22780214</v>
      </c>
    </row>
    <row r="16" spans="1:7" ht="29.5" x14ac:dyDescent="0.75">
      <c r="A16" s="8"/>
      <c r="B16" s="11"/>
      <c r="C16" s="11"/>
      <c r="D16" s="81"/>
      <c r="E16" s="13">
        <v>2</v>
      </c>
      <c r="F16" s="9" t="s">
        <v>144</v>
      </c>
      <c r="G16" s="74">
        <v>21070080</v>
      </c>
    </row>
    <row r="17" spans="1:7" ht="44.25" x14ac:dyDescent="0.75">
      <c r="A17" s="8"/>
      <c r="B17" s="11"/>
      <c r="C17" s="11"/>
      <c r="D17" s="81"/>
      <c r="E17" s="13">
        <v>3</v>
      </c>
      <c r="F17" s="9" t="s">
        <v>145</v>
      </c>
      <c r="G17" s="74">
        <v>14474502</v>
      </c>
    </row>
    <row r="18" spans="1:7" ht="29.5" x14ac:dyDescent="0.75">
      <c r="A18" s="8"/>
      <c r="B18" s="11"/>
      <c r="C18" s="11"/>
      <c r="D18" s="81"/>
      <c r="E18" s="13">
        <v>4</v>
      </c>
      <c r="F18" s="9" t="s">
        <v>132</v>
      </c>
      <c r="G18" s="74">
        <v>13306041</v>
      </c>
    </row>
    <row r="19" spans="1:7" ht="29.5" x14ac:dyDescent="0.75">
      <c r="A19" s="8"/>
      <c r="B19" s="11"/>
      <c r="C19" s="11"/>
      <c r="D19" s="81"/>
      <c r="E19" s="13">
        <v>5</v>
      </c>
      <c r="F19" s="9" t="s">
        <v>146</v>
      </c>
      <c r="G19" s="74">
        <v>8373594</v>
      </c>
    </row>
    <row r="20" spans="1:7" x14ac:dyDescent="0.75">
      <c r="G20" s="12"/>
    </row>
  </sheetData>
  <mergeCells count="4">
    <mergeCell ref="F1:G1"/>
    <mergeCell ref="D3:D7"/>
    <mergeCell ref="D9:D13"/>
    <mergeCell ref="D15:D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3AAE-4323-4C55-97EE-995120B4284C}">
  <sheetPr>
    <tabColor rgb="FF00B050"/>
  </sheetPr>
  <dimension ref="A1:H20"/>
  <sheetViews>
    <sheetView workbookViewId="0">
      <selection activeCell="G19" sqref="G19"/>
    </sheetView>
  </sheetViews>
  <sheetFormatPr defaultRowHeight="14.75" x14ac:dyDescent="0.75"/>
  <cols>
    <col min="2" max="2" width="10.26953125" bestFit="1" customWidth="1"/>
    <col min="3" max="4" width="11.86328125" customWidth="1"/>
    <col min="5" max="6" width="9.86328125" customWidth="1"/>
    <col min="7" max="7" width="12.54296875" customWidth="1"/>
    <col min="8" max="8" width="9.26953125" customWidth="1"/>
  </cols>
  <sheetData>
    <row r="1" spans="1:8" ht="98" x14ac:dyDescent="0.75">
      <c r="A1" s="24" t="str">
        <f>ToC!A11</f>
        <v>Figure 11. Top Five Commodities for Great Lake Ports by Traffic Direction, 2023</v>
      </c>
      <c r="E1" t="s">
        <v>127</v>
      </c>
      <c r="F1" t="s">
        <v>14</v>
      </c>
      <c r="G1" s="79" t="s">
        <v>75</v>
      </c>
      <c r="H1" s="79"/>
    </row>
    <row r="2" spans="1:8" ht="59" x14ac:dyDescent="0.75">
      <c r="G2" t="s">
        <v>128</v>
      </c>
      <c r="H2" s="9" t="s">
        <v>129</v>
      </c>
    </row>
    <row r="3" spans="1:8" x14ac:dyDescent="0.75">
      <c r="B3" s="8"/>
      <c r="C3" s="11"/>
      <c r="D3" s="11"/>
      <c r="E3" s="80" t="s">
        <v>130</v>
      </c>
      <c r="F3" s="15">
        <v>1</v>
      </c>
      <c r="G3" s="14" t="s">
        <v>147</v>
      </c>
      <c r="H3" s="74">
        <v>75396851</v>
      </c>
    </row>
    <row r="4" spans="1:8" x14ac:dyDescent="0.75">
      <c r="B4" s="8"/>
      <c r="C4" s="11"/>
      <c r="D4" s="11"/>
      <c r="E4" s="80"/>
      <c r="F4" s="15">
        <v>2</v>
      </c>
      <c r="G4" s="14" t="s">
        <v>148</v>
      </c>
      <c r="H4" s="74">
        <v>35860882</v>
      </c>
    </row>
    <row r="5" spans="1:8" x14ac:dyDescent="0.75">
      <c r="B5" s="8"/>
      <c r="C5" s="11"/>
      <c r="D5" s="11"/>
      <c r="E5" s="80"/>
      <c r="F5" s="15">
        <v>3</v>
      </c>
      <c r="G5" s="14" t="s">
        <v>137</v>
      </c>
      <c r="H5" s="74">
        <v>10786011</v>
      </c>
    </row>
    <row r="6" spans="1:8" ht="29.5" x14ac:dyDescent="0.75">
      <c r="B6" s="8"/>
      <c r="C6" s="11"/>
      <c r="D6" s="11"/>
      <c r="E6" s="80"/>
      <c r="F6" s="15">
        <v>4</v>
      </c>
      <c r="G6" s="14" t="s">
        <v>149</v>
      </c>
      <c r="H6" s="74">
        <v>5546627</v>
      </c>
    </row>
    <row r="7" spans="1:8" ht="29.5" x14ac:dyDescent="0.75">
      <c r="B7" s="8"/>
      <c r="C7" s="11"/>
      <c r="D7" s="11"/>
      <c r="E7" s="80"/>
      <c r="F7" s="15">
        <v>5</v>
      </c>
      <c r="G7" s="14" t="s">
        <v>150</v>
      </c>
      <c r="H7" s="74">
        <v>3161876</v>
      </c>
    </row>
    <row r="8" spans="1:8" x14ac:dyDescent="0.75">
      <c r="B8" s="8"/>
      <c r="C8" s="11"/>
      <c r="D8" s="11"/>
      <c r="E8" s="11"/>
      <c r="F8" s="11"/>
      <c r="G8" s="14"/>
      <c r="H8" s="12"/>
    </row>
    <row r="9" spans="1:8" x14ac:dyDescent="0.75">
      <c r="B9" s="8"/>
      <c r="C9" s="11"/>
      <c r="D9" s="11"/>
      <c r="E9" s="81" t="s">
        <v>136</v>
      </c>
      <c r="F9" s="13">
        <v>1</v>
      </c>
      <c r="G9" s="14" t="s">
        <v>147</v>
      </c>
      <c r="H9" s="74">
        <v>9476480</v>
      </c>
    </row>
    <row r="10" spans="1:8" x14ac:dyDescent="0.75">
      <c r="B10" s="8"/>
      <c r="C10" s="11"/>
      <c r="D10" s="11"/>
      <c r="E10" s="81"/>
      <c r="F10" s="13">
        <v>2</v>
      </c>
      <c r="G10" s="14" t="s">
        <v>137</v>
      </c>
      <c r="H10" s="74">
        <v>3223713</v>
      </c>
    </row>
    <row r="11" spans="1:8" x14ac:dyDescent="0.75">
      <c r="B11" s="8"/>
      <c r="C11" s="11"/>
      <c r="D11" s="11"/>
      <c r="E11" s="81"/>
      <c r="F11" s="13">
        <v>3</v>
      </c>
      <c r="G11" s="14" t="s">
        <v>148</v>
      </c>
      <c r="H11" s="74">
        <v>1919967</v>
      </c>
    </row>
    <row r="12" spans="1:8" ht="29.5" x14ac:dyDescent="0.75">
      <c r="B12" s="8"/>
      <c r="C12" s="11"/>
      <c r="D12" s="11"/>
      <c r="E12" s="81"/>
      <c r="F12" s="13">
        <v>4</v>
      </c>
      <c r="G12" s="14" t="s">
        <v>151</v>
      </c>
      <c r="H12" s="74">
        <v>838758</v>
      </c>
    </row>
    <row r="13" spans="1:8" x14ac:dyDescent="0.75">
      <c r="B13" s="8"/>
      <c r="C13" s="11"/>
      <c r="D13" s="11"/>
      <c r="E13" s="81"/>
      <c r="F13" s="13">
        <v>5</v>
      </c>
      <c r="G13" s="14" t="s">
        <v>152</v>
      </c>
      <c r="H13" s="74">
        <v>469643</v>
      </c>
    </row>
    <row r="14" spans="1:8" x14ac:dyDescent="0.75">
      <c r="B14" s="8"/>
      <c r="D14" s="11"/>
      <c r="E14" s="11"/>
      <c r="F14" s="11"/>
      <c r="G14" s="14"/>
      <c r="H14" s="12"/>
    </row>
    <row r="15" spans="1:8" x14ac:dyDescent="0.75">
      <c r="B15" s="8"/>
      <c r="C15" s="11"/>
      <c r="D15" s="11"/>
      <c r="E15" s="81" t="s">
        <v>143</v>
      </c>
      <c r="F15" s="13">
        <v>1</v>
      </c>
      <c r="G15" s="14" t="s">
        <v>152</v>
      </c>
      <c r="H15" s="74">
        <v>3029734</v>
      </c>
    </row>
    <row r="16" spans="1:8" x14ac:dyDescent="0.75">
      <c r="B16" s="8"/>
      <c r="C16" s="11"/>
      <c r="D16" s="11"/>
      <c r="E16" s="81"/>
      <c r="F16" s="13">
        <v>2</v>
      </c>
      <c r="G16" s="14" t="s">
        <v>135</v>
      </c>
      <c r="H16" s="74">
        <v>2293379</v>
      </c>
    </row>
    <row r="17" spans="2:8" ht="29.5" x14ac:dyDescent="0.75">
      <c r="B17" s="8"/>
      <c r="C17" s="11"/>
      <c r="D17" s="11"/>
      <c r="E17" s="81"/>
      <c r="F17" s="13">
        <v>3</v>
      </c>
      <c r="G17" s="14" t="s">
        <v>149</v>
      </c>
      <c r="H17" s="74">
        <v>1997117</v>
      </c>
    </row>
    <row r="18" spans="2:8" ht="29.5" x14ac:dyDescent="0.75">
      <c r="B18" s="8"/>
      <c r="C18" s="11"/>
      <c r="D18" s="11"/>
      <c r="E18" s="81"/>
      <c r="F18" s="13">
        <v>4</v>
      </c>
      <c r="G18" s="14" t="s">
        <v>153</v>
      </c>
      <c r="H18" s="74">
        <v>1114385</v>
      </c>
    </row>
    <row r="19" spans="2:8" x14ac:dyDescent="0.75">
      <c r="B19" s="8"/>
      <c r="C19" s="11"/>
      <c r="D19" s="11"/>
      <c r="E19" s="81"/>
      <c r="F19" s="13">
        <v>5</v>
      </c>
      <c r="G19" s="14" t="s">
        <v>148</v>
      </c>
      <c r="H19" s="74">
        <v>974598</v>
      </c>
    </row>
    <row r="20" spans="2:8" x14ac:dyDescent="0.75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3C9C-19E9-4BB4-9C3C-15D175F5946F}">
  <dimension ref="A1:H20"/>
  <sheetViews>
    <sheetView workbookViewId="0">
      <selection activeCell="G20" sqref="G20"/>
    </sheetView>
  </sheetViews>
  <sheetFormatPr defaultRowHeight="14.75" x14ac:dyDescent="0.75"/>
  <cols>
    <col min="2" max="2" width="10.26953125" bestFit="1" customWidth="1"/>
    <col min="3" max="4" width="11.86328125" customWidth="1"/>
    <col min="5" max="6" width="9.86328125" customWidth="1"/>
    <col min="7" max="7" width="12.54296875" customWidth="1"/>
    <col min="8" max="8" width="9.26953125" customWidth="1"/>
  </cols>
  <sheetData>
    <row r="1" spans="1:8" ht="98" x14ac:dyDescent="0.75">
      <c r="A1" s="24" t="str">
        <f>ToC!A12</f>
        <v>Figure 12. Top Five Commodities for Gulf Coast Ports by Traffic Direction, 2023</v>
      </c>
      <c r="E1" t="s">
        <v>127</v>
      </c>
      <c r="F1" t="s">
        <v>14</v>
      </c>
      <c r="G1" s="79" t="s">
        <v>76</v>
      </c>
      <c r="H1" s="79"/>
    </row>
    <row r="2" spans="1:8" ht="59" x14ac:dyDescent="0.75">
      <c r="G2" t="s">
        <v>128</v>
      </c>
      <c r="H2" s="9" t="s">
        <v>129</v>
      </c>
    </row>
    <row r="3" spans="1:8" ht="29.5" x14ac:dyDescent="0.75">
      <c r="B3" s="8"/>
      <c r="D3" s="11"/>
      <c r="E3" s="80" t="s">
        <v>130</v>
      </c>
      <c r="F3" s="15">
        <v>1</v>
      </c>
      <c r="G3" s="9" t="s">
        <v>132</v>
      </c>
      <c r="H3" s="74">
        <v>71324031</v>
      </c>
    </row>
    <row r="4" spans="1:8" x14ac:dyDescent="0.75">
      <c r="B4" s="8"/>
      <c r="C4" s="11"/>
      <c r="D4" s="11"/>
      <c r="E4" s="80"/>
      <c r="F4" s="15">
        <v>2</v>
      </c>
      <c r="G4" s="9" t="s">
        <v>131</v>
      </c>
      <c r="H4" s="74">
        <v>50842783</v>
      </c>
    </row>
    <row r="5" spans="1:8" ht="29.5" x14ac:dyDescent="0.75">
      <c r="B5" s="8"/>
      <c r="C5" s="11"/>
      <c r="D5" s="11"/>
      <c r="E5" s="80"/>
      <c r="F5" s="15">
        <v>3</v>
      </c>
      <c r="G5" s="9" t="s">
        <v>133</v>
      </c>
      <c r="H5" s="74">
        <v>40105276</v>
      </c>
    </row>
    <row r="6" spans="1:8" ht="29.5" x14ac:dyDescent="0.75">
      <c r="B6" s="8"/>
      <c r="C6" s="11"/>
      <c r="D6" s="11"/>
      <c r="E6" s="80"/>
      <c r="F6" s="15">
        <v>4</v>
      </c>
      <c r="G6" s="9" t="s">
        <v>144</v>
      </c>
      <c r="H6" s="74">
        <v>37683301</v>
      </c>
    </row>
    <row r="7" spans="1:8" x14ac:dyDescent="0.75">
      <c r="B7" s="8"/>
      <c r="C7" s="11"/>
      <c r="D7" s="11"/>
      <c r="E7" s="80"/>
      <c r="F7" s="15">
        <v>5</v>
      </c>
      <c r="G7" s="9" t="s">
        <v>154</v>
      </c>
      <c r="H7" s="74">
        <v>25599829</v>
      </c>
    </row>
    <row r="8" spans="1:8" x14ac:dyDescent="0.75">
      <c r="B8" s="8"/>
      <c r="C8" s="11"/>
      <c r="D8" s="11"/>
      <c r="E8" s="11"/>
      <c r="F8" s="11"/>
      <c r="G8" s="9"/>
      <c r="H8" s="12"/>
    </row>
    <row r="9" spans="1:8" ht="29.5" x14ac:dyDescent="0.75">
      <c r="B9" s="8"/>
      <c r="C9" s="11"/>
      <c r="D9" s="11"/>
      <c r="E9" s="81" t="s">
        <v>136</v>
      </c>
      <c r="F9" s="13">
        <v>1</v>
      </c>
      <c r="G9" s="9" t="s">
        <v>144</v>
      </c>
      <c r="H9" s="74">
        <v>187761777</v>
      </c>
    </row>
    <row r="10" spans="1:8" ht="73.75" x14ac:dyDescent="0.75">
      <c r="B10" s="8"/>
      <c r="C10" s="11"/>
      <c r="D10" s="11"/>
      <c r="E10" s="81"/>
      <c r="F10" s="13">
        <v>2</v>
      </c>
      <c r="G10" s="9" t="s">
        <v>139</v>
      </c>
      <c r="H10" s="74">
        <v>116811126</v>
      </c>
    </row>
    <row r="11" spans="1:8" ht="29.5" x14ac:dyDescent="0.75">
      <c r="B11" s="8"/>
      <c r="C11" s="11"/>
      <c r="D11" s="11"/>
      <c r="E11" s="81"/>
      <c r="F11" s="13">
        <v>3</v>
      </c>
      <c r="G11" s="9" t="s">
        <v>132</v>
      </c>
      <c r="H11" s="74">
        <v>59473848</v>
      </c>
    </row>
    <row r="12" spans="1:8" ht="29.5" x14ac:dyDescent="0.75">
      <c r="B12" s="8"/>
      <c r="C12" s="11"/>
      <c r="D12" s="11"/>
      <c r="E12" s="81"/>
      <c r="F12" s="13">
        <v>4</v>
      </c>
      <c r="G12" s="9" t="s">
        <v>151</v>
      </c>
      <c r="H12" s="74">
        <v>31252281</v>
      </c>
    </row>
    <row r="13" spans="1:8" x14ac:dyDescent="0.75">
      <c r="B13" s="8"/>
      <c r="C13" s="11"/>
      <c r="D13" s="11"/>
      <c r="E13" s="81"/>
      <c r="F13" s="13">
        <v>5</v>
      </c>
      <c r="G13" s="9" t="s">
        <v>131</v>
      </c>
      <c r="H13" s="74">
        <v>30330994</v>
      </c>
    </row>
    <row r="14" spans="1:8" x14ac:dyDescent="0.75">
      <c r="B14" s="8"/>
      <c r="C14" s="11"/>
      <c r="D14" s="11"/>
      <c r="E14" s="11"/>
      <c r="F14" s="11"/>
      <c r="G14" s="9"/>
      <c r="H14" s="12"/>
    </row>
    <row r="15" spans="1:8" ht="29.5" x14ac:dyDescent="0.75">
      <c r="B15" s="8"/>
      <c r="C15" s="11"/>
      <c r="D15" s="11"/>
      <c r="E15" s="81" t="s">
        <v>143</v>
      </c>
      <c r="F15" s="13">
        <v>1</v>
      </c>
      <c r="G15" s="9" t="s">
        <v>144</v>
      </c>
      <c r="H15" s="74">
        <v>68649487</v>
      </c>
    </row>
    <row r="16" spans="1:8" ht="29.5" x14ac:dyDescent="0.75">
      <c r="B16" s="8"/>
      <c r="C16" s="11"/>
      <c r="D16" s="11"/>
      <c r="E16" s="81"/>
      <c r="F16" s="13">
        <v>2</v>
      </c>
      <c r="G16" s="9" t="s">
        <v>132</v>
      </c>
      <c r="H16" s="74">
        <v>29790422</v>
      </c>
    </row>
    <row r="17" spans="2:8" ht="29.5" x14ac:dyDescent="0.75">
      <c r="B17" s="8"/>
      <c r="C17" s="11"/>
      <c r="D17" s="11"/>
      <c r="E17" s="81"/>
      <c r="F17" s="13">
        <v>3</v>
      </c>
      <c r="G17" s="9" t="s">
        <v>149</v>
      </c>
      <c r="H17" s="74">
        <v>9978207</v>
      </c>
    </row>
    <row r="18" spans="2:8" ht="29.5" x14ac:dyDescent="0.75">
      <c r="B18" s="8"/>
      <c r="C18" s="11"/>
      <c r="D18" s="11"/>
      <c r="E18" s="81"/>
      <c r="F18" s="13">
        <v>4</v>
      </c>
      <c r="G18" s="9" t="s">
        <v>155</v>
      </c>
      <c r="H18" s="74">
        <v>8875125</v>
      </c>
    </row>
    <row r="19" spans="2:8" x14ac:dyDescent="0.75">
      <c r="B19" s="8"/>
      <c r="C19" s="11"/>
      <c r="D19" s="11"/>
      <c r="E19" s="81"/>
      <c r="F19" s="13">
        <v>5</v>
      </c>
      <c r="G19" s="9" t="s">
        <v>147</v>
      </c>
      <c r="H19" s="74">
        <v>6164622</v>
      </c>
    </row>
    <row r="20" spans="2:8" x14ac:dyDescent="0.75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A15-D8A1-4580-952A-F8B329F82B18}">
  <sheetPr>
    <tabColor rgb="FF00B050"/>
  </sheetPr>
  <dimension ref="A1:H20"/>
  <sheetViews>
    <sheetView workbookViewId="0">
      <selection activeCell="G3" sqref="G3"/>
    </sheetView>
  </sheetViews>
  <sheetFormatPr defaultRowHeight="14.75" x14ac:dyDescent="0.75"/>
  <cols>
    <col min="2" max="2" width="10.26953125" bestFit="1" customWidth="1"/>
    <col min="3" max="4" width="11.86328125" customWidth="1"/>
    <col min="5" max="6" width="9.86328125" customWidth="1"/>
    <col min="7" max="7" width="12.54296875" customWidth="1"/>
    <col min="8" max="8" width="9.26953125" customWidth="1"/>
  </cols>
  <sheetData>
    <row r="1" spans="1:8" ht="98" x14ac:dyDescent="0.75">
      <c r="A1" s="24" t="str">
        <f>ToC!A13</f>
        <v>Figure 13. Top Five Commodities for West Coast Ports by Traffic Direction, 2023</v>
      </c>
      <c r="E1" t="s">
        <v>127</v>
      </c>
      <c r="F1" t="s">
        <v>14</v>
      </c>
      <c r="G1" s="79" t="s">
        <v>79</v>
      </c>
      <c r="H1" s="79"/>
    </row>
    <row r="2" spans="1:8" ht="59" x14ac:dyDescent="0.75">
      <c r="G2" t="s">
        <v>128</v>
      </c>
      <c r="H2" s="9" t="s">
        <v>129</v>
      </c>
    </row>
    <row r="3" spans="1:8" ht="29.5" x14ac:dyDescent="0.75">
      <c r="B3" s="8"/>
      <c r="C3" s="14" t="s">
        <v>156</v>
      </c>
      <c r="D3" s="11"/>
      <c r="E3" s="80" t="s">
        <v>130</v>
      </c>
      <c r="F3" s="15">
        <v>1</v>
      </c>
      <c r="G3" s="14" t="s">
        <v>144</v>
      </c>
      <c r="H3" s="74">
        <v>16749704</v>
      </c>
    </row>
    <row r="4" spans="1:8" ht="29.5" x14ac:dyDescent="0.75">
      <c r="B4" s="8"/>
      <c r="C4" s="11"/>
      <c r="D4" s="11"/>
      <c r="E4" s="80"/>
      <c r="F4" s="15">
        <v>2</v>
      </c>
      <c r="G4" s="14" t="s">
        <v>132</v>
      </c>
      <c r="H4" s="74">
        <v>6046431</v>
      </c>
    </row>
    <row r="5" spans="1:8" x14ac:dyDescent="0.75">
      <c r="B5" s="8"/>
      <c r="C5" s="11"/>
      <c r="D5" s="11"/>
      <c r="E5" s="80"/>
      <c r="F5" s="15">
        <v>3</v>
      </c>
      <c r="G5" s="14" t="s">
        <v>135</v>
      </c>
      <c r="H5" s="74">
        <v>5719074</v>
      </c>
    </row>
    <row r="6" spans="1:8" x14ac:dyDescent="0.75">
      <c r="B6" s="8"/>
      <c r="C6" s="11"/>
      <c r="D6" s="11"/>
      <c r="E6" s="80"/>
      <c r="F6" s="15">
        <v>4</v>
      </c>
      <c r="G6" s="14" t="s">
        <v>131</v>
      </c>
      <c r="H6" s="74">
        <v>5681489</v>
      </c>
    </row>
    <row r="7" spans="1:8" ht="29.5" x14ac:dyDescent="0.75">
      <c r="B7" s="8"/>
      <c r="C7" s="11"/>
      <c r="D7" s="11"/>
      <c r="E7" s="80"/>
      <c r="F7" s="15">
        <v>5</v>
      </c>
      <c r="G7" s="14" t="s">
        <v>133</v>
      </c>
      <c r="H7" s="74">
        <v>4019873</v>
      </c>
    </row>
    <row r="8" spans="1:8" x14ac:dyDescent="0.75">
      <c r="B8" s="8"/>
      <c r="C8" s="11"/>
      <c r="D8" s="11"/>
      <c r="E8" s="11"/>
      <c r="F8" s="11"/>
      <c r="G8" s="14"/>
      <c r="H8" s="12"/>
    </row>
    <row r="9" spans="1:8" x14ac:dyDescent="0.75">
      <c r="B9" s="8"/>
      <c r="C9" s="11"/>
      <c r="D9" s="11"/>
      <c r="E9" s="81" t="s">
        <v>136</v>
      </c>
      <c r="F9" s="13">
        <v>1</v>
      </c>
      <c r="G9" s="14" t="s">
        <v>154</v>
      </c>
      <c r="H9" s="74">
        <v>13807973</v>
      </c>
    </row>
    <row r="10" spans="1:8" x14ac:dyDescent="0.75">
      <c r="B10" s="8"/>
      <c r="C10" s="11"/>
      <c r="D10" s="11"/>
      <c r="E10" s="81"/>
      <c r="F10" s="13">
        <v>2</v>
      </c>
      <c r="G10" s="14" t="s">
        <v>157</v>
      </c>
      <c r="H10" s="74">
        <v>10292149</v>
      </c>
    </row>
    <row r="11" spans="1:8" ht="29.5" x14ac:dyDescent="0.75">
      <c r="B11" s="8"/>
      <c r="C11" s="11"/>
      <c r="D11" s="11"/>
      <c r="E11" s="81"/>
      <c r="F11" s="13">
        <v>3</v>
      </c>
      <c r="G11" s="14" t="s">
        <v>151</v>
      </c>
      <c r="H11" s="74">
        <v>6990626</v>
      </c>
    </row>
    <row r="12" spans="1:8" ht="29.5" x14ac:dyDescent="0.75">
      <c r="B12" s="8"/>
      <c r="C12" s="11"/>
      <c r="D12" s="11"/>
      <c r="E12" s="81"/>
      <c r="F12" s="13">
        <v>4</v>
      </c>
      <c r="G12" s="14" t="s">
        <v>158</v>
      </c>
      <c r="H12" s="74">
        <v>6490787</v>
      </c>
    </row>
    <row r="13" spans="1:8" x14ac:dyDescent="0.75">
      <c r="B13" s="8"/>
      <c r="C13" s="11"/>
      <c r="D13" s="11"/>
      <c r="E13" s="81"/>
      <c r="F13" s="13">
        <v>5</v>
      </c>
      <c r="G13" s="14" t="s">
        <v>159</v>
      </c>
      <c r="H13" s="74">
        <v>6478045</v>
      </c>
    </row>
    <row r="14" spans="1:8" x14ac:dyDescent="0.75">
      <c r="B14" s="8"/>
      <c r="C14" s="11"/>
      <c r="D14" s="11"/>
      <c r="E14" s="11"/>
      <c r="F14" s="11"/>
      <c r="G14" s="14"/>
      <c r="H14" s="12"/>
    </row>
    <row r="15" spans="1:8" ht="29.5" x14ac:dyDescent="0.75">
      <c r="B15" s="8"/>
      <c r="C15" s="11"/>
      <c r="D15" s="11"/>
      <c r="E15" s="81" t="s">
        <v>143</v>
      </c>
      <c r="F15" s="13">
        <v>1</v>
      </c>
      <c r="G15" s="14" t="s">
        <v>144</v>
      </c>
      <c r="H15" s="74">
        <v>35774075</v>
      </c>
    </row>
    <row r="16" spans="1:8" ht="29.5" x14ac:dyDescent="0.75">
      <c r="B16" s="8"/>
      <c r="C16" s="11"/>
      <c r="D16" s="11"/>
      <c r="E16" s="81"/>
      <c r="F16" s="13">
        <v>2</v>
      </c>
      <c r="G16" s="14" t="s">
        <v>160</v>
      </c>
      <c r="H16" s="74">
        <v>16954959</v>
      </c>
    </row>
    <row r="17" spans="2:8" ht="29.5" x14ac:dyDescent="0.75">
      <c r="B17" s="8"/>
      <c r="C17" s="11"/>
      <c r="D17" s="11"/>
      <c r="E17" s="81"/>
      <c r="F17" s="13">
        <v>3</v>
      </c>
      <c r="G17" s="14" t="s">
        <v>161</v>
      </c>
      <c r="H17" s="74">
        <v>7900326</v>
      </c>
    </row>
    <row r="18" spans="2:8" ht="44.25" x14ac:dyDescent="0.75">
      <c r="B18" s="8"/>
      <c r="C18" s="11"/>
      <c r="D18" s="11"/>
      <c r="E18" s="81"/>
      <c r="F18" s="13">
        <v>4</v>
      </c>
      <c r="G18" s="14" t="s">
        <v>162</v>
      </c>
      <c r="H18" s="74">
        <v>6830334</v>
      </c>
    </row>
    <row r="19" spans="2:8" ht="29.5" x14ac:dyDescent="0.75">
      <c r="B19" s="8"/>
      <c r="C19" s="11"/>
      <c r="D19" s="11"/>
      <c r="E19" s="81"/>
      <c r="F19" s="13">
        <v>5</v>
      </c>
      <c r="G19" s="14" t="s">
        <v>163</v>
      </c>
      <c r="H19" s="74">
        <v>6137472</v>
      </c>
    </row>
    <row r="20" spans="2:8" x14ac:dyDescent="0.75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DA2E-DCA7-445B-A3A1-C4081E2B89DA}">
  <sheetPr>
    <tabColor rgb="FF00B050"/>
  </sheetPr>
  <dimension ref="A1:H20"/>
  <sheetViews>
    <sheetView workbookViewId="0">
      <selection activeCell="J18" sqref="J18"/>
    </sheetView>
  </sheetViews>
  <sheetFormatPr defaultRowHeight="14.75" x14ac:dyDescent="0.75"/>
  <cols>
    <col min="2" max="2" width="10.26953125" bestFit="1" customWidth="1"/>
    <col min="3" max="4" width="11.86328125" customWidth="1"/>
    <col min="5" max="6" width="9.86328125" customWidth="1"/>
    <col min="7" max="7" width="12.54296875" customWidth="1"/>
    <col min="8" max="8" width="9.26953125" customWidth="1"/>
  </cols>
  <sheetData>
    <row r="1" spans="1:8" ht="110.25" x14ac:dyDescent="0.75">
      <c r="A1" s="24" t="str">
        <f>ToC!A14</f>
        <v>Figure 14. Top Five Commodities for Inland Ports by Traffic Direction, 2023</v>
      </c>
      <c r="E1" t="s">
        <v>127</v>
      </c>
      <c r="F1" t="s">
        <v>14</v>
      </c>
      <c r="G1" s="79" t="s">
        <v>77</v>
      </c>
      <c r="H1" s="79"/>
    </row>
    <row r="2" spans="1:8" ht="59" x14ac:dyDescent="0.75">
      <c r="G2" t="s">
        <v>128</v>
      </c>
      <c r="H2" s="9" t="s">
        <v>129</v>
      </c>
    </row>
    <row r="3" spans="1:8" x14ac:dyDescent="0.75">
      <c r="B3" s="8"/>
      <c r="C3" s="11"/>
      <c r="D3" s="11"/>
      <c r="E3" s="80" t="s">
        <v>130</v>
      </c>
      <c r="F3" s="15">
        <v>1</v>
      </c>
      <c r="G3" s="14" t="s">
        <v>137</v>
      </c>
      <c r="H3" s="74">
        <v>38261741</v>
      </c>
    </row>
    <row r="4" spans="1:8" x14ac:dyDescent="0.75">
      <c r="B4" s="8"/>
      <c r="C4" s="11"/>
      <c r="D4" s="11"/>
      <c r="E4" s="80"/>
      <c r="F4" s="15">
        <v>2</v>
      </c>
      <c r="G4" s="14" t="s">
        <v>135</v>
      </c>
      <c r="H4" s="74">
        <v>35788026</v>
      </c>
    </row>
    <row r="5" spans="1:8" x14ac:dyDescent="0.75">
      <c r="B5" s="8"/>
      <c r="C5" s="11"/>
      <c r="D5" s="11"/>
      <c r="E5" s="80"/>
      <c r="F5" s="15">
        <v>3</v>
      </c>
      <c r="G5" s="14" t="s">
        <v>159</v>
      </c>
      <c r="H5" s="74">
        <v>19710559</v>
      </c>
    </row>
    <row r="6" spans="1:8" x14ac:dyDescent="0.75">
      <c r="B6" s="8"/>
      <c r="C6" s="11"/>
      <c r="D6" s="11"/>
      <c r="E6" s="80"/>
      <c r="F6" s="15">
        <v>4</v>
      </c>
      <c r="G6" s="14" t="s">
        <v>154</v>
      </c>
      <c r="H6" s="74">
        <v>19540909</v>
      </c>
    </row>
    <row r="7" spans="1:8" x14ac:dyDescent="0.75">
      <c r="B7" s="8"/>
      <c r="C7" s="11"/>
      <c r="D7" s="11"/>
      <c r="E7" s="80"/>
      <c r="F7" s="15">
        <v>5</v>
      </c>
      <c r="G7" s="14" t="s">
        <v>148</v>
      </c>
      <c r="H7" s="74">
        <v>11706116</v>
      </c>
    </row>
    <row r="8" spans="1:8" x14ac:dyDescent="0.75">
      <c r="B8" s="8"/>
      <c r="C8" s="11"/>
      <c r="D8" s="11"/>
      <c r="E8" s="11"/>
      <c r="F8" s="11"/>
      <c r="G8" s="14"/>
      <c r="H8" s="12"/>
    </row>
    <row r="9" spans="1:8" x14ac:dyDescent="0.75">
      <c r="B9" s="8"/>
      <c r="C9" s="11"/>
      <c r="D9" s="11"/>
      <c r="E9" s="81" t="s">
        <v>143</v>
      </c>
      <c r="F9" s="13">
        <v>1</v>
      </c>
      <c r="G9" s="9" t="s">
        <v>164</v>
      </c>
      <c r="H9" s="74">
        <v>396722</v>
      </c>
    </row>
    <row r="10" spans="1:8" ht="29.5" x14ac:dyDescent="0.75">
      <c r="B10" s="8"/>
      <c r="C10" s="11"/>
      <c r="D10" s="11"/>
      <c r="E10" s="81"/>
      <c r="F10" s="13">
        <v>2</v>
      </c>
      <c r="G10" s="9" t="s">
        <v>165</v>
      </c>
      <c r="H10" s="74">
        <v>13216</v>
      </c>
    </row>
    <row r="11" spans="1:8" x14ac:dyDescent="0.75">
      <c r="B11" s="8"/>
      <c r="C11" s="11"/>
      <c r="D11" s="11"/>
      <c r="E11" s="81"/>
      <c r="F11" s="13">
        <v>3</v>
      </c>
      <c r="G11" s="9"/>
      <c r="H11" s="12"/>
    </row>
    <row r="12" spans="1:8" x14ac:dyDescent="0.75">
      <c r="B12" s="8"/>
      <c r="C12" s="11"/>
      <c r="D12" s="11"/>
      <c r="E12" s="81"/>
      <c r="F12" s="13">
        <v>4</v>
      </c>
      <c r="G12" s="9"/>
      <c r="H12" s="12"/>
    </row>
    <row r="13" spans="1:8" x14ac:dyDescent="0.75">
      <c r="B13" s="8"/>
      <c r="C13" s="11"/>
      <c r="D13" s="11"/>
      <c r="E13" s="81"/>
      <c r="F13" s="13">
        <v>5</v>
      </c>
      <c r="G13" s="9"/>
      <c r="H13" s="12"/>
    </row>
    <row r="14" spans="1:8" x14ac:dyDescent="0.75">
      <c r="B14" s="8"/>
      <c r="C14" s="11"/>
      <c r="D14" s="11"/>
      <c r="E14" s="11"/>
      <c r="F14" s="11"/>
      <c r="G14" s="9"/>
      <c r="H14" s="12"/>
    </row>
    <row r="15" spans="1:8" x14ac:dyDescent="0.75">
      <c r="B15" s="8"/>
      <c r="C15" s="11"/>
      <c r="D15" s="11"/>
      <c r="E15" s="81"/>
      <c r="F15" s="13"/>
      <c r="G15" s="9"/>
      <c r="H15" s="74"/>
    </row>
    <row r="16" spans="1:8" x14ac:dyDescent="0.75">
      <c r="B16" s="8"/>
      <c r="C16" s="11"/>
      <c r="D16" s="11"/>
      <c r="E16" s="81"/>
      <c r="F16" s="13"/>
      <c r="G16" s="9"/>
      <c r="H16" s="74"/>
    </row>
    <row r="17" spans="2:8" x14ac:dyDescent="0.75">
      <c r="B17" s="8"/>
      <c r="C17" s="11"/>
      <c r="D17" s="11"/>
      <c r="E17" s="81"/>
      <c r="F17" s="13"/>
      <c r="G17" s="9"/>
      <c r="H17" s="12"/>
    </row>
    <row r="18" spans="2:8" x14ac:dyDescent="0.75">
      <c r="B18" s="8"/>
      <c r="C18" s="11"/>
      <c r="D18" s="11"/>
      <c r="E18" s="81"/>
      <c r="F18" s="13"/>
      <c r="G18" s="9"/>
      <c r="H18" s="12"/>
    </row>
    <row r="19" spans="2:8" x14ac:dyDescent="0.75">
      <c r="B19" s="8"/>
      <c r="C19" s="11"/>
      <c r="D19" s="11"/>
      <c r="E19" s="81"/>
      <c r="F19" s="13"/>
      <c r="G19" s="9"/>
      <c r="H19" s="12"/>
    </row>
    <row r="20" spans="2:8" x14ac:dyDescent="0.75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33A-5763-4904-8EF0-66A947A9DB61}">
  <sheetPr>
    <tabColor rgb="FF00B050"/>
  </sheetPr>
  <dimension ref="A1:H20"/>
  <sheetViews>
    <sheetView workbookViewId="0">
      <selection activeCell="F1" sqref="F1"/>
    </sheetView>
  </sheetViews>
  <sheetFormatPr defaultRowHeight="14.75" x14ac:dyDescent="0.75"/>
  <cols>
    <col min="2" max="2" width="10.26953125" bestFit="1" customWidth="1"/>
    <col min="3" max="4" width="11.86328125" customWidth="1"/>
    <col min="5" max="6" width="9.86328125" customWidth="1"/>
    <col min="7" max="7" width="12.54296875" customWidth="1"/>
    <col min="8" max="8" width="9.26953125" customWidth="1"/>
  </cols>
  <sheetData>
    <row r="1" spans="1:8" ht="147" x14ac:dyDescent="0.75">
      <c r="A1" s="24" t="str">
        <f>ToC!A15</f>
        <v>Figure 15. Top Five Commodities for Ports Outside the Continental United States (Oconus) by Traffic Direction, 2023</v>
      </c>
      <c r="E1" t="s">
        <v>127</v>
      </c>
      <c r="F1" t="s">
        <v>14</v>
      </c>
      <c r="G1" s="79" t="s">
        <v>78</v>
      </c>
      <c r="H1" s="79"/>
    </row>
    <row r="2" spans="1:8" ht="59" x14ac:dyDescent="0.75">
      <c r="G2" t="s">
        <v>128</v>
      </c>
      <c r="H2" s="9" t="s">
        <v>129</v>
      </c>
    </row>
    <row r="3" spans="1:8" ht="29.5" x14ac:dyDescent="0.75">
      <c r="B3" s="8"/>
      <c r="C3" s="11"/>
      <c r="D3" s="11"/>
      <c r="E3" s="80" t="s">
        <v>130</v>
      </c>
      <c r="F3" s="15">
        <v>1</v>
      </c>
      <c r="G3" s="14" t="s">
        <v>142</v>
      </c>
      <c r="H3" s="74">
        <v>26969655</v>
      </c>
    </row>
    <row r="4" spans="1:8" ht="29.5" x14ac:dyDescent="0.75">
      <c r="B4" s="8"/>
      <c r="C4" s="11"/>
      <c r="D4" s="11"/>
      <c r="E4" s="80"/>
      <c r="F4" s="15">
        <v>2</v>
      </c>
      <c r="G4" s="14" t="s">
        <v>166</v>
      </c>
      <c r="H4" s="74">
        <v>10692800</v>
      </c>
    </row>
    <row r="5" spans="1:8" ht="29.5" x14ac:dyDescent="0.75">
      <c r="B5" s="8"/>
      <c r="C5" s="11"/>
      <c r="D5" s="11"/>
      <c r="E5" s="80"/>
      <c r="F5" s="15">
        <v>3</v>
      </c>
      <c r="G5" s="14" t="s">
        <v>167</v>
      </c>
      <c r="H5" s="74">
        <v>9036149</v>
      </c>
    </row>
    <row r="6" spans="1:8" x14ac:dyDescent="0.75">
      <c r="B6" s="8"/>
      <c r="C6" s="11"/>
      <c r="D6" s="11"/>
      <c r="E6" s="80"/>
      <c r="F6" s="15">
        <v>4</v>
      </c>
      <c r="G6" s="14" t="s">
        <v>134</v>
      </c>
      <c r="H6" s="74">
        <v>2674984</v>
      </c>
    </row>
    <row r="7" spans="1:8" ht="29.5" x14ac:dyDescent="0.75">
      <c r="B7" s="8"/>
      <c r="C7" s="11"/>
      <c r="D7" s="11"/>
      <c r="E7" s="80"/>
      <c r="F7" s="15">
        <v>5</v>
      </c>
      <c r="G7" s="14" t="s">
        <v>168</v>
      </c>
      <c r="H7" s="74">
        <v>2234157</v>
      </c>
    </row>
    <row r="8" spans="1:8" x14ac:dyDescent="0.75">
      <c r="B8" s="8"/>
      <c r="C8" s="11"/>
      <c r="D8" s="11"/>
      <c r="E8" s="11"/>
      <c r="F8" s="11"/>
      <c r="G8" s="14"/>
      <c r="H8" s="12"/>
    </row>
    <row r="9" spans="1:8" ht="29.5" x14ac:dyDescent="0.75">
      <c r="B9" s="8"/>
      <c r="C9" s="11"/>
      <c r="D9" s="11"/>
      <c r="E9" s="81" t="s">
        <v>136</v>
      </c>
      <c r="F9" s="13">
        <v>1</v>
      </c>
      <c r="G9" s="14" t="s">
        <v>132</v>
      </c>
      <c r="H9" s="74">
        <v>4175897</v>
      </c>
    </row>
    <row r="10" spans="1:8" ht="29.5" x14ac:dyDescent="0.75">
      <c r="B10" s="8"/>
      <c r="C10" s="11"/>
      <c r="D10" s="11"/>
      <c r="E10" s="81"/>
      <c r="F10" s="13">
        <v>2</v>
      </c>
      <c r="G10" s="14" t="s">
        <v>144</v>
      </c>
      <c r="H10" s="74">
        <v>806644</v>
      </c>
    </row>
    <row r="11" spans="1:8" ht="29.5" x14ac:dyDescent="0.75">
      <c r="B11" s="8"/>
      <c r="C11" s="11"/>
      <c r="D11" s="11"/>
      <c r="E11" s="81"/>
      <c r="F11" s="13">
        <v>3</v>
      </c>
      <c r="G11" s="14" t="s">
        <v>169</v>
      </c>
      <c r="H11" s="74">
        <v>558229</v>
      </c>
    </row>
    <row r="12" spans="1:8" ht="29.5" x14ac:dyDescent="0.75">
      <c r="B12" s="8"/>
      <c r="C12" s="11"/>
      <c r="D12" s="11"/>
      <c r="E12" s="81"/>
      <c r="F12" s="13">
        <v>4</v>
      </c>
      <c r="G12" s="14" t="s">
        <v>140</v>
      </c>
      <c r="H12" s="74">
        <v>317729</v>
      </c>
    </row>
    <row r="13" spans="1:8" ht="29.5" x14ac:dyDescent="0.75">
      <c r="B13" s="8"/>
      <c r="C13" s="11"/>
      <c r="D13" s="11"/>
      <c r="E13" s="81"/>
      <c r="F13" s="13">
        <v>5</v>
      </c>
      <c r="G13" s="14" t="s">
        <v>138</v>
      </c>
      <c r="H13" s="74">
        <v>135151</v>
      </c>
    </row>
    <row r="14" spans="1:8" x14ac:dyDescent="0.75">
      <c r="B14" s="8"/>
      <c r="C14" s="11"/>
      <c r="D14" s="11"/>
      <c r="E14" s="11"/>
      <c r="F14" s="11"/>
      <c r="G14" s="14"/>
      <c r="H14" s="12"/>
    </row>
    <row r="15" spans="1:8" x14ac:dyDescent="0.75">
      <c r="B15" s="8"/>
      <c r="C15" s="11"/>
      <c r="D15" s="11"/>
      <c r="E15" s="81" t="s">
        <v>143</v>
      </c>
      <c r="F15" s="13">
        <v>1</v>
      </c>
      <c r="G15" s="14" t="s">
        <v>134</v>
      </c>
      <c r="H15" s="74">
        <v>3558515</v>
      </c>
    </row>
    <row r="16" spans="1:8" x14ac:dyDescent="0.75">
      <c r="B16" s="8"/>
      <c r="C16" s="11"/>
      <c r="D16" s="11"/>
      <c r="E16" s="81"/>
      <c r="F16" s="13">
        <v>2</v>
      </c>
      <c r="G16" s="14" t="s">
        <v>131</v>
      </c>
      <c r="H16" s="74">
        <v>3537465</v>
      </c>
    </row>
    <row r="17" spans="2:8" ht="29.5" x14ac:dyDescent="0.75">
      <c r="B17" s="8"/>
      <c r="C17" s="11"/>
      <c r="D17" s="11"/>
      <c r="E17" s="81"/>
      <c r="F17" s="13">
        <v>3</v>
      </c>
      <c r="G17" s="14" t="s">
        <v>144</v>
      </c>
      <c r="H17" s="74">
        <v>3170150</v>
      </c>
    </row>
    <row r="18" spans="2:8" ht="29.5" x14ac:dyDescent="0.75">
      <c r="B18" s="8"/>
      <c r="C18" s="11"/>
      <c r="D18" s="11"/>
      <c r="E18" s="81"/>
      <c r="F18" s="13">
        <v>4</v>
      </c>
      <c r="G18" s="14" t="s">
        <v>132</v>
      </c>
      <c r="H18" s="74">
        <v>2968106</v>
      </c>
    </row>
    <row r="19" spans="2:8" x14ac:dyDescent="0.75">
      <c r="B19" s="8"/>
      <c r="C19" s="11"/>
      <c r="D19" s="11"/>
      <c r="E19" s="81"/>
      <c r="F19" s="13">
        <v>5</v>
      </c>
      <c r="G19" s="14" t="s">
        <v>137</v>
      </c>
      <c r="H19" s="74">
        <v>1259381</v>
      </c>
    </row>
    <row r="20" spans="2:8" x14ac:dyDescent="0.75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1b55db953b00189e2871027b34c7431b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eb4a90880ad6d02a3c23c61cbad1c2c0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7BFB2-A1CC-4A81-835D-2702B8E3B168}">
  <ds:schemaRefs>
    <ds:schemaRef ds:uri="http://schemas.microsoft.com/office/2006/metadata/properties"/>
    <ds:schemaRef ds:uri="http://schemas.microsoft.com/office/infopath/2007/PartnerControls"/>
    <ds:schemaRef ds:uri="3e47b61d-772c-48ed-b878-4f8e7da8bd06"/>
    <ds:schemaRef ds:uri="ce64293c-1e68-4891-91bb-3c1068e772f8"/>
  </ds:schemaRefs>
</ds:datastoreItem>
</file>

<file path=customXml/itemProps2.xml><?xml version="1.0" encoding="utf-8"?>
<ds:datastoreItem xmlns:ds="http://schemas.openxmlformats.org/officeDocument/2006/customXml" ds:itemID="{B8C2585C-1705-4CAD-A67F-AFDDECB37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48EEE2-DEB2-4CEE-A69C-A13BFA2F935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ToC</vt:lpstr>
      <vt:lpstr>T 2</vt:lpstr>
      <vt:lpstr>T 3</vt:lpstr>
      <vt:lpstr>T 4</vt:lpstr>
      <vt:lpstr>T 5</vt:lpstr>
      <vt:lpstr>F 2</vt:lpstr>
      <vt:lpstr>F 4</vt:lpstr>
      <vt:lpstr>F 6</vt:lpstr>
      <vt:lpstr>F 8</vt:lpstr>
      <vt:lpstr>F 9</vt:lpstr>
      <vt:lpstr>F 10</vt:lpstr>
      <vt:lpstr>F 11</vt:lpstr>
      <vt:lpstr>F 12</vt:lpstr>
      <vt:lpstr>F 13</vt:lpstr>
      <vt:lpstr>F 14</vt:lpstr>
      <vt:lpstr>F 15</vt:lpstr>
      <vt:lpstr>'T 5'!_Ref150850931</vt:lpstr>
      <vt:lpstr>'F 2'!_Ref185261844</vt:lpstr>
      <vt:lpstr>'F 4'!_Ref185261844</vt:lpstr>
      <vt:lpstr>'F 6'!_Ref185261844</vt:lpstr>
      <vt:lpstr>'F 8'!_Toc185522622</vt:lpstr>
      <vt:lpstr>'F 9'!_Toc185522624</vt:lpstr>
      <vt:lpstr>'F 10'!_Toc185522625</vt:lpstr>
      <vt:lpstr>'F 11'!_Toc185522626</vt:lpstr>
      <vt:lpstr>'F 12'!_Toc185522627</vt:lpstr>
      <vt:lpstr>'F 15'!_Toc185522630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Murak, Andrew</dc:creator>
  <cp:keywords/>
  <dc:description/>
  <cp:lastModifiedBy>Joey Comeaux</cp:lastModifiedBy>
  <cp:revision/>
  <dcterms:created xsi:type="dcterms:W3CDTF">2023-09-12T12:39:33Z</dcterms:created>
  <dcterms:modified xsi:type="dcterms:W3CDTF">2026-01-16T05:30:17Z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