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dot-my.sharepoint.com/personal/patricia_dijoseph_ad_dot_gov/Documents/Projects/PPFSP Annual Report to Congress/2026 Port Report/Figures and Tables/"/>
    </mc:Choice>
  </mc:AlternateContent>
  <xr:revisionPtr revIDLastSave="0" documentId="8_{D4998214-986F-48E6-BF53-70D18BB75F78}" xr6:coauthVersionLast="47" xr6:coauthVersionMax="47" xr10:uidLastSave="{00000000-0000-0000-0000-000000000000}"/>
  <bookViews>
    <workbookView xWindow="-96" yWindow="-96" windowWidth="23232" windowHeight="13872" xr2:uid="{664982A4-AEC4-41E4-A14A-AB59FBA3C467}"/>
  </bookViews>
  <sheets>
    <sheet name="F 2-16" sheetId="1" r:id="rId1"/>
  </sheets>
  <externalReferences>
    <externalReference r:id="rId2"/>
  </externalReferences>
  <definedNames>
    <definedName name="_Toc185522631" localSheetId="0">'F 2-16'!$A$1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6" i="1" l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<sst xmlns="http://schemas.openxmlformats.org/spreadsheetml/2006/main" count="52" uniqueCount="52">
  <si>
    <t>Entrance Records by Vessel Type and Port, 2023</t>
  </si>
  <si>
    <t>Port</t>
  </si>
  <si>
    <t>Container</t>
  </si>
  <si>
    <t>Liquified gas carrier</t>
  </si>
  <si>
    <t>Other dry bulk</t>
  </si>
  <si>
    <t>Ro-Ro</t>
  </si>
  <si>
    <t>Tanker</t>
  </si>
  <si>
    <t>Total</t>
  </si>
  <si>
    <t>Port of Alaska, AK</t>
  </si>
  <si>
    <t>Port of Pascagoula, MS</t>
  </si>
  <si>
    <t>Plaquemines Port District, LA</t>
  </si>
  <si>
    <t>South Louisiana, LA, Port of</t>
  </si>
  <si>
    <t>Corpus Christi, TX</t>
  </si>
  <si>
    <t>Port of Portland, OR</t>
  </si>
  <si>
    <t>South Jersey Port Corp, NJ</t>
  </si>
  <si>
    <t>Honolulu, O'ahu, HI</t>
  </si>
  <si>
    <t>Port Freeport, TX</t>
  </si>
  <si>
    <t>Wilmington, DE</t>
  </si>
  <si>
    <t>Tampa Port Authority, FL</t>
  </si>
  <si>
    <t>Oxnard Harbor District, CA</t>
  </si>
  <si>
    <t>Boston, MA</t>
  </si>
  <si>
    <t>Tacoma, WA</t>
  </si>
  <si>
    <t>San Juan, PR</t>
  </si>
  <si>
    <t>Seattle, WA</t>
  </si>
  <si>
    <t>Mobile, AL</t>
  </si>
  <si>
    <t>Wilmington, NC</t>
  </si>
  <si>
    <t>Jacksonville, FL</t>
  </si>
  <si>
    <t>New Orleans, LA</t>
  </si>
  <si>
    <t>Baltimore, MD</t>
  </si>
  <si>
    <t>Port of Long Beach, CA</t>
  </si>
  <si>
    <t>Philadelphia Regional Port, PA</t>
  </si>
  <si>
    <t>Port of Oakland, CA</t>
  </si>
  <si>
    <t>PortMiami, FL</t>
  </si>
  <si>
    <t>Port of Los Angeles, CA</t>
  </si>
  <si>
    <t>Houston Port Authority, TX</t>
  </si>
  <si>
    <t>Port of Charleston, SC</t>
  </si>
  <si>
    <t>Port Everglades, FL</t>
  </si>
  <si>
    <t>Port of Savannah, GA</t>
  </si>
  <si>
    <t>Virginia, VA, Port of</t>
  </si>
  <si>
    <t>New York, NY &amp; NJ</t>
  </si>
  <si>
    <t>Northern Indiana District, IN</t>
  </si>
  <si>
    <t>Two Harbors, MN</t>
  </si>
  <si>
    <t>Cleveland-Cuyahoga Port, OH</t>
  </si>
  <si>
    <t>Toledo-Lucas County Port, OH</t>
  </si>
  <si>
    <t>Port of Kalama, WA</t>
  </si>
  <si>
    <t>Detroit-Wayne County Port, MI</t>
  </si>
  <si>
    <t>Duluth-Superior, MN and WI</t>
  </si>
  <si>
    <t>Texas City, TX</t>
  </si>
  <si>
    <t>Port of Greater Baton Rouge, LA</t>
  </si>
  <si>
    <t>Port Arthur, TX</t>
  </si>
  <si>
    <t>Lake Charles Harbor District, LA</t>
  </si>
  <si>
    <t>Beaumont, 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</si>
</sst>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rgb="FF44546A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2" fillId="2" borderId="1" xfId="0" applyFont="1" applyFill="1" applyBorder="1"/>
    <xf numFmtId="0" fontId="0" fillId="2" borderId="1" xfId="0" applyFill="1" applyBorder="1"/>
    <xf numFmtId="0" fontId="2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488195521694452"/>
          <c:y val="2.8763806936174821E-2"/>
          <c:w val="0.73621117809151659"/>
          <c:h val="0.91520310545159922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'F 2-16'!$B$2</c:f>
              <c:strCache>
                <c:ptCount val="1"/>
                <c:pt idx="0">
                  <c:v>Container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 2-16'!$A$3:$A$46</c:f>
              <c:strCache>
                <c:ptCount val="44"/>
                <c:pt idx="0">
                  <c:v>Port of Alaska, AK</c:v>
                </c:pt>
                <c:pt idx="1">
                  <c:v>Port of Pascagoula, MS</c:v>
                </c:pt>
                <c:pt idx="2">
                  <c:v>Plaquemines Port District, LA</c:v>
                </c:pt>
                <c:pt idx="3">
                  <c:v>South Louisiana, LA, Port of</c:v>
                </c:pt>
                <c:pt idx="4">
                  <c:v>Corpus Christi, TX</c:v>
                </c:pt>
                <c:pt idx="5">
                  <c:v>Port of Portland, OR</c:v>
                </c:pt>
                <c:pt idx="6">
                  <c:v>South Jersey Port Corp, NJ</c:v>
                </c:pt>
                <c:pt idx="7">
                  <c:v>Honolulu, O'ahu, HI</c:v>
                </c:pt>
                <c:pt idx="8">
                  <c:v>Port Freeport, TX</c:v>
                </c:pt>
                <c:pt idx="9">
                  <c:v>Wilmington, DE</c:v>
                </c:pt>
                <c:pt idx="10">
                  <c:v>Tampa Port Authority, FL</c:v>
                </c:pt>
                <c:pt idx="11">
                  <c:v>Oxnard Harbor District, CA</c:v>
                </c:pt>
                <c:pt idx="12">
                  <c:v>Boston, MA</c:v>
                </c:pt>
                <c:pt idx="13">
                  <c:v>Tacoma, WA</c:v>
                </c:pt>
                <c:pt idx="14">
                  <c:v>San Juan, PR</c:v>
                </c:pt>
                <c:pt idx="15">
                  <c:v>Seattle, WA</c:v>
                </c:pt>
                <c:pt idx="16">
                  <c:v>Mobile, AL</c:v>
                </c:pt>
                <c:pt idx="17">
                  <c:v>Wilmington, NC</c:v>
                </c:pt>
                <c:pt idx="18">
                  <c:v>Jacksonville, FL</c:v>
                </c:pt>
                <c:pt idx="19">
                  <c:v>New Orleans, LA</c:v>
                </c:pt>
                <c:pt idx="20">
                  <c:v>Baltimore, MD</c:v>
                </c:pt>
                <c:pt idx="21">
                  <c:v>Port of Long Beach, CA</c:v>
                </c:pt>
                <c:pt idx="22">
                  <c:v>Philadelphia Regional Port, PA</c:v>
                </c:pt>
                <c:pt idx="23">
                  <c:v>Port of Oakland, CA</c:v>
                </c:pt>
                <c:pt idx="24">
                  <c:v>PortMiami, FL</c:v>
                </c:pt>
                <c:pt idx="25">
                  <c:v>Port of Los Angeles, CA</c:v>
                </c:pt>
                <c:pt idx="26">
                  <c:v>Houston Port Authority, TX</c:v>
                </c:pt>
                <c:pt idx="27">
                  <c:v>Port of Charleston, SC</c:v>
                </c:pt>
                <c:pt idx="28">
                  <c:v>Port Everglades, FL</c:v>
                </c:pt>
                <c:pt idx="29">
                  <c:v>Port of Savannah, GA</c:v>
                </c:pt>
                <c:pt idx="30">
                  <c:v>Virginia, VA, Port of</c:v>
                </c:pt>
                <c:pt idx="31">
                  <c:v>New York, NY &amp; NJ</c:v>
                </c:pt>
                <c:pt idx="32">
                  <c:v>Northern Indiana District, IN</c:v>
                </c:pt>
                <c:pt idx="33">
                  <c:v>Two Harbors, MN</c:v>
                </c:pt>
                <c:pt idx="34">
                  <c:v>Cleveland-Cuyahoga Port, OH</c:v>
                </c:pt>
                <c:pt idx="35">
                  <c:v>Toledo-Lucas County Port, OH</c:v>
                </c:pt>
                <c:pt idx="36">
                  <c:v>Port of Kalama, WA</c:v>
                </c:pt>
                <c:pt idx="37">
                  <c:v>Detroit-Wayne County Port, MI</c:v>
                </c:pt>
                <c:pt idx="38">
                  <c:v>Duluth-Superior, MN and WI</c:v>
                </c:pt>
                <c:pt idx="39">
                  <c:v>Texas City, TX</c:v>
                </c:pt>
                <c:pt idx="40">
                  <c:v>Port of Greater Baton Rouge, LA</c:v>
                </c:pt>
                <c:pt idx="41">
                  <c:v>Port Arthur, TX</c:v>
                </c:pt>
                <c:pt idx="42">
                  <c:v>Lake Charles Harbor District, LA</c:v>
                </c:pt>
                <c:pt idx="43">
                  <c:v>Beaumont, TX</c:v>
                </c:pt>
              </c:strCache>
            </c:strRef>
          </c:cat>
          <c:val>
            <c:numRef>
              <c:f>'F 2-16'!$B$3:$B$46</c:f>
              <c:numCache>
                <c:formatCode>General</c:formatCode>
                <c:ptCount val="4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83</c:v>
                </c:pt>
                <c:pt idx="6">
                  <c:v>97</c:v>
                </c:pt>
                <c:pt idx="7">
                  <c:v>104</c:v>
                </c:pt>
                <c:pt idx="8">
                  <c:v>111</c:v>
                </c:pt>
                <c:pt idx="9">
                  <c:v>117</c:v>
                </c:pt>
                <c:pt idx="10">
                  <c:v>144</c:v>
                </c:pt>
                <c:pt idx="11">
                  <c:v>156</c:v>
                </c:pt>
                <c:pt idx="12">
                  <c:v>223</c:v>
                </c:pt>
                <c:pt idx="13">
                  <c:v>232</c:v>
                </c:pt>
                <c:pt idx="14">
                  <c:v>292</c:v>
                </c:pt>
                <c:pt idx="15">
                  <c:v>335</c:v>
                </c:pt>
                <c:pt idx="16">
                  <c:v>364</c:v>
                </c:pt>
                <c:pt idx="17">
                  <c:v>386</c:v>
                </c:pt>
                <c:pt idx="18">
                  <c:v>388</c:v>
                </c:pt>
                <c:pt idx="19">
                  <c:v>403</c:v>
                </c:pt>
                <c:pt idx="20">
                  <c:v>469</c:v>
                </c:pt>
                <c:pt idx="21">
                  <c:v>587</c:v>
                </c:pt>
                <c:pt idx="22">
                  <c:v>702</c:v>
                </c:pt>
                <c:pt idx="23">
                  <c:v>822</c:v>
                </c:pt>
                <c:pt idx="24">
                  <c:v>868</c:v>
                </c:pt>
                <c:pt idx="25">
                  <c:v>869</c:v>
                </c:pt>
                <c:pt idx="26">
                  <c:v>1012</c:v>
                </c:pt>
                <c:pt idx="27">
                  <c:v>1222</c:v>
                </c:pt>
                <c:pt idx="28">
                  <c:v>1457</c:v>
                </c:pt>
                <c:pt idx="29">
                  <c:v>1599</c:v>
                </c:pt>
                <c:pt idx="30">
                  <c:v>1613</c:v>
                </c:pt>
                <c:pt idx="31">
                  <c:v>2199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CC-476F-B5BB-92F40B1307D5}"/>
            </c:ext>
          </c:extLst>
        </c:ser>
        <c:ser>
          <c:idx val="1"/>
          <c:order val="1"/>
          <c:tx>
            <c:strRef>
              <c:f>'F 2-16'!$C$2</c:f>
              <c:strCache>
                <c:ptCount val="1"/>
                <c:pt idx="0">
                  <c:v>Liquified gas carrier</c:v>
                </c:pt>
              </c:strCache>
            </c:strRef>
          </c:tx>
          <c:spPr>
            <a:pattFill prst="pct75">
              <a:fgClr>
                <a:schemeClr val="accent2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'F 2-16'!$A$3:$A$46</c:f>
              <c:strCache>
                <c:ptCount val="44"/>
                <c:pt idx="0">
                  <c:v>Port of Alaska, AK</c:v>
                </c:pt>
                <c:pt idx="1">
                  <c:v>Port of Pascagoula, MS</c:v>
                </c:pt>
                <c:pt idx="2">
                  <c:v>Plaquemines Port District, LA</c:v>
                </c:pt>
                <c:pt idx="3">
                  <c:v>South Louisiana, LA, Port of</c:v>
                </c:pt>
                <c:pt idx="4">
                  <c:v>Corpus Christi, TX</c:v>
                </c:pt>
                <c:pt idx="5">
                  <c:v>Port of Portland, OR</c:v>
                </c:pt>
                <c:pt idx="6">
                  <c:v>South Jersey Port Corp, NJ</c:v>
                </c:pt>
                <c:pt idx="7">
                  <c:v>Honolulu, O'ahu, HI</c:v>
                </c:pt>
                <c:pt idx="8">
                  <c:v>Port Freeport, TX</c:v>
                </c:pt>
                <c:pt idx="9">
                  <c:v>Wilmington, DE</c:v>
                </c:pt>
                <c:pt idx="10">
                  <c:v>Tampa Port Authority, FL</c:v>
                </c:pt>
                <c:pt idx="11">
                  <c:v>Oxnard Harbor District, CA</c:v>
                </c:pt>
                <c:pt idx="12">
                  <c:v>Boston, MA</c:v>
                </c:pt>
                <c:pt idx="13">
                  <c:v>Tacoma, WA</c:v>
                </c:pt>
                <c:pt idx="14">
                  <c:v>San Juan, PR</c:v>
                </c:pt>
                <c:pt idx="15">
                  <c:v>Seattle, WA</c:v>
                </c:pt>
                <c:pt idx="16">
                  <c:v>Mobile, AL</c:v>
                </c:pt>
                <c:pt idx="17">
                  <c:v>Wilmington, NC</c:v>
                </c:pt>
                <c:pt idx="18">
                  <c:v>Jacksonville, FL</c:v>
                </c:pt>
                <c:pt idx="19">
                  <c:v>New Orleans, LA</c:v>
                </c:pt>
                <c:pt idx="20">
                  <c:v>Baltimore, MD</c:v>
                </c:pt>
                <c:pt idx="21">
                  <c:v>Port of Long Beach, CA</c:v>
                </c:pt>
                <c:pt idx="22">
                  <c:v>Philadelphia Regional Port, PA</c:v>
                </c:pt>
                <c:pt idx="23">
                  <c:v>Port of Oakland, CA</c:v>
                </c:pt>
                <c:pt idx="24">
                  <c:v>PortMiami, FL</c:v>
                </c:pt>
                <c:pt idx="25">
                  <c:v>Port of Los Angeles, CA</c:v>
                </c:pt>
                <c:pt idx="26">
                  <c:v>Houston Port Authority, TX</c:v>
                </c:pt>
                <c:pt idx="27">
                  <c:v>Port of Charleston, SC</c:v>
                </c:pt>
                <c:pt idx="28">
                  <c:v>Port Everglades, FL</c:v>
                </c:pt>
                <c:pt idx="29">
                  <c:v>Port of Savannah, GA</c:v>
                </c:pt>
                <c:pt idx="30">
                  <c:v>Virginia, VA, Port of</c:v>
                </c:pt>
                <c:pt idx="31">
                  <c:v>New York, NY &amp; NJ</c:v>
                </c:pt>
                <c:pt idx="32">
                  <c:v>Northern Indiana District, IN</c:v>
                </c:pt>
                <c:pt idx="33">
                  <c:v>Two Harbors, MN</c:v>
                </c:pt>
                <c:pt idx="34">
                  <c:v>Cleveland-Cuyahoga Port, OH</c:v>
                </c:pt>
                <c:pt idx="35">
                  <c:v>Toledo-Lucas County Port, OH</c:v>
                </c:pt>
                <c:pt idx="36">
                  <c:v>Port of Kalama, WA</c:v>
                </c:pt>
                <c:pt idx="37">
                  <c:v>Detroit-Wayne County Port, MI</c:v>
                </c:pt>
                <c:pt idx="38">
                  <c:v>Duluth-Superior, MN and WI</c:v>
                </c:pt>
                <c:pt idx="39">
                  <c:v>Texas City, TX</c:v>
                </c:pt>
                <c:pt idx="40">
                  <c:v>Port of Greater Baton Rouge, LA</c:v>
                </c:pt>
                <c:pt idx="41">
                  <c:v>Port Arthur, TX</c:v>
                </c:pt>
                <c:pt idx="42">
                  <c:v>Lake Charles Harbor District, LA</c:v>
                </c:pt>
                <c:pt idx="43">
                  <c:v>Beaumont, TX</c:v>
                </c:pt>
              </c:strCache>
            </c:strRef>
          </c:cat>
          <c:val>
            <c:numRef>
              <c:f>'F 2-16'!$C$3:$C$46</c:f>
              <c:numCache>
                <c:formatCode>General</c:formatCode>
                <c:ptCount val="44"/>
                <c:pt idx="0">
                  <c:v>0</c:v>
                </c:pt>
                <c:pt idx="1">
                  <c:v>6</c:v>
                </c:pt>
                <c:pt idx="2">
                  <c:v>2</c:v>
                </c:pt>
                <c:pt idx="3">
                  <c:v>26</c:v>
                </c:pt>
                <c:pt idx="4">
                  <c:v>379</c:v>
                </c:pt>
                <c:pt idx="5">
                  <c:v>0</c:v>
                </c:pt>
                <c:pt idx="6">
                  <c:v>7</c:v>
                </c:pt>
                <c:pt idx="7">
                  <c:v>3</c:v>
                </c:pt>
                <c:pt idx="8">
                  <c:v>437</c:v>
                </c:pt>
                <c:pt idx="9">
                  <c:v>2</c:v>
                </c:pt>
                <c:pt idx="10">
                  <c:v>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107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4</c:v>
                </c:pt>
                <c:pt idx="20">
                  <c:v>1</c:v>
                </c:pt>
                <c:pt idx="21">
                  <c:v>1</c:v>
                </c:pt>
                <c:pt idx="22">
                  <c:v>314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1090</c:v>
                </c:pt>
                <c:pt idx="27">
                  <c:v>0</c:v>
                </c:pt>
                <c:pt idx="28">
                  <c:v>0</c:v>
                </c:pt>
                <c:pt idx="29">
                  <c:v>47</c:v>
                </c:pt>
                <c:pt idx="30">
                  <c:v>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68</c:v>
                </c:pt>
                <c:pt idx="40">
                  <c:v>128</c:v>
                </c:pt>
                <c:pt idx="41">
                  <c:v>1</c:v>
                </c:pt>
                <c:pt idx="42">
                  <c:v>350</c:v>
                </c:pt>
                <c:pt idx="43">
                  <c:v>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CC-476F-B5BB-92F40B1307D5}"/>
            </c:ext>
          </c:extLst>
        </c:ser>
        <c:ser>
          <c:idx val="2"/>
          <c:order val="2"/>
          <c:tx>
            <c:strRef>
              <c:f>'F 2-16'!$D$2</c:f>
              <c:strCache>
                <c:ptCount val="1"/>
                <c:pt idx="0">
                  <c:v>Other dry bulk</c:v>
                </c:pt>
              </c:strCache>
            </c:strRef>
          </c:tx>
          <c:spPr>
            <a:pattFill prst="dkUpDiag">
              <a:fgClr>
                <a:schemeClr val="bg2">
                  <a:lumMod val="75000"/>
                </a:schemeClr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'F 2-16'!$A$3:$A$46</c:f>
              <c:strCache>
                <c:ptCount val="44"/>
                <c:pt idx="0">
                  <c:v>Port of Alaska, AK</c:v>
                </c:pt>
                <c:pt idx="1">
                  <c:v>Port of Pascagoula, MS</c:v>
                </c:pt>
                <c:pt idx="2">
                  <c:v>Plaquemines Port District, LA</c:v>
                </c:pt>
                <c:pt idx="3">
                  <c:v>South Louisiana, LA, Port of</c:v>
                </c:pt>
                <c:pt idx="4">
                  <c:v>Corpus Christi, TX</c:v>
                </c:pt>
                <c:pt idx="5">
                  <c:v>Port of Portland, OR</c:v>
                </c:pt>
                <c:pt idx="6">
                  <c:v>South Jersey Port Corp, NJ</c:v>
                </c:pt>
                <c:pt idx="7">
                  <c:v>Honolulu, O'ahu, HI</c:v>
                </c:pt>
                <c:pt idx="8">
                  <c:v>Port Freeport, TX</c:v>
                </c:pt>
                <c:pt idx="9">
                  <c:v>Wilmington, DE</c:v>
                </c:pt>
                <c:pt idx="10">
                  <c:v>Tampa Port Authority, FL</c:v>
                </c:pt>
                <c:pt idx="11">
                  <c:v>Oxnard Harbor District, CA</c:v>
                </c:pt>
                <c:pt idx="12">
                  <c:v>Boston, MA</c:v>
                </c:pt>
                <c:pt idx="13">
                  <c:v>Tacoma, WA</c:v>
                </c:pt>
                <c:pt idx="14">
                  <c:v>San Juan, PR</c:v>
                </c:pt>
                <c:pt idx="15">
                  <c:v>Seattle, WA</c:v>
                </c:pt>
                <c:pt idx="16">
                  <c:v>Mobile, AL</c:v>
                </c:pt>
                <c:pt idx="17">
                  <c:v>Wilmington, NC</c:v>
                </c:pt>
                <c:pt idx="18">
                  <c:v>Jacksonville, FL</c:v>
                </c:pt>
                <c:pt idx="19">
                  <c:v>New Orleans, LA</c:v>
                </c:pt>
                <c:pt idx="20">
                  <c:v>Baltimore, MD</c:v>
                </c:pt>
                <c:pt idx="21">
                  <c:v>Port of Long Beach, CA</c:v>
                </c:pt>
                <c:pt idx="22">
                  <c:v>Philadelphia Regional Port, PA</c:v>
                </c:pt>
                <c:pt idx="23">
                  <c:v>Port of Oakland, CA</c:v>
                </c:pt>
                <c:pt idx="24">
                  <c:v>PortMiami, FL</c:v>
                </c:pt>
                <c:pt idx="25">
                  <c:v>Port of Los Angeles, CA</c:v>
                </c:pt>
                <c:pt idx="26">
                  <c:v>Houston Port Authority, TX</c:v>
                </c:pt>
                <c:pt idx="27">
                  <c:v>Port of Charleston, SC</c:v>
                </c:pt>
                <c:pt idx="28">
                  <c:v>Port Everglades, FL</c:v>
                </c:pt>
                <c:pt idx="29">
                  <c:v>Port of Savannah, GA</c:v>
                </c:pt>
                <c:pt idx="30">
                  <c:v>Virginia, VA, Port of</c:v>
                </c:pt>
                <c:pt idx="31">
                  <c:v>New York, NY &amp; NJ</c:v>
                </c:pt>
                <c:pt idx="32">
                  <c:v>Northern Indiana District, IN</c:v>
                </c:pt>
                <c:pt idx="33">
                  <c:v>Two Harbors, MN</c:v>
                </c:pt>
                <c:pt idx="34">
                  <c:v>Cleveland-Cuyahoga Port, OH</c:v>
                </c:pt>
                <c:pt idx="35">
                  <c:v>Toledo-Lucas County Port, OH</c:v>
                </c:pt>
                <c:pt idx="36">
                  <c:v>Port of Kalama, WA</c:v>
                </c:pt>
                <c:pt idx="37">
                  <c:v>Detroit-Wayne County Port, MI</c:v>
                </c:pt>
                <c:pt idx="38">
                  <c:v>Duluth-Superior, MN and WI</c:v>
                </c:pt>
                <c:pt idx="39">
                  <c:v>Texas City, TX</c:v>
                </c:pt>
                <c:pt idx="40">
                  <c:v>Port of Greater Baton Rouge, LA</c:v>
                </c:pt>
                <c:pt idx="41">
                  <c:v>Port Arthur, TX</c:v>
                </c:pt>
                <c:pt idx="42">
                  <c:v>Lake Charles Harbor District, LA</c:v>
                </c:pt>
                <c:pt idx="43">
                  <c:v>Beaumont, TX</c:v>
                </c:pt>
              </c:strCache>
            </c:strRef>
          </c:cat>
          <c:val>
            <c:numRef>
              <c:f>'F 2-16'!$D$3:$D$46</c:f>
              <c:numCache>
                <c:formatCode>General</c:formatCode>
                <c:ptCount val="44"/>
                <c:pt idx="0">
                  <c:v>6</c:v>
                </c:pt>
                <c:pt idx="1">
                  <c:v>68</c:v>
                </c:pt>
                <c:pt idx="2">
                  <c:v>398</c:v>
                </c:pt>
                <c:pt idx="3">
                  <c:v>1191</c:v>
                </c:pt>
                <c:pt idx="4">
                  <c:v>202</c:v>
                </c:pt>
                <c:pt idx="5">
                  <c:v>181</c:v>
                </c:pt>
                <c:pt idx="6">
                  <c:v>192</c:v>
                </c:pt>
                <c:pt idx="7">
                  <c:v>6</c:v>
                </c:pt>
                <c:pt idx="8">
                  <c:v>54</c:v>
                </c:pt>
                <c:pt idx="9">
                  <c:v>94</c:v>
                </c:pt>
                <c:pt idx="10">
                  <c:v>360</c:v>
                </c:pt>
                <c:pt idx="11">
                  <c:v>5</c:v>
                </c:pt>
                <c:pt idx="12">
                  <c:v>23</c:v>
                </c:pt>
                <c:pt idx="13">
                  <c:v>65</c:v>
                </c:pt>
                <c:pt idx="14">
                  <c:v>202</c:v>
                </c:pt>
                <c:pt idx="15">
                  <c:v>132</c:v>
                </c:pt>
                <c:pt idx="16">
                  <c:v>578</c:v>
                </c:pt>
                <c:pt idx="17">
                  <c:v>169</c:v>
                </c:pt>
                <c:pt idx="18">
                  <c:v>176</c:v>
                </c:pt>
                <c:pt idx="19">
                  <c:v>796</c:v>
                </c:pt>
                <c:pt idx="20">
                  <c:v>660</c:v>
                </c:pt>
                <c:pt idx="21">
                  <c:v>293</c:v>
                </c:pt>
                <c:pt idx="22">
                  <c:v>223</c:v>
                </c:pt>
                <c:pt idx="23">
                  <c:v>29</c:v>
                </c:pt>
                <c:pt idx="24">
                  <c:v>334</c:v>
                </c:pt>
                <c:pt idx="25">
                  <c:v>119</c:v>
                </c:pt>
                <c:pt idx="26">
                  <c:v>1089</c:v>
                </c:pt>
                <c:pt idx="27">
                  <c:v>214</c:v>
                </c:pt>
                <c:pt idx="28">
                  <c:v>441</c:v>
                </c:pt>
                <c:pt idx="29">
                  <c:v>328</c:v>
                </c:pt>
                <c:pt idx="30">
                  <c:v>669</c:v>
                </c:pt>
                <c:pt idx="31">
                  <c:v>197</c:v>
                </c:pt>
                <c:pt idx="32">
                  <c:v>58</c:v>
                </c:pt>
                <c:pt idx="33">
                  <c:v>85</c:v>
                </c:pt>
                <c:pt idx="34">
                  <c:v>135</c:v>
                </c:pt>
                <c:pt idx="35">
                  <c:v>153</c:v>
                </c:pt>
                <c:pt idx="36">
                  <c:v>221</c:v>
                </c:pt>
                <c:pt idx="37">
                  <c:v>198</c:v>
                </c:pt>
                <c:pt idx="38">
                  <c:v>314</c:v>
                </c:pt>
                <c:pt idx="39">
                  <c:v>34</c:v>
                </c:pt>
                <c:pt idx="40">
                  <c:v>250</c:v>
                </c:pt>
                <c:pt idx="41">
                  <c:v>257</c:v>
                </c:pt>
                <c:pt idx="42">
                  <c:v>216</c:v>
                </c:pt>
                <c:pt idx="43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CC-476F-B5BB-92F40B1307D5}"/>
            </c:ext>
          </c:extLst>
        </c:ser>
        <c:ser>
          <c:idx val="3"/>
          <c:order val="3"/>
          <c:tx>
            <c:strRef>
              <c:f>'F 2-16'!$E$2</c:f>
              <c:strCache>
                <c:ptCount val="1"/>
                <c:pt idx="0">
                  <c:v>Ro-Ro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'F 2-16'!$A$3:$A$46</c:f>
              <c:strCache>
                <c:ptCount val="44"/>
                <c:pt idx="0">
                  <c:v>Port of Alaska, AK</c:v>
                </c:pt>
                <c:pt idx="1">
                  <c:v>Port of Pascagoula, MS</c:v>
                </c:pt>
                <c:pt idx="2">
                  <c:v>Plaquemines Port District, LA</c:v>
                </c:pt>
                <c:pt idx="3">
                  <c:v>South Louisiana, LA, Port of</c:v>
                </c:pt>
                <c:pt idx="4">
                  <c:v>Corpus Christi, TX</c:v>
                </c:pt>
                <c:pt idx="5">
                  <c:v>Port of Portland, OR</c:v>
                </c:pt>
                <c:pt idx="6">
                  <c:v>South Jersey Port Corp, NJ</c:v>
                </c:pt>
                <c:pt idx="7">
                  <c:v>Honolulu, O'ahu, HI</c:v>
                </c:pt>
                <c:pt idx="8">
                  <c:v>Port Freeport, TX</c:v>
                </c:pt>
                <c:pt idx="9">
                  <c:v>Wilmington, DE</c:v>
                </c:pt>
                <c:pt idx="10">
                  <c:v>Tampa Port Authority, FL</c:v>
                </c:pt>
                <c:pt idx="11">
                  <c:v>Oxnard Harbor District, CA</c:v>
                </c:pt>
                <c:pt idx="12">
                  <c:v>Boston, MA</c:v>
                </c:pt>
                <c:pt idx="13">
                  <c:v>Tacoma, WA</c:v>
                </c:pt>
                <c:pt idx="14">
                  <c:v>San Juan, PR</c:v>
                </c:pt>
                <c:pt idx="15">
                  <c:v>Seattle, WA</c:v>
                </c:pt>
                <c:pt idx="16">
                  <c:v>Mobile, AL</c:v>
                </c:pt>
                <c:pt idx="17">
                  <c:v>Wilmington, NC</c:v>
                </c:pt>
                <c:pt idx="18">
                  <c:v>Jacksonville, FL</c:v>
                </c:pt>
                <c:pt idx="19">
                  <c:v>New Orleans, LA</c:v>
                </c:pt>
                <c:pt idx="20">
                  <c:v>Baltimore, MD</c:v>
                </c:pt>
                <c:pt idx="21">
                  <c:v>Port of Long Beach, CA</c:v>
                </c:pt>
                <c:pt idx="22">
                  <c:v>Philadelphia Regional Port, PA</c:v>
                </c:pt>
                <c:pt idx="23">
                  <c:v>Port of Oakland, CA</c:v>
                </c:pt>
                <c:pt idx="24">
                  <c:v>PortMiami, FL</c:v>
                </c:pt>
                <c:pt idx="25">
                  <c:v>Port of Los Angeles, CA</c:v>
                </c:pt>
                <c:pt idx="26">
                  <c:v>Houston Port Authority, TX</c:v>
                </c:pt>
                <c:pt idx="27">
                  <c:v>Port of Charleston, SC</c:v>
                </c:pt>
                <c:pt idx="28">
                  <c:v>Port Everglades, FL</c:v>
                </c:pt>
                <c:pt idx="29">
                  <c:v>Port of Savannah, GA</c:v>
                </c:pt>
                <c:pt idx="30">
                  <c:v>Virginia, VA, Port of</c:v>
                </c:pt>
                <c:pt idx="31">
                  <c:v>New York, NY &amp; NJ</c:v>
                </c:pt>
                <c:pt idx="32">
                  <c:v>Northern Indiana District, IN</c:v>
                </c:pt>
                <c:pt idx="33">
                  <c:v>Two Harbors, MN</c:v>
                </c:pt>
                <c:pt idx="34">
                  <c:v>Cleveland-Cuyahoga Port, OH</c:v>
                </c:pt>
                <c:pt idx="35">
                  <c:v>Toledo-Lucas County Port, OH</c:v>
                </c:pt>
                <c:pt idx="36">
                  <c:v>Port of Kalama, WA</c:v>
                </c:pt>
                <c:pt idx="37">
                  <c:v>Detroit-Wayne County Port, MI</c:v>
                </c:pt>
                <c:pt idx="38">
                  <c:v>Duluth-Superior, MN and WI</c:v>
                </c:pt>
                <c:pt idx="39">
                  <c:v>Texas City, TX</c:v>
                </c:pt>
                <c:pt idx="40">
                  <c:v>Port of Greater Baton Rouge, LA</c:v>
                </c:pt>
                <c:pt idx="41">
                  <c:v>Port Arthur, TX</c:v>
                </c:pt>
                <c:pt idx="42">
                  <c:v>Lake Charles Harbor District, LA</c:v>
                </c:pt>
                <c:pt idx="43">
                  <c:v>Beaumont, TX</c:v>
                </c:pt>
              </c:strCache>
            </c:strRef>
          </c:cat>
          <c:val>
            <c:numRef>
              <c:f>'F 2-16'!$E$3:$E$46</c:f>
              <c:numCache>
                <c:formatCode>General</c:formatCode>
                <c:ptCount val="4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6</c:v>
                </c:pt>
                <c:pt idx="5">
                  <c:v>109</c:v>
                </c:pt>
                <c:pt idx="6">
                  <c:v>0</c:v>
                </c:pt>
                <c:pt idx="7">
                  <c:v>46</c:v>
                </c:pt>
                <c:pt idx="8">
                  <c:v>97</c:v>
                </c:pt>
                <c:pt idx="9">
                  <c:v>35</c:v>
                </c:pt>
                <c:pt idx="10">
                  <c:v>21</c:v>
                </c:pt>
                <c:pt idx="11">
                  <c:v>246</c:v>
                </c:pt>
                <c:pt idx="12">
                  <c:v>39</c:v>
                </c:pt>
                <c:pt idx="13">
                  <c:v>264</c:v>
                </c:pt>
                <c:pt idx="14">
                  <c:v>424</c:v>
                </c:pt>
                <c:pt idx="15">
                  <c:v>3</c:v>
                </c:pt>
                <c:pt idx="16">
                  <c:v>86</c:v>
                </c:pt>
                <c:pt idx="17">
                  <c:v>11</c:v>
                </c:pt>
                <c:pt idx="18">
                  <c:v>372</c:v>
                </c:pt>
                <c:pt idx="19">
                  <c:v>0</c:v>
                </c:pt>
                <c:pt idx="20">
                  <c:v>653</c:v>
                </c:pt>
                <c:pt idx="21">
                  <c:v>161</c:v>
                </c:pt>
                <c:pt idx="22">
                  <c:v>153</c:v>
                </c:pt>
                <c:pt idx="23">
                  <c:v>11</c:v>
                </c:pt>
                <c:pt idx="24">
                  <c:v>331</c:v>
                </c:pt>
                <c:pt idx="25">
                  <c:v>119</c:v>
                </c:pt>
                <c:pt idx="26">
                  <c:v>75</c:v>
                </c:pt>
                <c:pt idx="27">
                  <c:v>172</c:v>
                </c:pt>
                <c:pt idx="28">
                  <c:v>966</c:v>
                </c:pt>
                <c:pt idx="29">
                  <c:v>109</c:v>
                </c:pt>
                <c:pt idx="30">
                  <c:v>88</c:v>
                </c:pt>
                <c:pt idx="31">
                  <c:v>342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9</c:v>
                </c:pt>
                <c:pt idx="42">
                  <c:v>0</c:v>
                </c:pt>
                <c:pt idx="43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CC-476F-B5BB-92F40B1307D5}"/>
            </c:ext>
          </c:extLst>
        </c:ser>
        <c:ser>
          <c:idx val="4"/>
          <c:order val="4"/>
          <c:tx>
            <c:strRef>
              <c:f>'F 2-16'!$F$2</c:f>
              <c:strCache>
                <c:ptCount val="1"/>
                <c:pt idx="0">
                  <c:v>Tanker</c:v>
                </c:pt>
              </c:strCache>
            </c:strRef>
          </c:tx>
          <c:spPr>
            <a:pattFill prst="dkVert">
              <a:fgClr>
                <a:srgbClr val="00B050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'F 2-16'!$A$3:$A$46</c:f>
              <c:strCache>
                <c:ptCount val="44"/>
                <c:pt idx="0">
                  <c:v>Port of Alaska, AK</c:v>
                </c:pt>
                <c:pt idx="1">
                  <c:v>Port of Pascagoula, MS</c:v>
                </c:pt>
                <c:pt idx="2">
                  <c:v>Plaquemines Port District, LA</c:v>
                </c:pt>
                <c:pt idx="3">
                  <c:v>South Louisiana, LA, Port of</c:v>
                </c:pt>
                <c:pt idx="4">
                  <c:v>Corpus Christi, TX</c:v>
                </c:pt>
                <c:pt idx="5">
                  <c:v>Port of Portland, OR</c:v>
                </c:pt>
                <c:pt idx="6">
                  <c:v>South Jersey Port Corp, NJ</c:v>
                </c:pt>
                <c:pt idx="7">
                  <c:v>Honolulu, O'ahu, HI</c:v>
                </c:pt>
                <c:pt idx="8">
                  <c:v>Port Freeport, TX</c:v>
                </c:pt>
                <c:pt idx="9">
                  <c:v>Wilmington, DE</c:v>
                </c:pt>
                <c:pt idx="10">
                  <c:v>Tampa Port Authority, FL</c:v>
                </c:pt>
                <c:pt idx="11">
                  <c:v>Oxnard Harbor District, CA</c:v>
                </c:pt>
                <c:pt idx="12">
                  <c:v>Boston, MA</c:v>
                </c:pt>
                <c:pt idx="13">
                  <c:v>Tacoma, WA</c:v>
                </c:pt>
                <c:pt idx="14">
                  <c:v>San Juan, PR</c:v>
                </c:pt>
                <c:pt idx="15">
                  <c:v>Seattle, WA</c:v>
                </c:pt>
                <c:pt idx="16">
                  <c:v>Mobile, AL</c:v>
                </c:pt>
                <c:pt idx="17">
                  <c:v>Wilmington, NC</c:v>
                </c:pt>
                <c:pt idx="18">
                  <c:v>Jacksonville, FL</c:v>
                </c:pt>
                <c:pt idx="19">
                  <c:v>New Orleans, LA</c:v>
                </c:pt>
                <c:pt idx="20">
                  <c:v>Baltimore, MD</c:v>
                </c:pt>
                <c:pt idx="21">
                  <c:v>Port of Long Beach, CA</c:v>
                </c:pt>
                <c:pt idx="22">
                  <c:v>Philadelphia Regional Port, PA</c:v>
                </c:pt>
                <c:pt idx="23">
                  <c:v>Port of Oakland, CA</c:v>
                </c:pt>
                <c:pt idx="24">
                  <c:v>PortMiami, FL</c:v>
                </c:pt>
                <c:pt idx="25">
                  <c:v>Port of Los Angeles, CA</c:v>
                </c:pt>
                <c:pt idx="26">
                  <c:v>Houston Port Authority, TX</c:v>
                </c:pt>
                <c:pt idx="27">
                  <c:v>Port of Charleston, SC</c:v>
                </c:pt>
                <c:pt idx="28">
                  <c:v>Port Everglades, FL</c:v>
                </c:pt>
                <c:pt idx="29">
                  <c:v>Port of Savannah, GA</c:v>
                </c:pt>
                <c:pt idx="30">
                  <c:v>Virginia, VA, Port of</c:v>
                </c:pt>
                <c:pt idx="31">
                  <c:v>New York, NY &amp; NJ</c:v>
                </c:pt>
                <c:pt idx="32">
                  <c:v>Northern Indiana District, IN</c:v>
                </c:pt>
                <c:pt idx="33">
                  <c:v>Two Harbors, MN</c:v>
                </c:pt>
                <c:pt idx="34">
                  <c:v>Cleveland-Cuyahoga Port, OH</c:v>
                </c:pt>
                <c:pt idx="35">
                  <c:v>Toledo-Lucas County Port, OH</c:v>
                </c:pt>
                <c:pt idx="36">
                  <c:v>Port of Kalama, WA</c:v>
                </c:pt>
                <c:pt idx="37">
                  <c:v>Detroit-Wayne County Port, MI</c:v>
                </c:pt>
                <c:pt idx="38">
                  <c:v>Duluth-Superior, MN and WI</c:v>
                </c:pt>
                <c:pt idx="39">
                  <c:v>Texas City, TX</c:v>
                </c:pt>
                <c:pt idx="40">
                  <c:v>Port of Greater Baton Rouge, LA</c:v>
                </c:pt>
                <c:pt idx="41">
                  <c:v>Port Arthur, TX</c:v>
                </c:pt>
                <c:pt idx="42">
                  <c:v>Lake Charles Harbor District, LA</c:v>
                </c:pt>
                <c:pt idx="43">
                  <c:v>Beaumont, TX</c:v>
                </c:pt>
              </c:strCache>
            </c:strRef>
          </c:cat>
          <c:val>
            <c:numRef>
              <c:f>'F 2-16'!$F$3:$F$46</c:f>
              <c:numCache>
                <c:formatCode>General</c:formatCode>
                <c:ptCount val="44"/>
                <c:pt idx="0">
                  <c:v>44</c:v>
                </c:pt>
                <c:pt idx="1">
                  <c:v>236</c:v>
                </c:pt>
                <c:pt idx="2">
                  <c:v>142</c:v>
                </c:pt>
                <c:pt idx="3">
                  <c:v>781</c:v>
                </c:pt>
                <c:pt idx="4">
                  <c:v>1559</c:v>
                </c:pt>
                <c:pt idx="5">
                  <c:v>27</c:v>
                </c:pt>
                <c:pt idx="6">
                  <c:v>182</c:v>
                </c:pt>
                <c:pt idx="7">
                  <c:v>23</c:v>
                </c:pt>
                <c:pt idx="8">
                  <c:v>371</c:v>
                </c:pt>
                <c:pt idx="9">
                  <c:v>9</c:v>
                </c:pt>
                <c:pt idx="10">
                  <c:v>99</c:v>
                </c:pt>
                <c:pt idx="11">
                  <c:v>10</c:v>
                </c:pt>
                <c:pt idx="12">
                  <c:v>70</c:v>
                </c:pt>
                <c:pt idx="13">
                  <c:v>4</c:v>
                </c:pt>
                <c:pt idx="14">
                  <c:v>70</c:v>
                </c:pt>
                <c:pt idx="15">
                  <c:v>7</c:v>
                </c:pt>
                <c:pt idx="16">
                  <c:v>151</c:v>
                </c:pt>
                <c:pt idx="17">
                  <c:v>131</c:v>
                </c:pt>
                <c:pt idx="18">
                  <c:v>70</c:v>
                </c:pt>
                <c:pt idx="19">
                  <c:v>301</c:v>
                </c:pt>
                <c:pt idx="20">
                  <c:v>96</c:v>
                </c:pt>
                <c:pt idx="21">
                  <c:v>452</c:v>
                </c:pt>
                <c:pt idx="22">
                  <c:v>86</c:v>
                </c:pt>
                <c:pt idx="23">
                  <c:v>23</c:v>
                </c:pt>
                <c:pt idx="24">
                  <c:v>19</c:v>
                </c:pt>
                <c:pt idx="25">
                  <c:v>105</c:v>
                </c:pt>
                <c:pt idx="26">
                  <c:v>2741</c:v>
                </c:pt>
                <c:pt idx="27">
                  <c:v>108</c:v>
                </c:pt>
                <c:pt idx="28">
                  <c:v>100</c:v>
                </c:pt>
                <c:pt idx="29">
                  <c:v>191</c:v>
                </c:pt>
                <c:pt idx="30">
                  <c:v>34</c:v>
                </c:pt>
                <c:pt idx="31">
                  <c:v>884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8</c:v>
                </c:pt>
                <c:pt idx="37">
                  <c:v>57</c:v>
                </c:pt>
                <c:pt idx="38">
                  <c:v>0</c:v>
                </c:pt>
                <c:pt idx="39">
                  <c:v>438</c:v>
                </c:pt>
                <c:pt idx="40">
                  <c:v>353</c:v>
                </c:pt>
                <c:pt idx="41">
                  <c:v>551</c:v>
                </c:pt>
                <c:pt idx="42">
                  <c:v>374</c:v>
                </c:pt>
                <c:pt idx="43">
                  <c:v>765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3CC-476F-B5BB-92F40B1307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3"/>
        <c:overlap val="100"/>
        <c:axId val="1030202160"/>
        <c:axId val="1030203600"/>
      </c:barChart>
      <c:catAx>
        <c:axId val="10302021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Port</a:t>
                </a:r>
              </a:p>
            </c:rich>
          </c:tx>
          <c:layout>
            <c:manualLayout>
              <c:xMode val="edge"/>
              <c:yMode val="edge"/>
              <c:x val="5.6274611834417933E-3"/>
              <c:y val="0.330615767837163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203600"/>
        <c:crosses val="autoZero"/>
        <c:auto val="1"/>
        <c:lblAlgn val="ctr"/>
        <c:lblOffset val="100"/>
        <c:noMultiLvlLbl val="0"/>
      </c:catAx>
      <c:valAx>
        <c:axId val="1030203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ofentrance records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202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2534120082329341"/>
          <c:y val="0.80308033324413675"/>
          <c:w val="0.56997283693653011"/>
          <c:h val="3.04849533200687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571500</xdr:colOff>
      <xdr:row>2</xdr:row>
      <xdr:rowOff>20002</xdr:rowOff>
    </xdr:from>
    <xdr:to>
      <xdr:col>22</xdr:col>
      <xdr:colOff>552450</xdr:colOff>
      <xdr:row>40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DAFE71-0E31-4A01-9ED8-EB8AA17094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sdot-my.sharepoint.com/personal/patricia_dijoseph_ad_dot_gov/Documents/Projects/PPFSP%20Annual%20Report%20to%20Congress/2026%20Port%20Report/Figures%20and%20Tables/PPFS_2026%20Ch%202%20F%202_x.xlsx" TargetMode="External"/><Relationship Id="rId1" Type="http://schemas.openxmlformats.org/officeDocument/2006/relationships/externalLinkPath" Target="PPFS_2026%20Ch%202%20F%202_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T 2-1"/>
      <sheetName val="T 2"/>
      <sheetName val="T 3"/>
      <sheetName val="T 4"/>
      <sheetName val="T 5"/>
      <sheetName val="F 2"/>
      <sheetName val="F 3"/>
      <sheetName val="F 4"/>
      <sheetName val="F 5"/>
      <sheetName val="F 6"/>
      <sheetName val="F 2-6"/>
      <sheetName val="F 8"/>
      <sheetName val="F 9"/>
      <sheetName val="F 10"/>
      <sheetName val="F 11"/>
      <sheetName val="F 12"/>
      <sheetName val="F 13"/>
      <sheetName val="F 14"/>
      <sheetName val="F 15"/>
      <sheetName val="F 2-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2">
          <cell r="B2" t="str">
            <v>Container</v>
          </cell>
          <cell r="C2" t="str">
            <v>Liquified gas carrier</v>
          </cell>
          <cell r="D2" t="str">
            <v>Other dry bulk</v>
          </cell>
          <cell r="E2" t="str">
            <v>Ro-Ro</v>
          </cell>
          <cell r="F2" t="str">
            <v>Tanker</v>
          </cell>
        </row>
        <row r="3">
          <cell r="A3" t="str">
            <v>Port of Alaska, AK</v>
          </cell>
          <cell r="B3">
            <v>1</v>
          </cell>
          <cell r="C3">
            <v>0</v>
          </cell>
          <cell r="D3">
            <v>6</v>
          </cell>
          <cell r="E3">
            <v>0</v>
          </cell>
          <cell r="F3">
            <v>44</v>
          </cell>
        </row>
        <row r="4">
          <cell r="A4" t="str">
            <v>Port of Pascagoula, MS</v>
          </cell>
          <cell r="B4">
            <v>1</v>
          </cell>
          <cell r="C4">
            <v>6</v>
          </cell>
          <cell r="D4">
            <v>68</v>
          </cell>
          <cell r="E4">
            <v>0</v>
          </cell>
          <cell r="F4">
            <v>236</v>
          </cell>
        </row>
        <row r="5">
          <cell r="A5" t="str">
            <v>Plaquemines Port District, LA</v>
          </cell>
          <cell r="B5">
            <v>1</v>
          </cell>
          <cell r="C5">
            <v>2</v>
          </cell>
          <cell r="D5">
            <v>398</v>
          </cell>
          <cell r="E5">
            <v>1</v>
          </cell>
          <cell r="F5">
            <v>142</v>
          </cell>
        </row>
        <row r="6">
          <cell r="A6" t="str">
            <v>South Louisiana, LA, Port of</v>
          </cell>
          <cell r="B6">
            <v>1</v>
          </cell>
          <cell r="C6">
            <v>26</v>
          </cell>
          <cell r="D6">
            <v>1191</v>
          </cell>
          <cell r="E6">
            <v>0</v>
          </cell>
          <cell r="F6">
            <v>781</v>
          </cell>
        </row>
        <row r="7">
          <cell r="A7" t="str">
            <v>Corpus Christi, TX</v>
          </cell>
          <cell r="B7">
            <v>1</v>
          </cell>
          <cell r="C7">
            <v>379</v>
          </cell>
          <cell r="D7">
            <v>202</v>
          </cell>
          <cell r="E7">
            <v>6</v>
          </cell>
          <cell r="F7">
            <v>1559</v>
          </cell>
        </row>
        <row r="8">
          <cell r="A8" t="str">
            <v>Port of Portland, OR</v>
          </cell>
          <cell r="B8">
            <v>83</v>
          </cell>
          <cell r="C8">
            <v>0</v>
          </cell>
          <cell r="D8">
            <v>181</v>
          </cell>
          <cell r="E8">
            <v>109</v>
          </cell>
          <cell r="F8">
            <v>27</v>
          </cell>
        </row>
        <row r="9">
          <cell r="A9" t="str">
            <v>South Jersey Port Corp, NJ</v>
          </cell>
          <cell r="B9">
            <v>97</v>
          </cell>
          <cell r="C9">
            <v>7</v>
          </cell>
          <cell r="D9">
            <v>192</v>
          </cell>
          <cell r="E9">
            <v>0</v>
          </cell>
          <cell r="F9">
            <v>182</v>
          </cell>
        </row>
        <row r="10">
          <cell r="A10" t="str">
            <v>Honolulu, O'ahu, HI</v>
          </cell>
          <cell r="B10">
            <v>104</v>
          </cell>
          <cell r="C10">
            <v>3</v>
          </cell>
          <cell r="D10">
            <v>6</v>
          </cell>
          <cell r="E10">
            <v>46</v>
          </cell>
          <cell r="F10">
            <v>23</v>
          </cell>
        </row>
        <row r="11">
          <cell r="A11" t="str">
            <v>Port Freeport, TX</v>
          </cell>
          <cell r="B11">
            <v>111</v>
          </cell>
          <cell r="C11">
            <v>437</v>
          </cell>
          <cell r="D11">
            <v>54</v>
          </cell>
          <cell r="E11">
            <v>97</v>
          </cell>
          <cell r="F11">
            <v>371</v>
          </cell>
        </row>
        <row r="12">
          <cell r="A12" t="str">
            <v>Wilmington, DE</v>
          </cell>
          <cell r="B12">
            <v>117</v>
          </cell>
          <cell r="C12">
            <v>2</v>
          </cell>
          <cell r="D12">
            <v>94</v>
          </cell>
          <cell r="E12">
            <v>35</v>
          </cell>
          <cell r="F12">
            <v>9</v>
          </cell>
        </row>
        <row r="13">
          <cell r="A13" t="str">
            <v>Tampa Port Authority, FL</v>
          </cell>
          <cell r="B13">
            <v>144</v>
          </cell>
          <cell r="C13">
            <v>8</v>
          </cell>
          <cell r="D13">
            <v>360</v>
          </cell>
          <cell r="E13">
            <v>21</v>
          </cell>
          <cell r="F13">
            <v>99</v>
          </cell>
        </row>
        <row r="14">
          <cell r="A14" t="str">
            <v>Oxnard Harbor District, CA</v>
          </cell>
          <cell r="B14">
            <v>156</v>
          </cell>
          <cell r="C14">
            <v>0</v>
          </cell>
          <cell r="D14">
            <v>5</v>
          </cell>
          <cell r="E14">
            <v>246</v>
          </cell>
          <cell r="F14">
            <v>10</v>
          </cell>
        </row>
        <row r="15">
          <cell r="A15" t="str">
            <v>Boston, MA</v>
          </cell>
          <cell r="B15">
            <v>223</v>
          </cell>
          <cell r="C15">
            <v>0</v>
          </cell>
          <cell r="D15">
            <v>23</v>
          </cell>
          <cell r="E15">
            <v>39</v>
          </cell>
          <cell r="F15">
            <v>70</v>
          </cell>
        </row>
        <row r="16">
          <cell r="A16" t="str">
            <v>Tacoma, WA</v>
          </cell>
          <cell r="B16">
            <v>232</v>
          </cell>
          <cell r="C16">
            <v>0</v>
          </cell>
          <cell r="D16">
            <v>65</v>
          </cell>
          <cell r="E16">
            <v>264</v>
          </cell>
          <cell r="F16">
            <v>4</v>
          </cell>
        </row>
        <row r="17">
          <cell r="A17" t="str">
            <v>San Juan, PR</v>
          </cell>
          <cell r="B17">
            <v>292</v>
          </cell>
          <cell r="C17">
            <v>107</v>
          </cell>
          <cell r="D17">
            <v>202</v>
          </cell>
          <cell r="E17">
            <v>424</v>
          </cell>
          <cell r="F17">
            <v>70</v>
          </cell>
        </row>
        <row r="18">
          <cell r="A18" t="str">
            <v>Seattle, WA</v>
          </cell>
          <cell r="B18">
            <v>335</v>
          </cell>
          <cell r="C18">
            <v>3</v>
          </cell>
          <cell r="D18">
            <v>132</v>
          </cell>
          <cell r="E18">
            <v>3</v>
          </cell>
          <cell r="F18">
            <v>7</v>
          </cell>
        </row>
        <row r="19">
          <cell r="A19" t="str">
            <v>Mobile, AL</v>
          </cell>
          <cell r="B19">
            <v>364</v>
          </cell>
          <cell r="C19">
            <v>0</v>
          </cell>
          <cell r="D19">
            <v>578</v>
          </cell>
          <cell r="E19">
            <v>86</v>
          </cell>
          <cell r="F19">
            <v>151</v>
          </cell>
        </row>
        <row r="20">
          <cell r="A20" t="str">
            <v>Wilmington, NC</v>
          </cell>
          <cell r="B20">
            <v>386</v>
          </cell>
          <cell r="C20">
            <v>0</v>
          </cell>
          <cell r="D20">
            <v>169</v>
          </cell>
          <cell r="E20">
            <v>11</v>
          </cell>
          <cell r="F20">
            <v>131</v>
          </cell>
        </row>
        <row r="21">
          <cell r="A21" t="str">
            <v>Jacksonville, FL</v>
          </cell>
          <cell r="B21">
            <v>388</v>
          </cell>
          <cell r="C21">
            <v>0</v>
          </cell>
          <cell r="D21">
            <v>176</v>
          </cell>
          <cell r="E21">
            <v>372</v>
          </cell>
          <cell r="F21">
            <v>70</v>
          </cell>
        </row>
        <row r="22">
          <cell r="A22" t="str">
            <v>New Orleans, LA</v>
          </cell>
          <cell r="B22">
            <v>403</v>
          </cell>
          <cell r="C22">
            <v>4</v>
          </cell>
          <cell r="D22">
            <v>796</v>
          </cell>
          <cell r="E22">
            <v>0</v>
          </cell>
          <cell r="F22">
            <v>301</v>
          </cell>
        </row>
        <row r="23">
          <cell r="A23" t="str">
            <v>Baltimore, MD</v>
          </cell>
          <cell r="B23">
            <v>469</v>
          </cell>
          <cell r="C23">
            <v>1</v>
          </cell>
          <cell r="D23">
            <v>660</v>
          </cell>
          <cell r="E23">
            <v>653</v>
          </cell>
          <cell r="F23">
            <v>96</v>
          </cell>
        </row>
        <row r="24">
          <cell r="A24" t="str">
            <v>Port of Long Beach, CA</v>
          </cell>
          <cell r="B24">
            <v>587</v>
          </cell>
          <cell r="C24">
            <v>1</v>
          </cell>
          <cell r="D24">
            <v>293</v>
          </cell>
          <cell r="E24">
            <v>161</v>
          </cell>
          <cell r="F24">
            <v>452</v>
          </cell>
        </row>
        <row r="25">
          <cell r="A25" t="str">
            <v>Philadelphia Regional Port, PA</v>
          </cell>
          <cell r="B25">
            <v>702</v>
          </cell>
          <cell r="C25">
            <v>314</v>
          </cell>
          <cell r="D25">
            <v>223</v>
          </cell>
          <cell r="E25">
            <v>153</v>
          </cell>
          <cell r="F25">
            <v>86</v>
          </cell>
        </row>
        <row r="26">
          <cell r="A26" t="str">
            <v>Port of Oakland, CA</v>
          </cell>
          <cell r="B26">
            <v>822</v>
          </cell>
          <cell r="C26">
            <v>0</v>
          </cell>
          <cell r="D26">
            <v>29</v>
          </cell>
          <cell r="E26">
            <v>11</v>
          </cell>
          <cell r="F26">
            <v>23</v>
          </cell>
        </row>
        <row r="27">
          <cell r="A27" t="str">
            <v>PortMiami, FL</v>
          </cell>
          <cell r="B27">
            <v>868</v>
          </cell>
          <cell r="C27">
            <v>0</v>
          </cell>
          <cell r="D27">
            <v>334</v>
          </cell>
          <cell r="E27">
            <v>331</v>
          </cell>
          <cell r="F27">
            <v>19</v>
          </cell>
        </row>
        <row r="28">
          <cell r="A28" t="str">
            <v>Port of Los Angeles, CA</v>
          </cell>
          <cell r="B28">
            <v>869</v>
          </cell>
          <cell r="C28">
            <v>0</v>
          </cell>
          <cell r="D28">
            <v>119</v>
          </cell>
          <cell r="E28">
            <v>119</v>
          </cell>
          <cell r="F28">
            <v>105</v>
          </cell>
        </row>
        <row r="29">
          <cell r="A29" t="str">
            <v>Houston Port Authority, TX</v>
          </cell>
          <cell r="B29">
            <v>1012</v>
          </cell>
          <cell r="C29">
            <v>1090</v>
          </cell>
          <cell r="D29">
            <v>1089</v>
          </cell>
          <cell r="E29">
            <v>75</v>
          </cell>
          <cell r="F29">
            <v>2741</v>
          </cell>
        </row>
        <row r="30">
          <cell r="A30" t="str">
            <v>Port of Charleston, SC</v>
          </cell>
          <cell r="B30">
            <v>1222</v>
          </cell>
          <cell r="C30">
            <v>0</v>
          </cell>
          <cell r="D30">
            <v>214</v>
          </cell>
          <cell r="E30">
            <v>172</v>
          </cell>
          <cell r="F30">
            <v>108</v>
          </cell>
        </row>
        <row r="31">
          <cell r="A31" t="str">
            <v>Port Everglades, FL</v>
          </cell>
          <cell r="B31">
            <v>1457</v>
          </cell>
          <cell r="C31">
            <v>0</v>
          </cell>
          <cell r="D31">
            <v>441</v>
          </cell>
          <cell r="E31">
            <v>966</v>
          </cell>
          <cell r="F31">
            <v>100</v>
          </cell>
        </row>
        <row r="32">
          <cell r="A32" t="str">
            <v>Port of Savannah, GA</v>
          </cell>
          <cell r="B32">
            <v>1599</v>
          </cell>
          <cell r="C32">
            <v>47</v>
          </cell>
          <cell r="D32">
            <v>328</v>
          </cell>
          <cell r="E32">
            <v>109</v>
          </cell>
          <cell r="F32">
            <v>191</v>
          </cell>
        </row>
        <row r="33">
          <cell r="A33" t="str">
            <v>Virginia, VA, Port of</v>
          </cell>
          <cell r="B33">
            <v>1613</v>
          </cell>
          <cell r="C33">
            <v>5</v>
          </cell>
          <cell r="D33">
            <v>669</v>
          </cell>
          <cell r="E33">
            <v>88</v>
          </cell>
          <cell r="F33">
            <v>34</v>
          </cell>
        </row>
        <row r="34">
          <cell r="A34" t="str">
            <v>New York, NY &amp; NJ</v>
          </cell>
          <cell r="B34">
            <v>2199</v>
          </cell>
          <cell r="C34">
            <v>0</v>
          </cell>
          <cell r="D34">
            <v>197</v>
          </cell>
          <cell r="E34">
            <v>342</v>
          </cell>
          <cell r="F34">
            <v>884</v>
          </cell>
        </row>
        <row r="35">
          <cell r="A35" t="str">
            <v>Northern Indiana District, IN</v>
          </cell>
          <cell r="C35">
            <v>0</v>
          </cell>
          <cell r="D35">
            <v>58</v>
          </cell>
          <cell r="E35">
            <v>0</v>
          </cell>
          <cell r="F35">
            <v>0</v>
          </cell>
        </row>
        <row r="36">
          <cell r="A36" t="str">
            <v>Two Harbors, MN</v>
          </cell>
          <cell r="C36">
            <v>0</v>
          </cell>
          <cell r="D36">
            <v>85</v>
          </cell>
          <cell r="E36">
            <v>0</v>
          </cell>
          <cell r="F36">
            <v>0</v>
          </cell>
        </row>
        <row r="37">
          <cell r="A37" t="str">
            <v>Cleveland-Cuyahoga Port, OH</v>
          </cell>
          <cell r="C37">
            <v>0</v>
          </cell>
          <cell r="D37">
            <v>135</v>
          </cell>
          <cell r="E37">
            <v>0</v>
          </cell>
          <cell r="F37">
            <v>1</v>
          </cell>
        </row>
        <row r="38">
          <cell r="A38" t="str">
            <v>Toledo-Lucas County Port, OH</v>
          </cell>
          <cell r="C38">
            <v>0</v>
          </cell>
          <cell r="D38">
            <v>153</v>
          </cell>
          <cell r="E38">
            <v>0</v>
          </cell>
          <cell r="F38">
            <v>0</v>
          </cell>
        </row>
        <row r="39">
          <cell r="A39" t="str">
            <v>Port of Kalama, WA</v>
          </cell>
          <cell r="C39">
            <v>0</v>
          </cell>
          <cell r="D39">
            <v>221</v>
          </cell>
          <cell r="E39">
            <v>0</v>
          </cell>
          <cell r="F39">
            <v>8</v>
          </cell>
        </row>
        <row r="40">
          <cell r="A40" t="str">
            <v>Detroit-Wayne County Port, MI</v>
          </cell>
          <cell r="C40">
            <v>0</v>
          </cell>
          <cell r="D40">
            <v>198</v>
          </cell>
          <cell r="E40">
            <v>0</v>
          </cell>
          <cell r="F40">
            <v>57</v>
          </cell>
        </row>
        <row r="41">
          <cell r="A41" t="str">
            <v>Duluth-Superior, MN and WI</v>
          </cell>
          <cell r="C41">
            <v>0</v>
          </cell>
          <cell r="D41">
            <v>314</v>
          </cell>
          <cell r="E41">
            <v>0</v>
          </cell>
          <cell r="F41">
            <v>0</v>
          </cell>
        </row>
        <row r="42">
          <cell r="A42" t="str">
            <v>Texas City, TX</v>
          </cell>
          <cell r="C42">
            <v>68</v>
          </cell>
          <cell r="D42">
            <v>34</v>
          </cell>
          <cell r="E42">
            <v>0</v>
          </cell>
          <cell r="F42">
            <v>438</v>
          </cell>
        </row>
        <row r="43">
          <cell r="A43" t="str">
            <v>Port of Greater Baton Rouge, LA</v>
          </cell>
          <cell r="C43">
            <v>128</v>
          </cell>
          <cell r="D43">
            <v>250</v>
          </cell>
          <cell r="E43">
            <v>0</v>
          </cell>
          <cell r="F43">
            <v>353</v>
          </cell>
        </row>
        <row r="44">
          <cell r="A44" t="str">
            <v>Port Arthur, TX</v>
          </cell>
          <cell r="C44">
            <v>1</v>
          </cell>
          <cell r="D44">
            <v>257</v>
          </cell>
          <cell r="E44">
            <v>9</v>
          </cell>
          <cell r="F44">
            <v>551</v>
          </cell>
        </row>
        <row r="45">
          <cell r="A45" t="str">
            <v>Lake Charles Harbor District, LA</v>
          </cell>
          <cell r="C45">
            <v>350</v>
          </cell>
          <cell r="D45">
            <v>216</v>
          </cell>
          <cell r="E45">
            <v>0</v>
          </cell>
          <cell r="F45">
            <v>374</v>
          </cell>
        </row>
        <row r="46">
          <cell r="A46" t="str">
            <v>Beaumont, TX</v>
          </cell>
          <cell r="C46">
            <v>434</v>
          </cell>
          <cell r="D46">
            <v>71</v>
          </cell>
          <cell r="E46">
            <v>17</v>
          </cell>
          <cell r="F46">
            <v>765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3DC5B-29C2-4312-8B21-A0428D16FCA1}">
  <dimension ref="A1:G46"/>
  <sheetViews>
    <sheetView tabSelected="1" workbookViewId="0">
      <selection activeCell="J25" sqref="J25"/>
    </sheetView>
  </sheetViews>
  <sheetFormatPr defaultRowHeight="14.4" x14ac:dyDescent="0.55000000000000004"/>
  <cols>
    <col min="1" max="1" width="27.05078125" bestFit="1" customWidth="1"/>
  </cols>
  <sheetData>
    <row r="1" spans="1:7" ht="23.4" x14ac:dyDescent="0.55000000000000004">
      <c r="A1" s="1" t="s">
        <v>0</v>
      </c>
    </row>
    <row r="2" spans="1:7" x14ac:dyDescent="0.55000000000000004">
      <c r="A2" s="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ht="15.6" x14ac:dyDescent="0.6">
      <c r="A3" s="3" t="s">
        <v>8</v>
      </c>
      <c r="B3">
        <v>1</v>
      </c>
      <c r="C3">
        <v>0</v>
      </c>
      <c r="D3">
        <v>6</v>
      </c>
      <c r="E3">
        <v>0</v>
      </c>
      <c r="F3">
        <v>44</v>
      </c>
      <c r="G3">
        <f>SUM(B3:F3)</f>
        <v>51</v>
      </c>
    </row>
    <row r="4" spans="1:7" ht="15.6" x14ac:dyDescent="0.6">
      <c r="A4" s="3" t="s">
        <v>9</v>
      </c>
      <c r="B4">
        <v>1</v>
      </c>
      <c r="C4">
        <v>6</v>
      </c>
      <c r="D4">
        <v>68</v>
      </c>
      <c r="E4">
        <v>0</v>
      </c>
      <c r="F4">
        <v>236</v>
      </c>
      <c r="G4">
        <f>SUM(B4:F4)</f>
        <v>311</v>
      </c>
    </row>
    <row r="5" spans="1:7" ht="15.6" customHeight="1" x14ac:dyDescent="0.55000000000000004">
      <c r="A5" s="4" t="s">
        <v>10</v>
      </c>
      <c r="B5">
        <v>1</v>
      </c>
      <c r="C5">
        <v>2</v>
      </c>
      <c r="D5">
        <v>398</v>
      </c>
      <c r="E5">
        <v>1</v>
      </c>
      <c r="F5">
        <v>142</v>
      </c>
      <c r="G5">
        <f>SUM(B5:F5)</f>
        <v>544</v>
      </c>
    </row>
    <row r="6" spans="1:7" ht="15.6" x14ac:dyDescent="0.6">
      <c r="A6" s="3" t="s">
        <v>11</v>
      </c>
      <c r="B6">
        <v>1</v>
      </c>
      <c r="C6">
        <v>26</v>
      </c>
      <c r="D6">
        <v>1191</v>
      </c>
      <c r="E6">
        <v>0</v>
      </c>
      <c r="F6">
        <v>781</v>
      </c>
      <c r="G6">
        <f>SUM(B6:F6)</f>
        <v>1999</v>
      </c>
    </row>
    <row r="7" spans="1:7" ht="15.6" x14ac:dyDescent="0.6">
      <c r="A7" s="3" t="s">
        <v>12</v>
      </c>
      <c r="B7">
        <v>1</v>
      </c>
      <c r="C7">
        <v>379</v>
      </c>
      <c r="D7">
        <v>202</v>
      </c>
      <c r="E7">
        <v>6</v>
      </c>
      <c r="F7">
        <v>1559</v>
      </c>
      <c r="G7">
        <f>SUM(B7:F7)</f>
        <v>2147</v>
      </c>
    </row>
    <row r="8" spans="1:7" ht="15.6" x14ac:dyDescent="0.6">
      <c r="A8" s="3" t="s">
        <v>13</v>
      </c>
      <c r="B8">
        <v>83</v>
      </c>
      <c r="C8">
        <v>0</v>
      </c>
      <c r="D8">
        <v>181</v>
      </c>
      <c r="E8">
        <v>109</v>
      </c>
      <c r="F8">
        <v>27</v>
      </c>
      <c r="G8">
        <f>SUM(B8:F8)</f>
        <v>400</v>
      </c>
    </row>
    <row r="9" spans="1:7" ht="15.6" x14ac:dyDescent="0.6">
      <c r="A9" s="3" t="s">
        <v>14</v>
      </c>
      <c r="B9">
        <v>97</v>
      </c>
      <c r="C9">
        <v>7</v>
      </c>
      <c r="D9">
        <v>192</v>
      </c>
      <c r="E9">
        <v>0</v>
      </c>
      <c r="F9">
        <v>182</v>
      </c>
      <c r="G9">
        <f>SUM(B9:F9)</f>
        <v>478</v>
      </c>
    </row>
    <row r="10" spans="1:7" ht="15.6" x14ac:dyDescent="0.6">
      <c r="A10" s="3" t="s">
        <v>15</v>
      </c>
      <c r="B10">
        <v>104</v>
      </c>
      <c r="C10">
        <v>3</v>
      </c>
      <c r="D10">
        <v>6</v>
      </c>
      <c r="E10">
        <v>46</v>
      </c>
      <c r="F10">
        <v>23</v>
      </c>
      <c r="G10">
        <f>SUM(B10:F10)</f>
        <v>182</v>
      </c>
    </row>
    <row r="11" spans="1:7" ht="15.6" customHeight="1" x14ac:dyDescent="0.6">
      <c r="A11" s="3" t="s">
        <v>16</v>
      </c>
      <c r="B11">
        <v>111</v>
      </c>
      <c r="C11">
        <v>437</v>
      </c>
      <c r="D11">
        <v>54</v>
      </c>
      <c r="E11">
        <v>97</v>
      </c>
      <c r="F11">
        <v>371</v>
      </c>
      <c r="G11">
        <f>SUM(B11:F11)</f>
        <v>1070</v>
      </c>
    </row>
    <row r="12" spans="1:7" ht="15.6" customHeight="1" x14ac:dyDescent="0.55000000000000004">
      <c r="A12" s="4" t="s">
        <v>17</v>
      </c>
      <c r="B12">
        <v>117</v>
      </c>
      <c r="C12">
        <v>2</v>
      </c>
      <c r="D12">
        <v>94</v>
      </c>
      <c r="E12">
        <v>35</v>
      </c>
      <c r="F12">
        <v>9</v>
      </c>
      <c r="G12">
        <f>SUM(B12:F12)</f>
        <v>257</v>
      </c>
    </row>
    <row r="13" spans="1:7" ht="15.6" customHeight="1" x14ac:dyDescent="0.55000000000000004">
      <c r="A13" s="4" t="s">
        <v>18</v>
      </c>
      <c r="B13">
        <v>144</v>
      </c>
      <c r="C13">
        <v>8</v>
      </c>
      <c r="D13">
        <v>360</v>
      </c>
      <c r="E13">
        <v>21</v>
      </c>
      <c r="F13">
        <v>99</v>
      </c>
      <c r="G13">
        <f>SUM(B13:F13)</f>
        <v>632</v>
      </c>
    </row>
    <row r="14" spans="1:7" ht="15.6" x14ac:dyDescent="0.6">
      <c r="A14" s="3" t="s">
        <v>19</v>
      </c>
      <c r="B14">
        <v>156</v>
      </c>
      <c r="C14">
        <v>0</v>
      </c>
      <c r="D14">
        <v>5</v>
      </c>
      <c r="E14">
        <v>246</v>
      </c>
      <c r="F14">
        <v>10</v>
      </c>
      <c r="G14">
        <f>SUM(B14:F14)</f>
        <v>417</v>
      </c>
    </row>
    <row r="15" spans="1:7" ht="15.6" x14ac:dyDescent="0.6">
      <c r="A15" s="3" t="s">
        <v>20</v>
      </c>
      <c r="B15">
        <v>223</v>
      </c>
      <c r="C15">
        <v>0</v>
      </c>
      <c r="D15">
        <v>23</v>
      </c>
      <c r="E15">
        <v>39</v>
      </c>
      <c r="F15">
        <v>70</v>
      </c>
      <c r="G15">
        <f>SUM(B15:F15)</f>
        <v>355</v>
      </c>
    </row>
    <row r="16" spans="1:7" ht="15.6" customHeight="1" x14ac:dyDescent="0.55000000000000004">
      <c r="A16" s="4" t="s">
        <v>21</v>
      </c>
      <c r="B16">
        <v>232</v>
      </c>
      <c r="C16">
        <v>0</v>
      </c>
      <c r="D16">
        <v>65</v>
      </c>
      <c r="E16">
        <v>264</v>
      </c>
      <c r="F16">
        <v>4</v>
      </c>
      <c r="G16">
        <f>SUM(B16:F16)</f>
        <v>565</v>
      </c>
    </row>
    <row r="17" spans="1:7" ht="15.6" x14ac:dyDescent="0.6">
      <c r="A17" s="3" t="s">
        <v>22</v>
      </c>
      <c r="B17">
        <v>292</v>
      </c>
      <c r="C17">
        <v>107</v>
      </c>
      <c r="D17">
        <v>202</v>
      </c>
      <c r="E17">
        <v>424</v>
      </c>
      <c r="F17">
        <v>70</v>
      </c>
      <c r="G17">
        <f>SUM(B17:F17)</f>
        <v>1095</v>
      </c>
    </row>
    <row r="18" spans="1:7" ht="15.6" x14ac:dyDescent="0.6">
      <c r="A18" s="3" t="s">
        <v>23</v>
      </c>
      <c r="B18">
        <v>335</v>
      </c>
      <c r="C18">
        <v>3</v>
      </c>
      <c r="D18">
        <v>132</v>
      </c>
      <c r="E18">
        <v>3</v>
      </c>
      <c r="F18">
        <v>7</v>
      </c>
      <c r="G18">
        <f>SUM(B18:F18)</f>
        <v>480</v>
      </c>
    </row>
    <row r="19" spans="1:7" ht="15.6" customHeight="1" x14ac:dyDescent="0.6">
      <c r="A19" s="3" t="s">
        <v>24</v>
      </c>
      <c r="B19">
        <v>364</v>
      </c>
      <c r="C19">
        <v>0</v>
      </c>
      <c r="D19">
        <v>578</v>
      </c>
      <c r="E19">
        <v>86</v>
      </c>
      <c r="F19">
        <v>151</v>
      </c>
      <c r="G19">
        <f>SUM(B19:F19)</f>
        <v>1179</v>
      </c>
    </row>
    <row r="20" spans="1:7" x14ac:dyDescent="0.55000000000000004">
      <c r="A20" s="4" t="s">
        <v>25</v>
      </c>
      <c r="B20">
        <v>386</v>
      </c>
      <c r="C20">
        <v>0</v>
      </c>
      <c r="D20">
        <v>169</v>
      </c>
      <c r="E20">
        <v>11</v>
      </c>
      <c r="F20">
        <v>131</v>
      </c>
      <c r="G20">
        <f>SUM(B20:F20)</f>
        <v>697</v>
      </c>
    </row>
    <row r="21" spans="1:7" ht="15.6" customHeight="1" x14ac:dyDescent="0.6">
      <c r="A21" s="3" t="s">
        <v>26</v>
      </c>
      <c r="B21">
        <v>388</v>
      </c>
      <c r="C21">
        <v>0</v>
      </c>
      <c r="D21">
        <v>176</v>
      </c>
      <c r="E21">
        <v>372</v>
      </c>
      <c r="F21">
        <v>70</v>
      </c>
      <c r="G21">
        <f>SUM(B21:F21)</f>
        <v>1006</v>
      </c>
    </row>
    <row r="22" spans="1:7" ht="15.6" customHeight="1" x14ac:dyDescent="0.6">
      <c r="A22" s="3" t="s">
        <v>27</v>
      </c>
      <c r="B22">
        <v>403</v>
      </c>
      <c r="C22">
        <v>4</v>
      </c>
      <c r="D22">
        <v>796</v>
      </c>
      <c r="E22">
        <v>0</v>
      </c>
      <c r="F22">
        <v>301</v>
      </c>
      <c r="G22">
        <f>SUM(B22:F22)</f>
        <v>1504</v>
      </c>
    </row>
    <row r="23" spans="1:7" ht="15.6" customHeight="1" x14ac:dyDescent="0.6">
      <c r="A23" s="3" t="s">
        <v>28</v>
      </c>
      <c r="B23">
        <v>469</v>
      </c>
      <c r="C23">
        <v>1</v>
      </c>
      <c r="D23">
        <v>660</v>
      </c>
      <c r="E23">
        <v>653</v>
      </c>
      <c r="F23">
        <v>96</v>
      </c>
      <c r="G23">
        <f>SUM(B23:F23)</f>
        <v>1879</v>
      </c>
    </row>
    <row r="24" spans="1:7" ht="15.6" x14ac:dyDescent="0.6">
      <c r="A24" s="3" t="s">
        <v>29</v>
      </c>
      <c r="B24">
        <v>587</v>
      </c>
      <c r="C24">
        <v>1</v>
      </c>
      <c r="D24">
        <v>293</v>
      </c>
      <c r="E24">
        <v>161</v>
      </c>
      <c r="F24">
        <v>452</v>
      </c>
      <c r="G24">
        <f>SUM(B24:F24)</f>
        <v>1494</v>
      </c>
    </row>
    <row r="25" spans="1:7" ht="15.6" x14ac:dyDescent="0.6">
      <c r="A25" s="3" t="s">
        <v>30</v>
      </c>
      <c r="B25">
        <v>702</v>
      </c>
      <c r="C25">
        <v>314</v>
      </c>
      <c r="D25">
        <v>223</v>
      </c>
      <c r="E25">
        <v>153</v>
      </c>
      <c r="F25">
        <v>86</v>
      </c>
      <c r="G25">
        <f>SUM(B25:F25)</f>
        <v>1478</v>
      </c>
    </row>
    <row r="26" spans="1:7" ht="15.6" x14ac:dyDescent="0.6">
      <c r="A26" s="3" t="s">
        <v>31</v>
      </c>
      <c r="B26">
        <v>822</v>
      </c>
      <c r="C26">
        <v>0</v>
      </c>
      <c r="D26">
        <v>29</v>
      </c>
      <c r="E26">
        <v>11</v>
      </c>
      <c r="F26">
        <v>23</v>
      </c>
      <c r="G26">
        <f>SUM(B26:F26)</f>
        <v>885</v>
      </c>
    </row>
    <row r="27" spans="1:7" ht="15.6" x14ac:dyDescent="0.6">
      <c r="A27" s="3" t="s">
        <v>32</v>
      </c>
      <c r="B27">
        <v>868</v>
      </c>
      <c r="C27">
        <v>0</v>
      </c>
      <c r="D27">
        <v>334</v>
      </c>
      <c r="E27">
        <v>331</v>
      </c>
      <c r="F27">
        <v>19</v>
      </c>
      <c r="G27">
        <f>SUM(B27:F27)</f>
        <v>1552</v>
      </c>
    </row>
    <row r="28" spans="1:7" ht="15.6" x14ac:dyDescent="0.6">
      <c r="A28" s="3" t="s">
        <v>33</v>
      </c>
      <c r="B28">
        <v>869</v>
      </c>
      <c r="C28">
        <v>0</v>
      </c>
      <c r="D28">
        <v>119</v>
      </c>
      <c r="E28">
        <v>119</v>
      </c>
      <c r="F28">
        <v>105</v>
      </c>
      <c r="G28">
        <f>SUM(B28:F28)</f>
        <v>1212</v>
      </c>
    </row>
    <row r="29" spans="1:7" ht="15.6" x14ac:dyDescent="0.6">
      <c r="A29" s="3" t="s">
        <v>34</v>
      </c>
      <c r="B29">
        <v>1012</v>
      </c>
      <c r="C29">
        <v>1090</v>
      </c>
      <c r="D29">
        <v>1089</v>
      </c>
      <c r="E29">
        <v>75</v>
      </c>
      <c r="F29">
        <v>2741</v>
      </c>
      <c r="G29">
        <f>SUM(B29:F29)</f>
        <v>6007</v>
      </c>
    </row>
    <row r="30" spans="1:7" ht="15.6" x14ac:dyDescent="0.6">
      <c r="A30" s="3" t="s">
        <v>35</v>
      </c>
      <c r="B30">
        <v>1222</v>
      </c>
      <c r="C30">
        <v>0</v>
      </c>
      <c r="D30">
        <v>214</v>
      </c>
      <c r="E30">
        <v>172</v>
      </c>
      <c r="F30">
        <v>108</v>
      </c>
      <c r="G30">
        <f>SUM(B30:F30)</f>
        <v>1716</v>
      </c>
    </row>
    <row r="31" spans="1:7" ht="15.6" x14ac:dyDescent="0.6">
      <c r="A31" s="3" t="s">
        <v>36</v>
      </c>
      <c r="B31">
        <v>1457</v>
      </c>
      <c r="C31">
        <v>0</v>
      </c>
      <c r="D31">
        <v>441</v>
      </c>
      <c r="E31">
        <v>966</v>
      </c>
      <c r="F31">
        <v>100</v>
      </c>
      <c r="G31">
        <f>SUM(B31:F31)</f>
        <v>2964</v>
      </c>
    </row>
    <row r="32" spans="1:7" ht="15.6" x14ac:dyDescent="0.6">
      <c r="A32" s="3" t="s">
        <v>37</v>
      </c>
      <c r="B32">
        <v>1599</v>
      </c>
      <c r="C32">
        <v>47</v>
      </c>
      <c r="D32">
        <v>328</v>
      </c>
      <c r="E32">
        <v>109</v>
      </c>
      <c r="F32">
        <v>191</v>
      </c>
      <c r="G32">
        <f>SUM(B32:F32)</f>
        <v>2274</v>
      </c>
    </row>
    <row r="33" spans="1:7" ht="15.6" x14ac:dyDescent="0.6">
      <c r="A33" s="3" t="s">
        <v>38</v>
      </c>
      <c r="B33">
        <v>1613</v>
      </c>
      <c r="C33">
        <v>5</v>
      </c>
      <c r="D33">
        <v>669</v>
      </c>
      <c r="E33">
        <v>88</v>
      </c>
      <c r="F33">
        <v>34</v>
      </c>
      <c r="G33">
        <f>SUM(B33:F33)</f>
        <v>2409</v>
      </c>
    </row>
    <row r="34" spans="1:7" ht="15.6" x14ac:dyDescent="0.6">
      <c r="A34" s="3" t="s">
        <v>39</v>
      </c>
      <c r="B34">
        <v>2199</v>
      </c>
      <c r="C34">
        <v>0</v>
      </c>
      <c r="D34">
        <v>197</v>
      </c>
      <c r="E34">
        <v>342</v>
      </c>
      <c r="F34">
        <v>884</v>
      </c>
      <c r="G34">
        <f>SUM(B34:F34)</f>
        <v>3622</v>
      </c>
    </row>
    <row r="35" spans="1:7" ht="15.6" x14ac:dyDescent="0.6">
      <c r="A35" s="3" t="s">
        <v>40</v>
      </c>
      <c r="C35">
        <v>0</v>
      </c>
      <c r="D35">
        <v>58</v>
      </c>
      <c r="E35">
        <v>0</v>
      </c>
      <c r="F35">
        <v>0</v>
      </c>
      <c r="G35">
        <f>SUM(B35:F35)</f>
        <v>58</v>
      </c>
    </row>
    <row r="36" spans="1:7" ht="15.6" customHeight="1" x14ac:dyDescent="0.55000000000000004">
      <c r="A36" s="4" t="s">
        <v>41</v>
      </c>
      <c r="C36">
        <v>0</v>
      </c>
      <c r="D36">
        <v>85</v>
      </c>
      <c r="E36">
        <v>0</v>
      </c>
      <c r="F36">
        <v>0</v>
      </c>
      <c r="G36">
        <f>SUM(B36:F36)</f>
        <v>85</v>
      </c>
    </row>
    <row r="37" spans="1:7" ht="15.6" x14ac:dyDescent="0.6">
      <c r="A37" s="3" t="s">
        <v>42</v>
      </c>
      <c r="C37">
        <v>0</v>
      </c>
      <c r="D37">
        <v>135</v>
      </c>
      <c r="E37">
        <v>0</v>
      </c>
      <c r="F37">
        <v>1</v>
      </c>
      <c r="G37">
        <f>SUM(B37:F37)</f>
        <v>136</v>
      </c>
    </row>
    <row r="38" spans="1:7" ht="15.6" x14ac:dyDescent="0.6">
      <c r="A38" s="5" t="s">
        <v>43</v>
      </c>
      <c r="C38">
        <v>0</v>
      </c>
      <c r="D38">
        <v>153</v>
      </c>
      <c r="E38">
        <v>0</v>
      </c>
      <c r="F38">
        <v>0</v>
      </c>
      <c r="G38">
        <f>SUM(B38:F38)</f>
        <v>153</v>
      </c>
    </row>
    <row r="39" spans="1:7" ht="14.4" customHeight="1" x14ac:dyDescent="0.6">
      <c r="A39" s="5" t="s">
        <v>44</v>
      </c>
      <c r="C39">
        <v>0</v>
      </c>
      <c r="D39">
        <v>221</v>
      </c>
      <c r="E39">
        <v>0</v>
      </c>
      <c r="F39">
        <v>8</v>
      </c>
      <c r="G39">
        <f>SUM(B39:F39)</f>
        <v>229</v>
      </c>
    </row>
    <row r="40" spans="1:7" ht="14.4" customHeight="1" x14ac:dyDescent="0.6">
      <c r="A40" s="5" t="s">
        <v>45</v>
      </c>
      <c r="C40">
        <v>0</v>
      </c>
      <c r="D40">
        <v>198</v>
      </c>
      <c r="E40">
        <v>0</v>
      </c>
      <c r="F40">
        <v>57</v>
      </c>
      <c r="G40">
        <f>SUM(B40:F40)</f>
        <v>255</v>
      </c>
    </row>
    <row r="41" spans="1:7" ht="14.4" customHeight="1" x14ac:dyDescent="0.6">
      <c r="A41" s="3" t="s">
        <v>46</v>
      </c>
      <c r="C41">
        <v>0</v>
      </c>
      <c r="D41">
        <v>314</v>
      </c>
      <c r="E41">
        <v>0</v>
      </c>
      <c r="F41">
        <v>0</v>
      </c>
      <c r="G41">
        <f>SUM(B41:F41)</f>
        <v>314</v>
      </c>
    </row>
    <row r="42" spans="1:7" ht="15.6" customHeight="1" x14ac:dyDescent="0.55000000000000004">
      <c r="A42" s="6" t="s">
        <v>47</v>
      </c>
      <c r="C42">
        <v>68</v>
      </c>
      <c r="D42">
        <v>34</v>
      </c>
      <c r="E42">
        <v>0</v>
      </c>
      <c r="F42">
        <v>438</v>
      </c>
      <c r="G42">
        <f>SUM(B42:F42)</f>
        <v>540</v>
      </c>
    </row>
    <row r="43" spans="1:7" ht="14.4" customHeight="1" x14ac:dyDescent="0.6">
      <c r="A43" s="5" t="s">
        <v>48</v>
      </c>
      <c r="C43">
        <v>128</v>
      </c>
      <c r="D43">
        <v>250</v>
      </c>
      <c r="E43">
        <v>0</v>
      </c>
      <c r="F43">
        <v>353</v>
      </c>
      <c r="G43">
        <f>SUM(B43:F43)</f>
        <v>731</v>
      </c>
    </row>
    <row r="44" spans="1:7" ht="15.6" x14ac:dyDescent="0.6">
      <c r="A44" s="5" t="s">
        <v>49</v>
      </c>
      <c r="C44">
        <v>1</v>
      </c>
      <c r="D44">
        <v>257</v>
      </c>
      <c r="E44">
        <v>9</v>
      </c>
      <c r="F44">
        <v>551</v>
      </c>
      <c r="G44">
        <f>SUM(B44:F44)</f>
        <v>818</v>
      </c>
    </row>
    <row r="45" spans="1:7" ht="14.4" customHeight="1" x14ac:dyDescent="0.6">
      <c r="A45" s="3" t="s">
        <v>50</v>
      </c>
      <c r="C45">
        <v>350</v>
      </c>
      <c r="D45">
        <v>216</v>
      </c>
      <c r="E45">
        <v>0</v>
      </c>
      <c r="F45">
        <v>374</v>
      </c>
      <c r="G45">
        <f>SUM(B45:F45)</f>
        <v>940</v>
      </c>
    </row>
    <row r="46" spans="1:7" ht="14.4" customHeight="1" x14ac:dyDescent="0.6">
      <c r="A46" s="5" t="s">
        <v>51</v>
      </c>
      <c r="C46">
        <v>434</v>
      </c>
      <c r="D46">
        <v>71</v>
      </c>
      <c r="E46">
        <v>17</v>
      </c>
      <c r="F46">
        <v>765</v>
      </c>
      <c r="G46">
        <f>SUM(B46:F46)</f>
        <v>1287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1DDB7F380DD648B043B15BAFF403F9" ma:contentTypeVersion="10" ma:contentTypeDescription="Create a new document." ma:contentTypeScope="" ma:versionID="1b55db953b00189e2871027b34c7431b">
  <xsd:schema xmlns:xsd="http://www.w3.org/2001/XMLSchema" xmlns:xs="http://www.w3.org/2001/XMLSchema" xmlns:p="http://schemas.microsoft.com/office/2006/metadata/properties" xmlns:ns2="3e47b61d-772c-48ed-b878-4f8e7da8bd06" xmlns:ns3="ce64293c-1e68-4891-91bb-3c1068e772f8" targetNamespace="http://schemas.microsoft.com/office/2006/metadata/properties" ma:root="true" ma:fieldsID="eb4a90880ad6d02a3c23c61cbad1c2c0" ns2:_="" ns3:_="">
    <xsd:import namespace="3e47b61d-772c-48ed-b878-4f8e7da8bd06"/>
    <xsd:import namespace="ce64293c-1e68-4891-91bb-3c1068e772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47b61d-772c-48ed-b878-4f8e7da8bd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5d298e1-810f-4711-8be9-ef4702f2a3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64293c-1e68-4891-91bb-3c1068e772f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1172f17-3343-446e-b48f-b5fa1ba16131}" ma:internalName="TaxCatchAll" ma:showField="CatchAllData" ma:web="ce64293c-1e68-4891-91bb-3c1068e772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47b61d-772c-48ed-b878-4f8e7da8bd06">
      <Terms xmlns="http://schemas.microsoft.com/office/infopath/2007/PartnerControls"/>
    </lcf76f155ced4ddcb4097134ff3c332f>
    <TaxCatchAll xmlns="ce64293c-1e68-4891-91bb-3c1068e772f8" xsi:nil="true"/>
  </documentManagement>
</p:properties>
</file>

<file path=customXml/itemProps1.xml><?xml version="1.0" encoding="utf-8"?>
<ds:datastoreItem xmlns:ds="http://schemas.openxmlformats.org/officeDocument/2006/customXml" ds:itemID="{3F873D72-B9FA-4421-AEE2-1798362EEBA9}"/>
</file>

<file path=customXml/itemProps2.xml><?xml version="1.0" encoding="utf-8"?>
<ds:datastoreItem xmlns:ds="http://schemas.openxmlformats.org/officeDocument/2006/customXml" ds:itemID="{C98E79C4-91C5-4A59-BAFF-C48C54600639}"/>
</file>

<file path=customXml/itemProps3.xml><?xml version="1.0" encoding="utf-8"?>
<ds:datastoreItem xmlns:ds="http://schemas.openxmlformats.org/officeDocument/2006/customXml" ds:itemID="{C3EF81F5-53FB-407B-96D8-8C4E00143C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 2-16</vt:lpstr>
      <vt:lpstr>'F 2-16'!_Toc185522631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DiJoseph, Patricia (OST)</dc:creator>
  <cp:lastModifiedBy>DiJoseph, Patricia (OST)</cp:lastModifiedBy>
  <dcterms:created xsi:type="dcterms:W3CDTF">2025-10-20T18:17:12Z</dcterms:created>
  <dcterms:modified xsi:type="dcterms:W3CDTF">2025-10-20T18:19:22Z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0x010100C71DDB7F380DD648B043B15BAFF403F9</vt:lpwstr>
  </property>
</Properties>
</file>